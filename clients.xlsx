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DD\EXCELCNV\b9eabaf8-6434-41db-a0ee-0c286ce94948\"/>
    </mc:Choice>
  </mc:AlternateContent>
  <xr:revisionPtr revIDLastSave="0" documentId="8_{A0A89C1A-818C-4A63-8033-357FBEAED4B2}" xr6:coauthVersionLast="47" xr6:coauthVersionMax="47" xr10:uidLastSave="{00000000-0000-0000-0000-000000000000}"/>
  <bookViews>
    <workbookView xWindow="-60" yWindow="-60" windowWidth="15480" windowHeight="11640" xr2:uid="{7347BA58-4F5C-4E38-9CBA-9D3999DF52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I2001" i="1" s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73" i="1"/>
  <c r="AC1772" i="1"/>
  <c r="AC1771" i="1"/>
  <c r="AC1770" i="1"/>
  <c r="AC1769" i="1"/>
  <c r="AC1768" i="1"/>
  <c r="AC1767" i="1"/>
  <c r="AC1766" i="1"/>
  <c r="AC1765" i="1"/>
  <c r="AC1764" i="1"/>
  <c r="AC1763" i="1"/>
  <c r="AC1762" i="1"/>
  <c r="AC1761" i="1"/>
  <c r="AC1760" i="1"/>
  <c r="AC1759" i="1"/>
  <c r="AC1758" i="1"/>
  <c r="AC1757" i="1"/>
  <c r="AC1756" i="1"/>
  <c r="AC1755" i="1"/>
  <c r="AC1754" i="1"/>
  <c r="AC1753" i="1"/>
  <c r="AC1752" i="1"/>
  <c r="AC1751" i="1"/>
  <c r="AC1750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F2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C2" i="1"/>
  <c r="C5" i="1"/>
  <c r="C4" i="1"/>
  <c r="C3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I2000" i="1" l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<sst xmlns="http://schemas.openxmlformats.org/spreadsheetml/2006/main" count="20032" uniqueCount="2655">
  <si>
    <t>client_id</t>
  </si>
  <si>
    <t>client_type</t>
  </si>
  <si>
    <t>company_encoded</t>
  </si>
  <si>
    <t>individual_encoded</t>
  </si>
  <si>
    <t>first_name</t>
  </si>
  <si>
    <t>last_name</t>
  </si>
  <si>
    <t>date_of_birth</t>
  </si>
  <si>
    <t>age</t>
  </si>
  <si>
    <t>age_scaled</t>
  </si>
  <si>
    <t>gender</t>
  </si>
  <si>
    <t>country</t>
  </si>
  <si>
    <t>usa_encoded</t>
  </si>
  <si>
    <t>canada_encoded</t>
  </si>
  <si>
    <t>germany_encoded</t>
  </si>
  <si>
    <t>region</t>
  </si>
  <si>
    <t>california_encoded</t>
  </si>
  <si>
    <t>oregon_encoded</t>
  </si>
  <si>
    <t>quebec_encoded</t>
  </si>
  <si>
    <t>berlin_encoded</t>
  </si>
  <si>
    <t>arizona_encoded</t>
  </si>
  <si>
    <t>nevada_encoded</t>
  </si>
  <si>
    <t>colardo_encoded</t>
  </si>
  <si>
    <t>acquisition_purpose</t>
  </si>
  <si>
    <t>home_encoded</t>
  </si>
  <si>
    <t>investment_encoded</t>
  </si>
  <si>
    <t>satisfaction_score</t>
  </si>
  <si>
    <t>Satisfaction_scaled</t>
  </si>
  <si>
    <t>loan_applied</t>
  </si>
  <si>
    <t>agency_encoded</t>
  </si>
  <si>
    <t>client_encoded</t>
  </si>
  <si>
    <t>referral_channel</t>
  </si>
  <si>
    <t>website_encoded</t>
  </si>
  <si>
    <t>C0001</t>
  </si>
  <si>
    <t>Individual</t>
  </si>
  <si>
    <t>Kareem</t>
  </si>
  <si>
    <t>Liu</t>
  </si>
  <si>
    <t>F</t>
  </si>
  <si>
    <t>USA</t>
  </si>
  <si>
    <t>California</t>
  </si>
  <si>
    <t>Home</t>
  </si>
  <si>
    <t>Yes</t>
  </si>
  <si>
    <t>Website</t>
  </si>
  <si>
    <t>C0002</t>
  </si>
  <si>
    <t>Trystan</t>
  </si>
  <si>
    <t>Oconnor</t>
  </si>
  <si>
    <t>M</t>
  </si>
  <si>
    <t>No</t>
  </si>
  <si>
    <t>C0003</t>
  </si>
  <si>
    <t>Kale</t>
  </si>
  <si>
    <t>Gay</t>
  </si>
  <si>
    <t>Agency</t>
  </si>
  <si>
    <t>C0004</t>
  </si>
  <si>
    <t>Russell</t>
  </si>
  <si>
    <t>Gross</t>
  </si>
  <si>
    <t>C0005</t>
  </si>
  <si>
    <t>Company</t>
  </si>
  <si>
    <t>Marleez</t>
  </si>
  <si>
    <t>Co</t>
  </si>
  <si>
    <t>Investment</t>
  </si>
  <si>
    <t>C0006</t>
  </si>
  <si>
    <t>Yurem</t>
  </si>
  <si>
    <t>Wright</t>
  </si>
  <si>
    <t>C0007</t>
  </si>
  <si>
    <t>Xavier</t>
  </si>
  <si>
    <t>Faulkner</t>
  </si>
  <si>
    <t>Canada</t>
  </si>
  <si>
    <t>Quebec</t>
  </si>
  <si>
    <t>C0008</t>
  </si>
  <si>
    <t>Kayden</t>
  </si>
  <si>
    <t>Olsen</t>
  </si>
  <si>
    <t>C0009</t>
  </si>
  <si>
    <t>Joaquin</t>
  </si>
  <si>
    <t>Mullins</t>
  </si>
  <si>
    <t>C0010</t>
  </si>
  <si>
    <t>Nicolas</t>
  </si>
  <si>
    <t>Navarro</t>
  </si>
  <si>
    <t>Oregon</t>
  </si>
  <si>
    <t>C0011</t>
  </si>
  <si>
    <t>Laci</t>
  </si>
  <si>
    <t>Guerra</t>
  </si>
  <si>
    <t>C0012</t>
  </si>
  <si>
    <t>Kylax</t>
  </si>
  <si>
    <t>C0013</t>
  </si>
  <si>
    <t>Harley</t>
  </si>
  <si>
    <t>Lucero</t>
  </si>
  <si>
    <t>C0014</t>
  </si>
  <si>
    <t>Esther</t>
  </si>
  <si>
    <t>C0015</t>
  </si>
  <si>
    <t>Jaylynn</t>
  </si>
  <si>
    <t>Hickman</t>
  </si>
  <si>
    <t>Client</t>
  </si>
  <si>
    <t>C0016</t>
  </si>
  <si>
    <t>Olivia</t>
  </si>
  <si>
    <t>Oconnell</t>
  </si>
  <si>
    <t>C0017</t>
  </si>
  <si>
    <t>Antonio</t>
  </si>
  <si>
    <t>Porter</t>
  </si>
  <si>
    <t>Arizona</t>
  </si>
  <si>
    <t>C0018</t>
  </si>
  <si>
    <t>Luke</t>
  </si>
  <si>
    <t>Lynn</t>
  </si>
  <si>
    <t>C0019</t>
  </si>
  <si>
    <t>Anahi</t>
  </si>
  <si>
    <t>Curry</t>
  </si>
  <si>
    <t>C0020</t>
  </si>
  <si>
    <t>Camille</t>
  </si>
  <si>
    <t>Sharp</t>
  </si>
  <si>
    <t>C0021</t>
  </si>
  <si>
    <t>Jesus</t>
  </si>
  <si>
    <t>Obrien</t>
  </si>
  <si>
    <t>C0022</t>
  </si>
  <si>
    <t>Araceli</t>
  </si>
  <si>
    <t>Nelson</t>
  </si>
  <si>
    <t>Germany</t>
  </si>
  <si>
    <t>Berlin</t>
  </si>
  <si>
    <t>C0023</t>
  </si>
  <si>
    <t>Cole</t>
  </si>
  <si>
    <t>Taylor</t>
  </si>
  <si>
    <t>C0024</t>
  </si>
  <si>
    <t>Alonso</t>
  </si>
  <si>
    <t>Terrell</t>
  </si>
  <si>
    <t>C0025</t>
  </si>
  <si>
    <t>Rodolfo</t>
  </si>
  <si>
    <t>Gibson</t>
  </si>
  <si>
    <t>Nevada</t>
  </si>
  <si>
    <t>C0026</t>
  </si>
  <si>
    <t>Joseph</t>
  </si>
  <si>
    <t>Reeves</t>
  </si>
  <si>
    <t>C0027</t>
  </si>
  <si>
    <t>Grant</t>
  </si>
  <si>
    <t>Weber</t>
  </si>
  <si>
    <t>C0028</t>
  </si>
  <si>
    <t>Ava</t>
  </si>
  <si>
    <t>Phelps</t>
  </si>
  <si>
    <t>C0029</t>
  </si>
  <si>
    <t>Kyla</t>
  </si>
  <si>
    <t>Walker</t>
  </si>
  <si>
    <t>Colorado</t>
  </si>
  <si>
    <t>C0030</t>
  </si>
  <si>
    <t>Alanna</t>
  </si>
  <si>
    <t>Hess</t>
  </si>
  <si>
    <t>C0031</t>
  </si>
  <si>
    <t>Skylar</t>
  </si>
  <si>
    <t>Buchanan</t>
  </si>
  <si>
    <t>C0032</t>
  </si>
  <si>
    <t>Rodrigo</t>
  </si>
  <si>
    <t>Robinson</t>
  </si>
  <si>
    <t>C0033</t>
  </si>
  <si>
    <t>Lydia</t>
  </si>
  <si>
    <t>Tate</t>
  </si>
  <si>
    <t>C0034</t>
  </si>
  <si>
    <t>Lauryn</t>
  </si>
  <si>
    <t>Patrick</t>
  </si>
  <si>
    <t>Belgium</t>
  </si>
  <si>
    <t>Brussels</t>
  </si>
  <si>
    <t>C0035</t>
  </si>
  <si>
    <t>Diego</t>
  </si>
  <si>
    <t>Mendez</t>
  </si>
  <si>
    <t>Mexico</t>
  </si>
  <si>
    <t>Mexico City</t>
  </si>
  <si>
    <t>C0036</t>
  </si>
  <si>
    <t>Victor</t>
  </si>
  <si>
    <t>Jensen</t>
  </si>
  <si>
    <t>C0037</t>
  </si>
  <si>
    <t>Scarlet</t>
  </si>
  <si>
    <t>Hendricks</t>
  </si>
  <si>
    <t>C0038</t>
  </si>
  <si>
    <t>Janelle</t>
  </si>
  <si>
    <t>Espinoza</t>
  </si>
  <si>
    <t>C0039</t>
  </si>
  <si>
    <t>Aleksandra</t>
  </si>
  <si>
    <t>Karenina</t>
  </si>
  <si>
    <t>Russia</t>
  </si>
  <si>
    <t>Krasnodar Krai</t>
  </si>
  <si>
    <t>C0040</t>
  </si>
  <si>
    <t>Conner</t>
  </si>
  <si>
    <t>Huff</t>
  </si>
  <si>
    <t>C0041</t>
  </si>
  <si>
    <t>Zain</t>
  </si>
  <si>
    <t>Horne</t>
  </si>
  <si>
    <t>C0042</t>
  </si>
  <si>
    <t>Maia</t>
  </si>
  <si>
    <t>Chandler</t>
  </si>
  <si>
    <t>Utah</t>
  </si>
  <si>
    <t>C0043</t>
  </si>
  <si>
    <t>Jordyn</t>
  </si>
  <si>
    <t>Park</t>
  </si>
  <si>
    <t>C0044</t>
  </si>
  <si>
    <t>Diana</t>
  </si>
  <si>
    <t>Hunt</t>
  </si>
  <si>
    <t>C0045</t>
  </si>
  <si>
    <t>Kevin</t>
  </si>
  <si>
    <t>Mata</t>
  </si>
  <si>
    <t>C0046</t>
  </si>
  <si>
    <t>Brisa</t>
  </si>
  <si>
    <t>Mckee</t>
  </si>
  <si>
    <t>C0047</t>
  </si>
  <si>
    <t>Mason</t>
  </si>
  <si>
    <t>Gilbert</t>
  </si>
  <si>
    <t>C0048</t>
  </si>
  <si>
    <t>Derick</t>
  </si>
  <si>
    <t>Li</t>
  </si>
  <si>
    <t>C0049</t>
  </si>
  <si>
    <t>Jace</t>
  </si>
  <si>
    <t>Riggs</t>
  </si>
  <si>
    <t>C0050</t>
  </si>
  <si>
    <t>Jair</t>
  </si>
  <si>
    <t>Johns</t>
  </si>
  <si>
    <t>C0051</t>
  </si>
  <si>
    <t>Matilda</t>
  </si>
  <si>
    <t>Madden</t>
  </si>
  <si>
    <t>C0052</t>
  </si>
  <si>
    <t>Myla</t>
  </si>
  <si>
    <t>Ewing</t>
  </si>
  <si>
    <t>C0053</t>
  </si>
  <si>
    <t>Miguel</t>
  </si>
  <si>
    <t>Walter</t>
  </si>
  <si>
    <t>C0054</t>
  </si>
  <si>
    <t>Bridger CAL</t>
  </si>
  <si>
    <t>C0055</t>
  </si>
  <si>
    <t>Mara</t>
  </si>
  <si>
    <t>Franco</t>
  </si>
  <si>
    <t>C0056</t>
  </si>
  <si>
    <t>Erik</t>
  </si>
  <si>
    <t>Mora</t>
  </si>
  <si>
    <t>C0057</t>
  </si>
  <si>
    <t>Henry</t>
  </si>
  <si>
    <t>Kennedy</t>
  </si>
  <si>
    <t>C0058</t>
  </si>
  <si>
    <t>Kenyon</t>
  </si>
  <si>
    <t>C0059</t>
  </si>
  <si>
    <t>Oswaldo</t>
  </si>
  <si>
    <t>Palmer</t>
  </si>
  <si>
    <t>C0060</t>
  </si>
  <si>
    <t>Kassidy</t>
  </si>
  <si>
    <t>Vega</t>
  </si>
  <si>
    <t>C0061</t>
  </si>
  <si>
    <t>Morgan</t>
  </si>
  <si>
    <t>Glass</t>
  </si>
  <si>
    <t>C0062</t>
  </si>
  <si>
    <t>Tyler</t>
  </si>
  <si>
    <t>Carr</t>
  </si>
  <si>
    <t>C0063</t>
  </si>
  <si>
    <t>Yesenia</t>
  </si>
  <si>
    <t>Marquez</t>
  </si>
  <si>
    <t>C0064</t>
  </si>
  <si>
    <t>Gordon</t>
  </si>
  <si>
    <t>Brown</t>
  </si>
  <si>
    <t>UK</t>
  </si>
  <si>
    <t>Northern Ireland</t>
  </si>
  <si>
    <t>C0065</t>
  </si>
  <si>
    <t>Ramirez</t>
  </si>
  <si>
    <t>C0066</t>
  </si>
  <si>
    <t>Melanie</t>
  </si>
  <si>
    <t>Holland</t>
  </si>
  <si>
    <t>C0067</t>
  </si>
  <si>
    <t>Enrique</t>
  </si>
  <si>
    <t>Cardenas</t>
  </si>
  <si>
    <t>C0068</t>
  </si>
  <si>
    <t>Helen</t>
  </si>
  <si>
    <t>Williamson</t>
  </si>
  <si>
    <t>C0069</t>
  </si>
  <si>
    <t>Isis</t>
  </si>
  <si>
    <t>Rios</t>
  </si>
  <si>
    <t>C0070</t>
  </si>
  <si>
    <t>Kayley</t>
  </si>
  <si>
    <t>Nielsen</t>
  </si>
  <si>
    <t>C0071</t>
  </si>
  <si>
    <t>Donavan</t>
  </si>
  <si>
    <t>Flowers</t>
  </si>
  <si>
    <t>C0072</t>
  </si>
  <si>
    <t>Augustus</t>
  </si>
  <si>
    <t>Hinton</t>
  </si>
  <si>
    <t>C0073</t>
  </si>
  <si>
    <t>Alejandra</t>
  </si>
  <si>
    <t>Greer</t>
  </si>
  <si>
    <t>Denmark</t>
  </si>
  <si>
    <t>Capital Region</t>
  </si>
  <si>
    <t>C0074</t>
  </si>
  <si>
    <t>Violet</t>
  </si>
  <si>
    <t>Nixon</t>
  </si>
  <si>
    <t>C0075</t>
  </si>
  <si>
    <t>Jaelyn</t>
  </si>
  <si>
    <t>Berger</t>
  </si>
  <si>
    <t>C0076</t>
  </si>
  <si>
    <t>Tristian</t>
  </si>
  <si>
    <t>Fuller</t>
  </si>
  <si>
    <t>C0077</t>
  </si>
  <si>
    <t>Christian</t>
  </si>
  <si>
    <t>Costa</t>
  </si>
  <si>
    <t>C0078</t>
  </si>
  <si>
    <t>Nora</t>
  </si>
  <si>
    <t>Lynch</t>
  </si>
  <si>
    <t>C0079</t>
  </si>
  <si>
    <t>Dangelo</t>
  </si>
  <si>
    <t>Shea</t>
  </si>
  <si>
    <t>C0080</t>
  </si>
  <si>
    <t>Aiyana</t>
  </si>
  <si>
    <t>Christensen</t>
  </si>
  <si>
    <t>C0081</t>
  </si>
  <si>
    <t>Sidney</t>
  </si>
  <si>
    <t>Cline</t>
  </si>
  <si>
    <t>C0082</t>
  </si>
  <si>
    <t>Kaitlin</t>
  </si>
  <si>
    <t>Owen</t>
  </si>
  <si>
    <t>Virginia</t>
  </si>
  <si>
    <t>C0083</t>
  </si>
  <si>
    <t>Issac</t>
  </si>
  <si>
    <t>Edwards</t>
  </si>
  <si>
    <t>C0084</t>
  </si>
  <si>
    <t>Zaiden</t>
  </si>
  <si>
    <t>Merritt</t>
  </si>
  <si>
    <t>Wyoming</t>
  </si>
  <si>
    <t>C0085</t>
  </si>
  <si>
    <t>Iris</t>
  </si>
  <si>
    <t>Larsen</t>
  </si>
  <si>
    <t>C0086</t>
  </si>
  <si>
    <t>Grace</t>
  </si>
  <si>
    <t>Stein</t>
  </si>
  <si>
    <t>C0087</t>
  </si>
  <si>
    <t>Alessandra</t>
  </si>
  <si>
    <t>Perry</t>
  </si>
  <si>
    <t>C0088</t>
  </si>
  <si>
    <t>Jamal</t>
  </si>
  <si>
    <t>Mueller</t>
  </si>
  <si>
    <t>C0089</t>
  </si>
  <si>
    <t>Irvin</t>
  </si>
  <si>
    <t>Ellis</t>
  </si>
  <si>
    <t>C0090</t>
  </si>
  <si>
    <t>Terry</t>
  </si>
  <si>
    <t>Forbes</t>
  </si>
  <si>
    <t>C0091</t>
  </si>
  <si>
    <t>Jacqueline</t>
  </si>
  <si>
    <t>C0092</t>
  </si>
  <si>
    <t>Brock</t>
  </si>
  <si>
    <t>Fischer</t>
  </si>
  <si>
    <t>Kansas</t>
  </si>
  <si>
    <t>C0093</t>
  </si>
  <si>
    <t>Curtis</t>
  </si>
  <si>
    <t>Howard</t>
  </si>
  <si>
    <t>C0094</t>
  </si>
  <si>
    <t>Avah</t>
  </si>
  <si>
    <t>Huang</t>
  </si>
  <si>
    <t>C0095</t>
  </si>
  <si>
    <t>Frank</t>
  </si>
  <si>
    <t>Meyer</t>
  </si>
  <si>
    <t>C0096</t>
  </si>
  <si>
    <t>Darien</t>
  </si>
  <si>
    <t>Dorsey</t>
  </si>
  <si>
    <t>C0097</t>
  </si>
  <si>
    <t>Franklin</t>
  </si>
  <si>
    <t>Mack</t>
  </si>
  <si>
    <t>C0098</t>
  </si>
  <si>
    <t>Elena</t>
  </si>
  <si>
    <t>Petrova</t>
  </si>
  <si>
    <t>Saint Petersburg</t>
  </si>
  <si>
    <t>C0099</t>
  </si>
  <si>
    <t>Jack</t>
  </si>
  <si>
    <t>Hanson</t>
  </si>
  <si>
    <t>C0100</t>
  </si>
  <si>
    <t>Emmett</t>
  </si>
  <si>
    <t>Estes</t>
  </si>
  <si>
    <t>C0101</t>
  </si>
  <si>
    <t>Aniya</t>
  </si>
  <si>
    <t>Miller</t>
  </si>
  <si>
    <t>C0102</t>
  </si>
  <si>
    <t>Anderson</t>
  </si>
  <si>
    <t>C0103</t>
  </si>
  <si>
    <t>Kael</t>
  </si>
  <si>
    <t>Hurley</t>
  </si>
  <si>
    <t>C0104</t>
  </si>
  <si>
    <t>Kamden</t>
  </si>
  <si>
    <t>Stewart</t>
  </si>
  <si>
    <t>C0105</t>
  </si>
  <si>
    <t>Aniyah</t>
  </si>
  <si>
    <t>Ali</t>
  </si>
  <si>
    <t>C0106</t>
  </si>
  <si>
    <t>Simon</t>
  </si>
  <si>
    <t>Bennett</t>
  </si>
  <si>
    <t>C0107</t>
  </si>
  <si>
    <t>Laurel</t>
  </si>
  <si>
    <t>Benitez</t>
  </si>
  <si>
    <t>C0108</t>
  </si>
  <si>
    <t>Trey</t>
  </si>
  <si>
    <t>Strong</t>
  </si>
  <si>
    <t>C0109</t>
  </si>
  <si>
    <t>Myah</t>
  </si>
  <si>
    <t>Roman</t>
  </si>
  <si>
    <t>C0110</t>
  </si>
  <si>
    <t>Nyla</t>
  </si>
  <si>
    <t>Blake</t>
  </si>
  <si>
    <t>C0111</t>
  </si>
  <si>
    <t>Kole</t>
  </si>
  <si>
    <t>Shannon</t>
  </si>
  <si>
    <t>C0112</t>
  </si>
  <si>
    <t>Melany</t>
  </si>
  <si>
    <t>Glover</t>
  </si>
  <si>
    <t>C0113</t>
  </si>
  <si>
    <t>Arthur</t>
  </si>
  <si>
    <t>Bray</t>
  </si>
  <si>
    <t>C0114</t>
  </si>
  <si>
    <t>Kamila</t>
  </si>
  <si>
    <t>Collier</t>
  </si>
  <si>
    <t>C0115</t>
  </si>
  <si>
    <t>Amanda</t>
  </si>
  <si>
    <t>C0116</t>
  </si>
  <si>
    <t>Erika</t>
  </si>
  <si>
    <t>Steward</t>
  </si>
  <si>
    <t>C0117</t>
  </si>
  <si>
    <t>Jakobe</t>
  </si>
  <si>
    <t>Bailey</t>
  </si>
  <si>
    <t>Scotland</t>
  </si>
  <si>
    <t>C0118</t>
  </si>
  <si>
    <t>Sonia</t>
  </si>
  <si>
    <t>Choi</t>
  </si>
  <si>
    <t>C0119</t>
  </si>
  <si>
    <t>Gallagher</t>
  </si>
  <si>
    <t>C0120</t>
  </si>
  <si>
    <t>Madeline</t>
  </si>
  <si>
    <t>Michael</t>
  </si>
  <si>
    <t>C0121</t>
  </si>
  <si>
    <t>Chen</t>
  </si>
  <si>
    <t>C0122</t>
  </si>
  <si>
    <t>Belinda</t>
  </si>
  <si>
    <t>Hogan</t>
  </si>
  <si>
    <t>C0123</t>
  </si>
  <si>
    <t>Johanna</t>
  </si>
  <si>
    <t>Fisher</t>
  </si>
  <si>
    <t>C0124</t>
  </si>
  <si>
    <t>Jaylen</t>
  </si>
  <si>
    <t>Turner</t>
  </si>
  <si>
    <t>C0125</t>
  </si>
  <si>
    <t>Juarez</t>
  </si>
  <si>
    <t>C0126</t>
  </si>
  <si>
    <t>Adriana</t>
  </si>
  <si>
    <t>Shaffer</t>
  </si>
  <si>
    <t>C0127</t>
  </si>
  <si>
    <t>Julio</t>
  </si>
  <si>
    <t>Leonard</t>
  </si>
  <si>
    <t>C0128</t>
  </si>
  <si>
    <t>Abdiel</t>
  </si>
  <si>
    <t>C0129</t>
  </si>
  <si>
    <t>Warren</t>
  </si>
  <si>
    <t>Pugh</t>
  </si>
  <si>
    <t>C0130</t>
  </si>
  <si>
    <t>Luis</t>
  </si>
  <si>
    <t>Crane</t>
  </si>
  <si>
    <t>C0131</t>
  </si>
  <si>
    <t>Mohammad</t>
  </si>
  <si>
    <t>Irwin</t>
  </si>
  <si>
    <t>C0132</t>
  </si>
  <si>
    <t>Davion</t>
  </si>
  <si>
    <t>Stout</t>
  </si>
  <si>
    <t>C0133</t>
  </si>
  <si>
    <t>Logan</t>
  </si>
  <si>
    <t>Simmons</t>
  </si>
  <si>
    <t>C0134</t>
  </si>
  <si>
    <t>Kaylin</t>
  </si>
  <si>
    <t>Villarreal</t>
  </si>
  <si>
    <t>Novosibirsk</t>
  </si>
  <si>
    <t>C0135</t>
  </si>
  <si>
    <t>Ruben</t>
  </si>
  <si>
    <t>Melton</t>
  </si>
  <si>
    <t>C0136</t>
  </si>
  <si>
    <t>Gianni</t>
  </si>
  <si>
    <t>Fritz</t>
  </si>
  <si>
    <t>C0137</t>
  </si>
  <si>
    <t>Emilie</t>
  </si>
  <si>
    <t>Morrison</t>
  </si>
  <si>
    <t>C0138</t>
  </si>
  <si>
    <t>Crystal</t>
  </si>
  <si>
    <t>Wyatt</t>
  </si>
  <si>
    <t>C0139</t>
  </si>
  <si>
    <t>Annabel</t>
  </si>
  <si>
    <t>Robles</t>
  </si>
  <si>
    <t>C0140</t>
  </si>
  <si>
    <t>Rachel</t>
  </si>
  <si>
    <t>Cross</t>
  </si>
  <si>
    <t>C0141</t>
  </si>
  <si>
    <t>Madalyn</t>
  </si>
  <si>
    <t>Mercer</t>
  </si>
  <si>
    <t>C0142</t>
  </si>
  <si>
    <t>Michelle</t>
  </si>
  <si>
    <t>Cameron</t>
  </si>
  <si>
    <t>C0143</t>
  </si>
  <si>
    <t>Ezra</t>
  </si>
  <si>
    <t>Lozano</t>
  </si>
  <si>
    <t>C0144</t>
  </si>
  <si>
    <t>Ramiro</t>
  </si>
  <si>
    <t>Oneill</t>
  </si>
  <si>
    <t>C0145</t>
  </si>
  <si>
    <t>Emely</t>
  </si>
  <si>
    <t>Watts</t>
  </si>
  <si>
    <t>C0146</t>
  </si>
  <si>
    <t>Hazel</t>
  </si>
  <si>
    <t>Ayers</t>
  </si>
  <si>
    <t>C0147</t>
  </si>
  <si>
    <t>Cedric</t>
  </si>
  <si>
    <t>Goodwin</t>
  </si>
  <si>
    <t>C0148</t>
  </si>
  <si>
    <t>Dayton</t>
  </si>
  <si>
    <t>Hatfield</t>
  </si>
  <si>
    <t>C0149</t>
  </si>
  <si>
    <t>Piotr</t>
  </si>
  <si>
    <t>Aleksandrov</t>
  </si>
  <si>
    <t>C0150</t>
  </si>
  <si>
    <t>Memphis</t>
  </si>
  <si>
    <t>Mcconnell</t>
  </si>
  <si>
    <t>C0151</t>
  </si>
  <si>
    <t>Arabella</t>
  </si>
  <si>
    <t>Ferrell</t>
  </si>
  <si>
    <t>C0152</t>
  </si>
  <si>
    <t>Sincere</t>
  </si>
  <si>
    <t>Hansen</t>
  </si>
  <si>
    <t>C0153</t>
  </si>
  <si>
    <t>Lara</t>
  </si>
  <si>
    <t>Carrillo</t>
  </si>
  <si>
    <t>C0154</t>
  </si>
  <si>
    <t>Valentina</t>
  </si>
  <si>
    <t>Simpson</t>
  </si>
  <si>
    <t>C0155</t>
  </si>
  <si>
    <t>Kamd</t>
  </si>
  <si>
    <t>C0156</t>
  </si>
  <si>
    <t>Case</t>
  </si>
  <si>
    <t>Sanchez</t>
  </si>
  <si>
    <t>C0157</t>
  </si>
  <si>
    <t>Van</t>
  </si>
  <si>
    <t>Charles</t>
  </si>
  <si>
    <t>C0158</t>
  </si>
  <si>
    <t>Emmy</t>
  </si>
  <si>
    <t>Singh</t>
  </si>
  <si>
    <t>C0159</t>
  </si>
  <si>
    <t>Colin</t>
  </si>
  <si>
    <t>Campos</t>
  </si>
  <si>
    <t>C0160</t>
  </si>
  <si>
    <t>Anya</t>
  </si>
  <si>
    <t>Stephenson</t>
  </si>
  <si>
    <t>C0161</t>
  </si>
  <si>
    <t>Parker</t>
  </si>
  <si>
    <t>Poole</t>
  </si>
  <si>
    <t>C0162</t>
  </si>
  <si>
    <t>Ivan</t>
  </si>
  <si>
    <t>Bright</t>
  </si>
  <si>
    <t>C0163</t>
  </si>
  <si>
    <t>Larry</t>
  </si>
  <si>
    <t>C0164</t>
  </si>
  <si>
    <t>Matthew</t>
  </si>
  <si>
    <t>C0165</t>
  </si>
  <si>
    <t>Mary</t>
  </si>
  <si>
    <t>Hall</t>
  </si>
  <si>
    <t>C0166</t>
  </si>
  <si>
    <t>Carolyn</t>
  </si>
  <si>
    <t>Weaver</t>
  </si>
  <si>
    <t>C0167</t>
  </si>
  <si>
    <t>Green</t>
  </si>
  <si>
    <t>C0168</t>
  </si>
  <si>
    <t>Pamela</t>
  </si>
  <si>
    <t>Sanders</t>
  </si>
  <si>
    <t>C0169</t>
  </si>
  <si>
    <t>Ohio</t>
  </si>
  <si>
    <t>C0170</t>
  </si>
  <si>
    <t>Jacob</t>
  </si>
  <si>
    <t>Jones</t>
  </si>
  <si>
    <t>C0171</t>
  </si>
  <si>
    <t>Julie</t>
  </si>
  <si>
    <t>Washington</t>
  </si>
  <si>
    <t>C0172</t>
  </si>
  <si>
    <t>Catherine</t>
  </si>
  <si>
    <t>Carter</t>
  </si>
  <si>
    <t>C0173</t>
  </si>
  <si>
    <t>Amber</t>
  </si>
  <si>
    <t>Wilson</t>
  </si>
  <si>
    <t>C0174</t>
  </si>
  <si>
    <t>Harris</t>
  </si>
  <si>
    <t>C0175</t>
  </si>
  <si>
    <t>Brandon</t>
  </si>
  <si>
    <t>Alexander</t>
  </si>
  <si>
    <t>C0176</t>
  </si>
  <si>
    <t>Hannah</t>
  </si>
  <si>
    <t>Williams</t>
  </si>
  <si>
    <t>C0177</t>
  </si>
  <si>
    <t>Sarah</t>
  </si>
  <si>
    <t>England</t>
  </si>
  <si>
    <t>C0178</t>
  </si>
  <si>
    <t>Laura</t>
  </si>
  <si>
    <t>Chavez</t>
  </si>
  <si>
    <t>C0179</t>
  </si>
  <si>
    <t>Ashley</t>
  </si>
  <si>
    <t>C0180</t>
  </si>
  <si>
    <t>C0181</t>
  </si>
  <si>
    <t>Lawrence</t>
  </si>
  <si>
    <t>Peterson</t>
  </si>
  <si>
    <t>Texas</t>
  </si>
  <si>
    <t>C0182</t>
  </si>
  <si>
    <t>North Rhine-Westphalia</t>
  </si>
  <si>
    <t>C0183</t>
  </si>
  <si>
    <t>Nicholas</t>
  </si>
  <si>
    <t>C0184</t>
  </si>
  <si>
    <t>Peter</t>
  </si>
  <si>
    <t>Pierce</t>
  </si>
  <si>
    <t>Florida</t>
  </si>
  <si>
    <t>C0185</t>
  </si>
  <si>
    <t>Andrea</t>
  </si>
  <si>
    <t>C0186</t>
  </si>
  <si>
    <t>Carol</t>
  </si>
  <si>
    <t>C0187</t>
  </si>
  <si>
    <t>Cheryl</t>
  </si>
  <si>
    <t>Kim</t>
  </si>
  <si>
    <t>C0188</t>
  </si>
  <si>
    <t>Jose</t>
  </si>
  <si>
    <t>Martin</t>
  </si>
  <si>
    <t>C0189</t>
  </si>
  <si>
    <t>Anna</t>
  </si>
  <si>
    <t>Adams</t>
  </si>
  <si>
    <t>C0190</t>
  </si>
  <si>
    <t>Karen</t>
  </si>
  <si>
    <t>Johnson</t>
  </si>
  <si>
    <t>C0191</t>
  </si>
  <si>
    <t>C0192</t>
  </si>
  <si>
    <t>Margaret</t>
  </si>
  <si>
    <t>Moore</t>
  </si>
  <si>
    <t>C0193</t>
  </si>
  <si>
    <t>Sharon</t>
  </si>
  <si>
    <t>Campbell</t>
  </si>
  <si>
    <t>C0194</t>
  </si>
  <si>
    <t>Jonathan</t>
  </si>
  <si>
    <t>France</t>
  </si>
  <si>
    <t>Ile-de-France</t>
  </si>
  <si>
    <t>C0195</t>
  </si>
  <si>
    <t>Sean</t>
  </si>
  <si>
    <t>C0196</t>
  </si>
  <si>
    <t>C0197</t>
  </si>
  <si>
    <t>C0198</t>
  </si>
  <si>
    <t>White</t>
  </si>
  <si>
    <t>C0199</t>
  </si>
  <si>
    <t>Ryan</t>
  </si>
  <si>
    <t>C0200</t>
  </si>
  <si>
    <t>Linda</t>
  </si>
  <si>
    <t>C0201</t>
  </si>
  <si>
    <t>Lauren</t>
  </si>
  <si>
    <t>C0202</t>
  </si>
  <si>
    <t>Reyes</t>
  </si>
  <si>
    <t>British Columbia</t>
  </si>
  <si>
    <t>C0203</t>
  </si>
  <si>
    <t>Christine</t>
  </si>
  <si>
    <t>Brooks</t>
  </si>
  <si>
    <t>C0204</t>
  </si>
  <si>
    <t>Joyce</t>
  </si>
  <si>
    <t>C0205</t>
  </si>
  <si>
    <t>Kelly</t>
  </si>
  <si>
    <t>Puebla</t>
  </si>
  <si>
    <t>C0206</t>
  </si>
  <si>
    <t>Nancy</t>
  </si>
  <si>
    <t>Roberts</t>
  </si>
  <si>
    <t>C0207</t>
  </si>
  <si>
    <t>Kyle</t>
  </si>
  <si>
    <t>Gray</t>
  </si>
  <si>
    <t>C0208</t>
  </si>
  <si>
    <t>Mark</t>
  </si>
  <si>
    <t>James</t>
  </si>
  <si>
    <t>Provence</t>
  </si>
  <si>
    <t>C0209</t>
  </si>
  <si>
    <t>C0210</t>
  </si>
  <si>
    <t>Janice</t>
  </si>
  <si>
    <t>Price</t>
  </si>
  <si>
    <t>C0211</t>
  </si>
  <si>
    <t>Amy</t>
  </si>
  <si>
    <t>Evans</t>
  </si>
  <si>
    <t>C0212</t>
  </si>
  <si>
    <t>Wood</t>
  </si>
  <si>
    <t>C0213</t>
  </si>
  <si>
    <t>Jason</t>
  </si>
  <si>
    <t>C0214</t>
  </si>
  <si>
    <t>C0215</t>
  </si>
  <si>
    <t>Foster</t>
  </si>
  <si>
    <t>Hamburg</t>
  </si>
  <si>
    <t>C0216</t>
  </si>
  <si>
    <t>Albert</t>
  </si>
  <si>
    <t>C0217</t>
  </si>
  <si>
    <t>Deborah</t>
  </si>
  <si>
    <t>C0218</t>
  </si>
  <si>
    <t>Shirley</t>
  </si>
  <si>
    <t>C0219</t>
  </si>
  <si>
    <t>William</t>
  </si>
  <si>
    <t>C0220</t>
  </si>
  <si>
    <t>Phillips</t>
  </si>
  <si>
    <t>Ontario</t>
  </si>
  <si>
    <t>C0221</t>
  </si>
  <si>
    <t>Atlas</t>
  </si>
  <si>
    <t>C0222</t>
  </si>
  <si>
    <t>Christopher</t>
  </si>
  <si>
    <t>Stone</t>
  </si>
  <si>
    <t>C0223</t>
  </si>
  <si>
    <t>C0224</t>
  </si>
  <si>
    <t>Nathan</t>
  </si>
  <si>
    <t>Richardson</t>
  </si>
  <si>
    <t>C0225</t>
  </si>
  <si>
    <t>Evelyn</t>
  </si>
  <si>
    <t>C0226</t>
  </si>
  <si>
    <t>Julia</t>
  </si>
  <si>
    <t>Jordan</t>
  </si>
  <si>
    <t>C0227</t>
  </si>
  <si>
    <t>C0228</t>
  </si>
  <si>
    <t>Owens</t>
  </si>
  <si>
    <t>C0229</t>
  </si>
  <si>
    <t>C0230</t>
  </si>
  <si>
    <t>Forsyte</t>
  </si>
  <si>
    <t>C0231</t>
  </si>
  <si>
    <t>Ronald</t>
  </si>
  <si>
    <t>Rogers</t>
  </si>
  <si>
    <t>Central Denmark</t>
  </si>
  <si>
    <t>C0232</t>
  </si>
  <si>
    <t>Megan</t>
  </si>
  <si>
    <t>C0233</t>
  </si>
  <si>
    <t>Garcia</t>
  </si>
  <si>
    <t>C0234</t>
  </si>
  <si>
    <t>Hughes</t>
  </si>
  <si>
    <t>New York</t>
  </si>
  <si>
    <t>C0235</t>
  </si>
  <si>
    <t>Kenneth</t>
  </si>
  <si>
    <t>Allen</t>
  </si>
  <si>
    <t>C0236</t>
  </si>
  <si>
    <t>Gerald</t>
  </si>
  <si>
    <t>Manitoba</t>
  </si>
  <si>
    <t>C0237</t>
  </si>
  <si>
    <t>C0238</t>
  </si>
  <si>
    <t>Patterson</t>
  </si>
  <si>
    <t>C0239</t>
  </si>
  <si>
    <t>Baker</t>
  </si>
  <si>
    <t>C0240</t>
  </si>
  <si>
    <t>Morales</t>
  </si>
  <si>
    <t>C0241</t>
  </si>
  <si>
    <t>Nuevo Leon</t>
  </si>
  <si>
    <t>C0242</t>
  </si>
  <si>
    <t>Stephen</t>
  </si>
  <si>
    <t>C0243</t>
  </si>
  <si>
    <t>C0244</t>
  </si>
  <si>
    <t>C0245</t>
  </si>
  <si>
    <t>Long</t>
  </si>
  <si>
    <t>C0246</t>
  </si>
  <si>
    <t>Normandy</t>
  </si>
  <si>
    <t>C0247</t>
  </si>
  <si>
    <t>Morris</t>
  </si>
  <si>
    <t>C0248</t>
  </si>
  <si>
    <t>Carl</t>
  </si>
  <si>
    <t>Collins</t>
  </si>
  <si>
    <t>C0249</t>
  </si>
  <si>
    <t>Stephanie</t>
  </si>
  <si>
    <t>Montgomery</t>
  </si>
  <si>
    <t>C0250</t>
  </si>
  <si>
    <t>Justin</t>
  </si>
  <si>
    <t>C0251</t>
  </si>
  <si>
    <t>C0252</t>
  </si>
  <si>
    <t>Elizabeth</t>
  </si>
  <si>
    <t>C0253</t>
  </si>
  <si>
    <t>Betty</t>
  </si>
  <si>
    <t>C0254</t>
  </si>
  <si>
    <t>Freeman</t>
  </si>
  <si>
    <t>C0255</t>
  </si>
  <si>
    <t>Sara</t>
  </si>
  <si>
    <t>C0256</t>
  </si>
  <si>
    <t>Anthony</t>
  </si>
  <si>
    <t>C0257</t>
  </si>
  <si>
    <t>C0258</t>
  </si>
  <si>
    <t>Murray</t>
  </si>
  <si>
    <t>C0259</t>
  </si>
  <si>
    <t>Emma</t>
  </si>
  <si>
    <t>C0260</t>
  </si>
  <si>
    <t>Rebecca</t>
  </si>
  <si>
    <t>C0261</t>
  </si>
  <si>
    <t>Celera</t>
  </si>
  <si>
    <t>C0262</t>
  </si>
  <si>
    <t>Billy</t>
  </si>
  <si>
    <t>Bryant</t>
  </si>
  <si>
    <t>C0263</t>
  </si>
  <si>
    <t>C0264</t>
  </si>
  <si>
    <t>Melissa</t>
  </si>
  <si>
    <t>C0265</t>
  </si>
  <si>
    <t>Flanders</t>
  </si>
  <si>
    <t>C0266</t>
  </si>
  <si>
    <t>Aaron</t>
  </si>
  <si>
    <t>C0267</t>
  </si>
  <si>
    <t>Judy</t>
  </si>
  <si>
    <t>C0268</t>
  </si>
  <si>
    <t>Danielle</t>
  </si>
  <si>
    <t>Georgia</t>
  </si>
  <si>
    <t>C0269</t>
  </si>
  <si>
    <t>David</t>
  </si>
  <si>
    <t>C0270</t>
  </si>
  <si>
    <t>C0271</t>
  </si>
  <si>
    <t>C0272</t>
  </si>
  <si>
    <t>C0273</t>
  </si>
  <si>
    <t>Paul</t>
  </si>
  <si>
    <t>Zealand</t>
  </si>
  <si>
    <t>C0274</t>
  </si>
  <si>
    <t>Raymond</t>
  </si>
  <si>
    <t>Young</t>
  </si>
  <si>
    <t>C0275</t>
  </si>
  <si>
    <t>Thompson</t>
  </si>
  <si>
    <t>C0276</t>
  </si>
  <si>
    <t>Gloria</t>
  </si>
  <si>
    <t>C0277</t>
  </si>
  <si>
    <t>C0278</t>
  </si>
  <si>
    <t>C0279</t>
  </si>
  <si>
    <t>Heather</t>
  </si>
  <si>
    <t>C0280</t>
  </si>
  <si>
    <t>C0281</t>
  </si>
  <si>
    <t>Katherine</t>
  </si>
  <si>
    <t>C0282</t>
  </si>
  <si>
    <t>Emily</t>
  </si>
  <si>
    <t>C0283</t>
  </si>
  <si>
    <t>Susan</t>
  </si>
  <si>
    <t>C0284</t>
  </si>
  <si>
    <t>C0285</t>
  </si>
  <si>
    <t>C0286</t>
  </si>
  <si>
    <t>Noah</t>
  </si>
  <si>
    <t>C0287</t>
  </si>
  <si>
    <t>Joan</t>
  </si>
  <si>
    <t>Bell</t>
  </si>
  <si>
    <t>Australia</t>
  </si>
  <si>
    <t>New South Wales</t>
  </si>
  <si>
    <t>C0288</t>
  </si>
  <si>
    <t>C0289</t>
  </si>
  <si>
    <t>Hayes</t>
  </si>
  <si>
    <t>C0290</t>
  </si>
  <si>
    <t>Watson</t>
  </si>
  <si>
    <t>C0291</t>
  </si>
  <si>
    <t>C0292</t>
  </si>
  <si>
    <t>C0293</t>
  </si>
  <si>
    <t>Ruth</t>
  </si>
  <si>
    <t>C0294</t>
  </si>
  <si>
    <t>C0295</t>
  </si>
  <si>
    <t>Roger</t>
  </si>
  <si>
    <t>Tatarstan</t>
  </si>
  <si>
    <t>C0296</t>
  </si>
  <si>
    <t>C0297</t>
  </si>
  <si>
    <t>Wales</t>
  </si>
  <si>
    <t>C0298</t>
  </si>
  <si>
    <t>C0299</t>
  </si>
  <si>
    <t>Barbara</t>
  </si>
  <si>
    <t>Davis</t>
  </si>
  <si>
    <t>C0300</t>
  </si>
  <si>
    <t>Zachary</t>
  </si>
  <si>
    <t>Alberta</t>
  </si>
  <si>
    <t>C0301</t>
  </si>
  <si>
    <t>Lisa</t>
  </si>
  <si>
    <t>C0302</t>
  </si>
  <si>
    <t>Maria</t>
  </si>
  <si>
    <t>C0303</t>
  </si>
  <si>
    <t>C0304</t>
  </si>
  <si>
    <t>C0305</t>
  </si>
  <si>
    <t>C0306</t>
  </si>
  <si>
    <t>Samuel</t>
  </si>
  <si>
    <t>C0307</t>
  </si>
  <si>
    <t>C0308</t>
  </si>
  <si>
    <t>C0309</t>
  </si>
  <si>
    <t>Cox</t>
  </si>
  <si>
    <t>C0310</t>
  </si>
  <si>
    <t>Edward</t>
  </si>
  <si>
    <t>C0311</t>
  </si>
  <si>
    <t>C0312</t>
  </si>
  <si>
    <t>Cooper</t>
  </si>
  <si>
    <t>C0313</t>
  </si>
  <si>
    <t>Stratos</t>
  </si>
  <si>
    <t>C0314</t>
  </si>
  <si>
    <t>Andrew</t>
  </si>
  <si>
    <t>C0315</t>
  </si>
  <si>
    <t>Baja California</t>
  </si>
  <si>
    <t>C0316</t>
  </si>
  <si>
    <t>C0317</t>
  </si>
  <si>
    <t>C0318</t>
  </si>
  <si>
    <t>C0319</t>
  </si>
  <si>
    <t>Zynex</t>
  </si>
  <si>
    <t>C0320</t>
  </si>
  <si>
    <t>C0321</t>
  </si>
  <si>
    <t>Jesse</t>
  </si>
  <si>
    <t>Cook</t>
  </si>
  <si>
    <t>C0322</t>
  </si>
  <si>
    <t>C0323</t>
  </si>
  <si>
    <t>Samantha</t>
  </si>
  <si>
    <t>C0324</t>
  </si>
  <si>
    <t>C0325</t>
  </si>
  <si>
    <t>Flores</t>
  </si>
  <si>
    <t>C0326</t>
  </si>
  <si>
    <t>Daniel</t>
  </si>
  <si>
    <t>Reed</t>
  </si>
  <si>
    <t>C0327</t>
  </si>
  <si>
    <t>Ward</t>
  </si>
  <si>
    <t>C0328</t>
  </si>
  <si>
    <t>C0329</t>
  </si>
  <si>
    <t>Diane</t>
  </si>
  <si>
    <t>Hesse</t>
  </si>
  <si>
    <t>C0330</t>
  </si>
  <si>
    <t>C0331</t>
  </si>
  <si>
    <t>Ann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</si>
  <si>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</si>
  <si>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</si>
  <si>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</si>
  <si>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</si>
  <si>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</si>
  <si>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</si>
  <si>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</si>
  <si>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</si>
  <si>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Keith</t>
  </si>
  <si>
    <t>King</t>
  </si>
  <si>
    <t>C0340</t>
  </si>
  <si>
    <t>C0341</t>
  </si>
  <si>
    <t>C0342</t>
  </si>
  <si>
    <t>C0343</t>
  </si>
  <si>
    <t>C0344</t>
  </si>
  <si>
    <t>Joshua</t>
  </si>
  <si>
    <t>Jackson</t>
  </si>
  <si>
    <t>C0345</t>
  </si>
  <si>
    <t>C0346</t>
  </si>
  <si>
    <t>C0347</t>
  </si>
  <si>
    <t>C0348</t>
  </si>
  <si>
    <t>C0349</t>
  </si>
  <si>
    <t>C0350</t>
  </si>
  <si>
    <t>Richard</t>
  </si>
  <si>
    <t>C0351</t>
  </si>
  <si>
    <t>C0352</t>
  </si>
  <si>
    <t>Judith</t>
  </si>
  <si>
    <t>C0353</t>
  </si>
  <si>
    <t>C0354</t>
  </si>
  <si>
    <t>Kimberly</t>
  </si>
  <si>
    <t>C0355</t>
  </si>
  <si>
    <t>C0356</t>
  </si>
  <si>
    <t>C0357</t>
  </si>
  <si>
    <t>Griffin</t>
  </si>
  <si>
    <t>C0358</t>
  </si>
  <si>
    <t>C0359</t>
  </si>
  <si>
    <t>C0360</t>
  </si>
  <si>
    <t>C0361</t>
  </si>
  <si>
    <t>C0362</t>
  </si>
  <si>
    <t>C0363</t>
  </si>
  <si>
    <t>C0364</t>
  </si>
  <si>
    <t>George</t>
  </si>
  <si>
    <t>C0365</t>
  </si>
  <si>
    <t>C0366</t>
  </si>
  <si>
    <t>C0367</t>
  </si>
  <si>
    <t>C0368</t>
  </si>
  <si>
    <t>Scott</t>
  </si>
  <si>
    <t>C0369</t>
  </si>
  <si>
    <t>C0370</t>
  </si>
  <si>
    <t>C0371</t>
  </si>
  <si>
    <t>Wallonia</t>
  </si>
  <si>
    <t>C0372</t>
  </si>
  <si>
    <t>Teresa</t>
  </si>
  <si>
    <t>C0373</t>
  </si>
  <si>
    <t>C0374</t>
  </si>
  <si>
    <t>Madison</t>
  </si>
  <si>
    <t>C0375</t>
  </si>
  <si>
    <t>C0376</t>
  </si>
  <si>
    <t>Smith</t>
  </si>
  <si>
    <t>C0377</t>
  </si>
  <si>
    <t>C0378</t>
  </si>
  <si>
    <t>C0379</t>
  </si>
  <si>
    <t>Optima</t>
  </si>
  <si>
    <t>C0380</t>
  </si>
  <si>
    <t>C0381</t>
  </si>
  <si>
    <t>C0382</t>
  </si>
  <si>
    <t>C0383</t>
  </si>
  <si>
    <t>Novex</t>
  </si>
  <si>
    <t>C0384</t>
  </si>
  <si>
    <t>C0385</t>
  </si>
  <si>
    <t>Douglas</t>
  </si>
  <si>
    <t>C0386</t>
  </si>
  <si>
    <t>C0387</t>
  </si>
  <si>
    <t>Jessica</t>
  </si>
  <si>
    <t>C0388</t>
  </si>
  <si>
    <t>C0389</t>
  </si>
  <si>
    <t>C0390</t>
  </si>
  <si>
    <t>Steven</t>
  </si>
  <si>
    <t>C0391</t>
  </si>
  <si>
    <t>C0392</t>
  </si>
  <si>
    <t>C0393</t>
  </si>
  <si>
    <t>Nicole</t>
  </si>
  <si>
    <t>C0394</t>
  </si>
  <si>
    <t>C0395</t>
  </si>
  <si>
    <t>C0396</t>
  </si>
  <si>
    <t>C0397</t>
  </si>
  <si>
    <t>C0398</t>
  </si>
  <si>
    <t>Jennifer</t>
  </si>
  <si>
    <t>C0399</t>
  </si>
  <si>
    <t>C0400</t>
  </si>
  <si>
    <t>C0401</t>
  </si>
  <si>
    <t>Brian</t>
  </si>
  <si>
    <t>C0402</t>
  </si>
  <si>
    <t>Brenda</t>
  </si>
  <si>
    <t>C0403</t>
  </si>
  <si>
    <t>C0404</t>
  </si>
  <si>
    <t>C0405</t>
  </si>
  <si>
    <t>Horizon</t>
  </si>
  <si>
    <t>C0406</t>
  </si>
  <si>
    <t>C0407</t>
  </si>
  <si>
    <t>C0408</t>
  </si>
  <si>
    <t>C0409</t>
  </si>
  <si>
    <t>Timothy</t>
  </si>
  <si>
    <t>C0410</t>
  </si>
  <si>
    <t>C0411</t>
  </si>
  <si>
    <t>C0412</t>
  </si>
  <si>
    <t>C0413</t>
  </si>
  <si>
    <t>C0414</t>
  </si>
  <si>
    <t>C0415</t>
  </si>
  <si>
    <t>C0416</t>
  </si>
  <si>
    <t>Bravada</t>
  </si>
  <si>
    <t>C0417</t>
  </si>
  <si>
    <t>C0418</t>
  </si>
  <si>
    <t>C0419</t>
  </si>
  <si>
    <t>C0420</t>
  </si>
  <si>
    <t>Debra</t>
  </si>
  <si>
    <t>C0421</t>
  </si>
  <si>
    <t>C0422</t>
  </si>
  <si>
    <t>Telnox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</si>
  <si>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</si>
  <si>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</si>
  <si>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</si>
  <si>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</si>
  <si>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</si>
  <si>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</si>
  <si>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</si>
  <si>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</si>
  <si>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</si>
  <si>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Austin</t>
  </si>
  <si>
    <t>C0432</t>
  </si>
  <si>
    <t>Grandis</t>
  </si>
  <si>
    <t>C0433</t>
  </si>
  <si>
    <t>C0434</t>
  </si>
  <si>
    <t>C0435</t>
  </si>
  <si>
    <t>C0436</t>
  </si>
  <si>
    <t>C0437</t>
  </si>
  <si>
    <t>C0438</t>
  </si>
  <si>
    <t>Gregory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</si>
  <si>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</si>
  <si>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</si>
  <si>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</si>
  <si>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</si>
  <si>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</si>
  <si>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</si>
  <si>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</si>
  <si>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</si>
  <si>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Thomas</t>
  </si>
  <si>
    <t>C0447</t>
  </si>
  <si>
    <t>Patricia</t>
  </si>
  <si>
    <t>C0448</t>
  </si>
  <si>
    <t>C0449</t>
  </si>
  <si>
    <t>C0450</t>
  </si>
  <si>
    <t>C0451</t>
  </si>
  <si>
    <t>C0452</t>
  </si>
  <si>
    <t>C0453</t>
  </si>
  <si>
    <t>C0454</t>
  </si>
  <si>
    <t>Altira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</si>
  <si>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</si>
  <si>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</si>
  <si>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</si>
  <si>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</si>
  <si>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</si>
  <si>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</si>
  <si>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</si>
  <si>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</si>
  <si>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Eric</t>
  </si>
  <si>
    <t>Victoria</t>
  </si>
  <si>
    <t>C0463</t>
  </si>
  <si>
    <t>C0464</t>
  </si>
  <si>
    <t>C0465</t>
  </si>
  <si>
    <t>C0466</t>
  </si>
  <si>
    <t>C0467</t>
  </si>
  <si>
    <t>C0468</t>
  </si>
  <si>
    <t>Jalisco</t>
  </si>
  <si>
    <t>C0469</t>
  </si>
  <si>
    <t>Adam</t>
  </si>
  <si>
    <t>C0470</t>
  </si>
  <si>
    <t>C0471</t>
  </si>
  <si>
    <t>Gary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</si>
  <si>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</si>
  <si>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</si>
  <si>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</si>
  <si>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</si>
  <si>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</si>
  <si>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</si>
  <si>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</si>
  <si>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</si>
  <si>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</si>
  <si>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</si>
  <si>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</si>
  <si>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</si>
  <si>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</si>
  <si>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Janet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</si>
  <si>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</si>
  <si>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</si>
  <si>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</si>
  <si>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</si>
  <si>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</si>
  <si>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</si>
  <si>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</si>
  <si>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</si>
  <si>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</si>
  <si>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</si>
  <si>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</si>
  <si>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Jerry</t>
  </si>
  <si>
    <t>C0496</t>
  </si>
  <si>
    <t>C0497</t>
  </si>
  <si>
    <t>C0498</t>
  </si>
  <si>
    <t>C0499</t>
  </si>
  <si>
    <t>C0500</t>
  </si>
  <si>
    <t>Dennis</t>
  </si>
  <si>
    <t>C0501</t>
  </si>
  <si>
    <t>C0502</t>
  </si>
  <si>
    <t>C0503</t>
  </si>
  <si>
    <t>C0504</t>
  </si>
  <si>
    <t>Jeffrey</t>
  </si>
  <si>
    <t>C0505</t>
  </si>
  <si>
    <t>C0506</t>
  </si>
  <si>
    <t>C0507</t>
  </si>
  <si>
    <t>C0508</t>
  </si>
  <si>
    <t>C0509</t>
  </si>
  <si>
    <t>C0510</t>
  </si>
  <si>
    <t>Brittany</t>
  </si>
  <si>
    <t>C0511</t>
  </si>
  <si>
    <t>C0512</t>
  </si>
  <si>
    <t>C0513</t>
  </si>
  <si>
    <t>C0514</t>
  </si>
  <si>
    <t>C0515</t>
  </si>
  <si>
    <t>C0516</t>
  </si>
  <si>
    <t>C0517</t>
  </si>
  <si>
    <t>Harold</t>
  </si>
  <si>
    <t>C0518</t>
  </si>
  <si>
    <t>Lumina</t>
  </si>
  <si>
    <t>C0519</t>
  </si>
  <si>
    <t>C0520</t>
  </si>
  <si>
    <t>C0521</t>
  </si>
  <si>
    <t>C0522</t>
  </si>
  <si>
    <t>C0523</t>
  </si>
  <si>
    <t>Cynthia</t>
  </si>
  <si>
    <t>C0524</t>
  </si>
  <si>
    <t>C0525</t>
  </si>
  <si>
    <t>C0526</t>
  </si>
  <si>
    <t>Bavaria</t>
  </si>
  <si>
    <t>C0527</t>
  </si>
  <si>
    <t>C0528</t>
  </si>
  <si>
    <t>Benjamin</t>
  </si>
  <si>
    <t>C0529</t>
  </si>
  <si>
    <t>C0530</t>
  </si>
  <si>
    <t>C0531</t>
  </si>
  <si>
    <t>C0532</t>
  </si>
  <si>
    <t>C0533</t>
  </si>
  <si>
    <t>C0534</t>
  </si>
  <si>
    <t>Bryan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</si>
  <si>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</si>
  <si>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</si>
  <si>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</si>
  <si>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</si>
  <si>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</si>
  <si>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</si>
  <si>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</si>
  <si>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</si>
  <si>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</si>
  <si>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</si>
  <si>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</si>
  <si>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</si>
  <si>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</si>
  <si>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</si>
  <si>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</si>
  <si>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</si>
  <si>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Vertex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</si>
  <si>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</si>
  <si>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</si>
  <si>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</si>
  <si>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</si>
  <si>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</si>
  <si>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</si>
  <si>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</si>
  <si>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</si>
  <si>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North Denmark</t>
  </si>
  <si>
    <t>C0559</t>
  </si>
  <si>
    <t>Corvus</t>
  </si>
  <si>
    <t>C0560</t>
  </si>
  <si>
    <t>South Australia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</si>
  <si>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</si>
  <si>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</si>
  <si>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</si>
  <si>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</si>
  <si>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</si>
  <si>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</si>
  <si>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</si>
  <si>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</si>
  <si>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</si>
  <si>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</si>
  <si>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Occitanie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</si>
  <si>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</si>
  <si>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</si>
  <si>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</si>
  <si>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</si>
  <si>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</si>
  <si>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</si>
  <si>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</si>
  <si>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</si>
  <si>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</si>
  <si>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</si>
  <si>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</si>
  <si>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</si>
  <si>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</si>
  <si>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</si>
  <si>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</si>
  <si>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</si>
  <si>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</si>
  <si>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</si>
  <si>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</si>
  <si>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</si>
  <si>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</si>
  <si>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Dorothy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</si>
  <si>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</si>
  <si>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</si>
  <si>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</si>
  <si>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</si>
  <si>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</si>
  <si>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</si>
  <si>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</si>
  <si>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</si>
  <si>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</si>
  <si>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</si>
  <si>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</si>
  <si>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</si>
  <si>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</si>
  <si>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</si>
  <si>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</si>
  <si>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</si>
  <si>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</si>
  <si>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</si>
  <si>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</si>
  <si>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</si>
  <si>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</si>
  <si>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</si>
  <si>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</si>
  <si>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</si>
  <si>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</si>
  <si>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</si>
  <si>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</si>
  <si>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</si>
  <si>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</si>
  <si>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</si>
  <si>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</si>
  <si>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</si>
  <si>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</si>
  <si>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</si>
  <si>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</si>
  <si>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</si>
  <si>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</si>
  <si>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</si>
  <si>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</si>
  <si>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</si>
  <si>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</si>
  <si>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</si>
  <si>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</si>
  <si>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</si>
  <si>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</si>
  <si>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Kathleen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</si>
  <si>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</si>
  <si>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</si>
  <si>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</si>
  <si>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</si>
  <si>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</si>
  <si>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</si>
  <si>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</si>
  <si>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</si>
  <si>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</si>
  <si>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</si>
  <si>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</si>
  <si>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</si>
  <si>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</si>
  <si>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Mitchell</t>
  </si>
  <si>
    <t>C0650</t>
  </si>
  <si>
    <t>Polaris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</si>
  <si>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</si>
  <si>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</si>
  <si>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</si>
  <si>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</si>
  <si>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</si>
  <si>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</si>
  <si>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</si>
  <si>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</si>
  <si>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</si>
  <si>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</si>
  <si>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</si>
  <si>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</si>
  <si>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</si>
  <si>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</si>
  <si>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</si>
  <si>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Robert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</si>
  <si>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</si>
  <si>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</si>
  <si>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</si>
  <si>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</si>
  <si>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</si>
  <si>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</si>
  <si>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</si>
  <si>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</si>
  <si>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</si>
  <si>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</si>
  <si>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</si>
  <si>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</si>
  <si>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</si>
  <si>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</si>
  <si>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</si>
  <si>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</si>
  <si>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Helios</t>
  </si>
  <si>
    <t>C0682</t>
  </si>
  <si>
    <t>Donald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</si>
  <si>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</si>
  <si>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</si>
  <si>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</si>
  <si>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</si>
  <si>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</si>
  <si>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</si>
  <si>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</si>
  <si>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</si>
  <si>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</si>
  <si>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</si>
  <si>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</si>
  <si>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</si>
  <si>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Sterling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</si>
  <si>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</si>
  <si>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</si>
  <si>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</si>
  <si>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</si>
  <si>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</si>
  <si>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</si>
  <si>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</si>
  <si>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</si>
  <si>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</si>
  <si>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Elara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</si>
  <si>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</si>
  <si>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</si>
  <si>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</si>
  <si>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</si>
  <si>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</si>
  <si>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</si>
  <si>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</si>
  <si>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</si>
  <si>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</si>
  <si>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</si>
  <si>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</si>
  <si>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</si>
  <si>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</si>
  <si>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</si>
  <si>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</si>
  <si>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Martha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</si>
  <si>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</si>
  <si>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</si>
  <si>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</si>
  <si>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</si>
  <si>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</si>
  <si>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</si>
  <si>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</si>
  <si>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</si>
  <si>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</si>
  <si>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</si>
  <si>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</si>
  <si>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</si>
  <si>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</si>
  <si>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</si>
  <si>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</si>
  <si>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</si>
  <si>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</si>
  <si>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</si>
  <si>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</si>
  <si>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</si>
  <si>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</si>
  <si>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</si>
  <si>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</si>
  <si>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Sandra</t>
  </si>
  <si>
    <t>C0742</t>
  </si>
  <si>
    <t>C0743</t>
  </si>
  <si>
    <t>C0744</t>
  </si>
  <si>
    <t>C0745</t>
  </si>
  <si>
    <t>C0746</t>
  </si>
  <si>
    <t>C0747</t>
  </si>
  <si>
    <t>C0748</t>
  </si>
  <si>
    <t>Vantage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</si>
  <si>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</si>
  <si>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</si>
  <si>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</si>
  <si>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</si>
  <si>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</si>
  <si>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</si>
  <si>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</si>
  <si>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</si>
  <si>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</si>
  <si>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</si>
  <si>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Joe</t>
  </si>
  <si>
    <t>C0759</t>
  </si>
  <si>
    <t>C0760</t>
  </si>
  <si>
    <t>C0761</t>
  </si>
  <si>
    <t>C0762</t>
  </si>
  <si>
    <t>C0763</t>
  </si>
  <si>
    <t>Summit</t>
  </si>
  <si>
    <t>C0764</t>
  </si>
  <si>
    <t>C0765</t>
  </si>
  <si>
    <t>C0766</t>
  </si>
  <si>
    <t>C0767</t>
  </si>
  <si>
    <t>C0768</t>
  </si>
  <si>
    <t>Southern Denmark</t>
  </si>
  <si>
    <t>C0769</t>
  </si>
  <si>
    <t>C0770</t>
  </si>
  <si>
    <t>C0771</t>
  </si>
  <si>
    <t>Quasar</t>
  </si>
  <si>
    <t>C0772</t>
  </si>
  <si>
    <t>Ethan</t>
  </si>
  <si>
    <t>C0773</t>
  </si>
  <si>
    <t>C0774</t>
  </si>
  <si>
    <t>C0775</t>
  </si>
  <si>
    <t>C0776</t>
  </si>
  <si>
    <t>C0777</t>
  </si>
  <si>
    <t>Meridian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</si>
  <si>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</si>
  <si>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</si>
  <si>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</si>
  <si>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</si>
  <si>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</si>
  <si>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</si>
  <si>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</si>
  <si>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</si>
  <si>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Rexon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</si>
  <si>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</si>
  <si>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</si>
  <si>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</si>
  <si>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</si>
  <si>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</si>
  <si>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</si>
  <si>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</si>
  <si>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</si>
  <si>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</si>
  <si>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</si>
  <si>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</si>
  <si>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</si>
  <si>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</si>
  <si>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</si>
  <si>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</si>
  <si>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</si>
  <si>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</si>
  <si>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</si>
  <si>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</si>
  <si>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</si>
  <si>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</si>
  <si>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</si>
  <si>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</si>
  <si>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</si>
  <si>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</si>
  <si>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</si>
  <si>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</si>
  <si>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</si>
  <si>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</si>
  <si>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</si>
  <si>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</si>
  <si>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</si>
  <si>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</si>
  <si>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</si>
  <si>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</si>
  <si>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</si>
  <si>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</si>
  <si>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</si>
  <si>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</si>
  <si>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</si>
  <si>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</si>
  <si>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</si>
  <si>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</si>
  <si>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</si>
  <si>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</si>
  <si>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</si>
  <si>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</si>
  <si>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</si>
  <si>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</si>
  <si>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</si>
  <si>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</si>
  <si>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</si>
  <si>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</si>
  <si>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</si>
  <si>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</si>
  <si>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</si>
  <si>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</si>
  <si>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</si>
  <si>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</si>
  <si>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</si>
  <si>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</si>
  <si>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</si>
  <si>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</si>
  <si>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</si>
  <si>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</si>
  <si>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</si>
  <si>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</si>
  <si>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</si>
  <si>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</si>
  <si>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</si>
  <si>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Queensland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</si>
  <si>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</si>
  <si>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</si>
  <si>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</si>
  <si>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</si>
  <si>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</si>
  <si>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</si>
  <si>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</si>
  <si>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</si>
  <si>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</si>
  <si>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</si>
  <si>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</si>
  <si>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</si>
  <si>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</si>
  <si>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</si>
  <si>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</si>
  <si>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Harmon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</si>
  <si>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</si>
  <si>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</si>
  <si>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</si>
  <si>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</si>
  <si>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</si>
  <si>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</si>
  <si>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</si>
  <si>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</si>
  <si>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</si>
  <si>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</si>
  <si>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</si>
  <si>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</si>
  <si>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</si>
  <si>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</si>
  <si>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</si>
  <si>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</si>
  <si>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</si>
  <si>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</si>
  <si>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</si>
  <si>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</si>
  <si>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</si>
  <si>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</si>
  <si>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</si>
  <si>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</si>
  <si>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</si>
  <si>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</si>
  <si>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</si>
  <si>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</si>
  <si>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</si>
  <si>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Apex</t>
  </si>
  <si>
    <t>C0900</t>
  </si>
  <si>
    <t>C0901</t>
  </si>
  <si>
    <t>C0902</t>
  </si>
  <si>
    <t>Peerex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</si>
  <si>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</si>
  <si>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</si>
  <si>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</si>
  <si>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</si>
  <si>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</si>
  <si>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</si>
  <si>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</si>
  <si>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</si>
  <si>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</si>
  <si>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</si>
  <si>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Christina</t>
  </si>
  <si>
    <t>C0913</t>
  </si>
  <si>
    <t>C0914</t>
  </si>
  <si>
    <t>C0915</t>
  </si>
  <si>
    <t>C0916</t>
  </si>
  <si>
    <t>Moscow Oblast</t>
  </si>
  <si>
    <t>C0917</t>
  </si>
  <si>
    <t>C0918</t>
  </si>
  <si>
    <t>Western Australia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</si>
  <si>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</si>
  <si>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</si>
  <si>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</si>
  <si>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</si>
  <si>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</si>
  <si>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</si>
  <si>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</si>
  <si>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</si>
  <si>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</si>
  <si>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</si>
  <si>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</si>
  <si>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</si>
  <si>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</si>
  <si>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</si>
  <si>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</si>
  <si>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</si>
  <si>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</si>
  <si>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</si>
  <si>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</si>
  <si>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</si>
  <si>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</si>
  <si>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</si>
  <si>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</si>
  <si>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</si>
  <si>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</si>
  <si>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</si>
  <si>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</si>
  <si>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</si>
  <si>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</si>
  <si>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</si>
  <si>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</si>
  <si>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</si>
  <si>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</si>
  <si>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</si>
  <si>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</si>
  <si>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</si>
  <si>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</si>
  <si>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</si>
  <si>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</si>
  <si>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Crestwood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</si>
  <si>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</si>
  <si>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</si>
  <si>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</si>
  <si>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</si>
  <si>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</si>
  <si>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</si>
  <si>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</si>
  <si>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</si>
  <si>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</si>
  <si>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</si>
  <si>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</si>
  <si>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</si>
  <si>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</si>
  <si>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</si>
  <si>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</si>
  <si>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</si>
  <si>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</si>
  <si>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</si>
  <si>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</si>
  <si>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</si>
  <si>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</si>
  <si>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</si>
  <si>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</si>
  <si>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</si>
  <si>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</si>
  <si>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</si>
  <si>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</si>
  <si>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</si>
  <si>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</si>
  <si>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</si>
  <si>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</si>
  <si>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</si>
  <si>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</si>
  <si>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</si>
  <si>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</si>
  <si>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</si>
  <si>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</si>
  <si>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</si>
  <si>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</si>
  <si>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</si>
  <si>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</si>
  <si>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</si>
  <si>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</si>
  <si>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</si>
  <si>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</si>
  <si>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</si>
  <si>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</si>
  <si>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</si>
  <si>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</si>
  <si>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</si>
  <si>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</si>
  <si>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</si>
  <si>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</si>
  <si>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</si>
  <si>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</si>
  <si>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</si>
  <si>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</si>
  <si>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</si>
  <si>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</si>
  <si>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</si>
  <si>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</si>
  <si>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Tiffany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</si>
  <si>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</si>
  <si>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</si>
  <si>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</si>
  <si>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</si>
  <si>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</si>
  <si>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</si>
  <si>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</si>
  <si>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</si>
  <si>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</si>
  <si>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</si>
  <si>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</si>
  <si>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</si>
  <si>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</si>
  <si>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</si>
  <si>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</si>
  <si>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</si>
  <si>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</si>
  <si>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</si>
  <si>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</si>
  <si>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</si>
  <si>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</si>
  <si>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</si>
  <si>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</si>
  <si>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</si>
  <si>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</si>
  <si>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</si>
  <si>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</si>
  <si>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</si>
  <si>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</si>
  <si>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</si>
  <si>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Angela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</si>
  <si>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</si>
  <si>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</si>
  <si>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</si>
  <si>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</si>
  <si>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</si>
  <si>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</si>
  <si>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</si>
  <si>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</si>
  <si>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</si>
  <si>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</si>
  <si>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</si>
  <si>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</si>
  <si>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</si>
  <si>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</si>
  <si>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</si>
  <si>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</si>
  <si>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</si>
  <si>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</si>
  <si>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</si>
  <si>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</si>
  <si>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</si>
  <si>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</si>
  <si>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</si>
  <si>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</si>
  <si>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</si>
  <si>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</si>
  <si>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</si>
  <si>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</si>
  <si>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</si>
  <si>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</si>
  <si>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</si>
  <si>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</si>
  <si>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</si>
  <si>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</si>
  <si>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</si>
  <si>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</si>
  <si>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</si>
  <si>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</si>
  <si>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</si>
  <si>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</si>
  <si>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</si>
  <si>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</si>
  <si>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</si>
  <si>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</si>
  <si>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</si>
  <si>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</si>
  <si>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</si>
  <si>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</si>
  <si>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</si>
  <si>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</si>
  <si>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</si>
  <si>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</si>
  <si>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</si>
  <si>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</si>
  <si>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</si>
  <si>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</si>
  <si>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</si>
  <si>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</si>
  <si>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</si>
  <si>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</si>
  <si>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</si>
  <si>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</si>
  <si>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</si>
  <si>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</si>
  <si>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</si>
  <si>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</si>
  <si>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</si>
  <si>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</si>
  <si>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</si>
  <si>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</si>
  <si>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Caldera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</si>
  <si>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</si>
  <si>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</si>
  <si>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</si>
  <si>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</si>
  <si>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</si>
  <si>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</si>
  <si>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</si>
  <si>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</si>
  <si>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</si>
  <si>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</si>
  <si>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</si>
  <si>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</si>
  <si>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</si>
  <si>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</si>
  <si>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</si>
  <si>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</si>
  <si>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</si>
  <si>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</si>
  <si>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</si>
  <si>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</si>
  <si>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</si>
  <si>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</si>
  <si>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</si>
  <si>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</si>
  <si>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</si>
  <si>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</si>
  <si>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</si>
  <si>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</si>
  <si>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</si>
  <si>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</si>
  <si>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</si>
  <si>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</si>
  <si>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</si>
  <si>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</si>
  <si>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</si>
  <si>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</si>
  <si>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</si>
  <si>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</si>
  <si>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</si>
  <si>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</si>
  <si>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</si>
  <si>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</si>
  <si>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</si>
  <si>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</si>
  <si>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</si>
  <si>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</si>
  <si>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</si>
  <si>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</si>
  <si>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</si>
  <si>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</si>
  <si>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</si>
  <si>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</si>
  <si>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</si>
  <si>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</si>
  <si>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</si>
  <si>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</si>
  <si>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</si>
  <si>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</si>
  <si>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</si>
  <si>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</si>
  <si>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</si>
  <si>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</si>
  <si>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</si>
  <si>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</si>
  <si>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</si>
  <si>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</si>
  <si>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</si>
  <si>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</si>
  <si>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</si>
  <si>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</si>
  <si>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</si>
  <si>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</si>
  <si>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</si>
  <si>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</si>
  <si>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</si>
  <si>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</si>
  <si>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</si>
  <si>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</si>
  <si>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</si>
  <si>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</si>
  <si>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</si>
  <si>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</si>
  <si>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</si>
  <si>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</si>
  <si>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</si>
  <si>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</si>
  <si>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</si>
  <si>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</si>
  <si>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</si>
  <si>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</si>
  <si>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</si>
  <si>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</si>
  <si>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</si>
  <si>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</si>
  <si>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</si>
  <si>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</si>
  <si>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</si>
  <si>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</si>
  <si>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</si>
  <si>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</si>
  <si>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</si>
  <si>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</si>
  <si>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</si>
  <si>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</si>
  <si>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</si>
  <si>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</si>
  <si>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</si>
  <si>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</si>
  <si>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</si>
  <si>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</si>
  <si>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</si>
  <si>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</si>
  <si>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</si>
  <si>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</si>
  <si>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</si>
  <si>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</si>
  <si>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</si>
  <si>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</si>
  <si>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</si>
  <si>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</si>
  <si>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</si>
  <si>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</si>
  <si>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</si>
  <si>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</si>
  <si>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</si>
  <si>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</si>
  <si>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</si>
  <si>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</si>
  <si>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</si>
  <si>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</si>
  <si>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</si>
  <si>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</si>
  <si>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</si>
  <si>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</si>
  <si>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</si>
  <si>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</si>
  <si>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</si>
  <si>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</si>
  <si>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Triton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</si>
  <si>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</si>
  <si>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</si>
  <si>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</si>
  <si>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</si>
  <si>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</si>
  <si>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</si>
  <si>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</si>
  <si>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</si>
  <si>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</si>
  <si>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</si>
  <si>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</si>
  <si>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</si>
  <si>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</si>
  <si>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</si>
  <si>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</si>
  <si>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</si>
  <si>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</si>
  <si>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</si>
  <si>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</si>
  <si>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</si>
  <si>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</si>
  <si>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</si>
  <si>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</si>
  <si>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</si>
  <si>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</si>
  <si>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</si>
  <si>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</si>
  <si>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</si>
  <si>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</si>
  <si>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</si>
  <si>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</si>
  <si>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</si>
  <si>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</si>
  <si>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</si>
  <si>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</si>
  <si>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</si>
  <si>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</si>
  <si>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</si>
  <si>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</si>
  <si>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</si>
  <si>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</si>
  <si>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</si>
  <si>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</si>
  <si>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</si>
  <si>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</si>
  <si>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</si>
  <si>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</si>
  <si>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</si>
  <si>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</si>
  <si>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</si>
  <si>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</si>
  <si>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</si>
  <si>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</si>
  <si>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</si>
  <si>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</si>
  <si>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</si>
  <si>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</si>
  <si>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</si>
  <si>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</si>
  <si>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</si>
  <si>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</si>
  <si>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</si>
  <si>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</si>
  <si>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</si>
  <si>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</si>
  <si>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</si>
  <si>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</si>
  <si>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</si>
  <si>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</si>
  <si>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</si>
  <si>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</si>
  <si>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</si>
  <si>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</si>
  <si>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</si>
  <si>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</si>
  <si>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</si>
  <si>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</si>
  <si>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</si>
  <si>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</si>
  <si>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</si>
  <si>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</si>
  <si>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</si>
  <si>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</si>
  <si>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</si>
  <si>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</si>
  <si>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</si>
  <si>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</si>
  <si>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</si>
  <si>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</si>
  <si>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</si>
  <si>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</si>
  <si>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</si>
  <si>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</si>
  <si>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</si>
  <si>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</si>
  <si>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</si>
  <si>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</si>
  <si>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</si>
  <si>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</si>
  <si>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</si>
  <si>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</si>
  <si>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</si>
  <si>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</si>
  <si>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</si>
  <si>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</si>
  <si>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</si>
  <si>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</si>
  <si>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</si>
  <si>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</si>
  <si>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</si>
  <si>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</si>
  <si>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</si>
  <si>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</si>
  <si>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</si>
  <si>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</si>
  <si>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</si>
  <si>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</si>
  <si>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</si>
  <si>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</si>
  <si>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</si>
  <si>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</si>
  <si>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</si>
  <si>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</si>
  <si>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</si>
  <si>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</si>
  <si>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</si>
  <si>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</si>
  <si>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</si>
  <si>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</si>
  <si>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</si>
  <si>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</si>
  <si>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</si>
  <si>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</si>
  <si>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</si>
  <si>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</si>
  <si>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</si>
  <si>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</si>
  <si>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</si>
  <si>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</si>
  <si>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</si>
  <si>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</si>
  <si>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</si>
  <si>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</si>
  <si>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</si>
  <si>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</si>
  <si>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</si>
  <si>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</si>
  <si>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</si>
  <si>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</si>
  <si>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</si>
  <si>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</si>
  <si>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</si>
  <si>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</si>
  <si>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</si>
  <si>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</si>
  <si>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</si>
  <si>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</si>
  <si>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</si>
  <si>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</si>
  <si>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</si>
  <si>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</si>
  <si>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</si>
  <si>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</si>
  <si>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</si>
  <si>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Terova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</si>
  <si>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</si>
  <si>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</si>
  <si>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</si>
  <si>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</si>
  <si>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</si>
  <si>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</si>
  <si>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</si>
  <si>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</si>
  <si>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</si>
  <si>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</si>
  <si>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</si>
  <si>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</si>
  <si>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</si>
  <si>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</si>
  <si>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</si>
  <si>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</si>
  <si>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</si>
  <si>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</si>
  <si>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</si>
  <si>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</si>
  <si>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</si>
  <si>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</si>
  <si>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</si>
  <si>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</si>
  <si>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</si>
  <si>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</si>
  <si>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</si>
  <si>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</si>
  <si>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</si>
  <si>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</si>
  <si>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</si>
  <si>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</si>
  <si>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</si>
  <si>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</si>
  <si>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</si>
  <si>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</si>
  <si>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</si>
  <si>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</si>
  <si>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</si>
  <si>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</si>
  <si>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</si>
  <si>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</si>
  <si>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</si>
  <si>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</si>
  <si>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</si>
  <si>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</si>
  <si>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</si>
  <si>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</si>
  <si>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</si>
  <si>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</si>
  <si>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</si>
  <si>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</si>
  <si>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</si>
  <si>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</si>
  <si>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</si>
  <si>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</si>
  <si>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</si>
  <si>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</si>
  <si>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</si>
  <si>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</si>
  <si>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</si>
  <si>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</si>
  <si>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</si>
  <si>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</si>
  <si>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</si>
  <si>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</si>
  <si>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</si>
  <si>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</si>
  <si>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</si>
  <si>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</si>
  <si>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</si>
  <si>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</si>
  <si>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</si>
  <si>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</si>
  <si>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</si>
  <si>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</si>
  <si>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</si>
  <si>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</si>
  <si>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</si>
  <si>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</si>
  <si>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</si>
  <si>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</si>
  <si>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</si>
  <si>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</si>
  <si>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</si>
  <si>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</si>
  <si>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</si>
  <si>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</si>
  <si>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</si>
  <si>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</si>
  <si>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</si>
  <si>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</si>
  <si>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</si>
  <si>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</si>
  <si>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</si>
  <si>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</si>
  <si>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</si>
  <si>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</si>
  <si>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</si>
  <si>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</si>
  <si>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</si>
  <si>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</si>
  <si>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</si>
  <si>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</si>
  <si>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</si>
  <si>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</si>
  <si>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</si>
  <si>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</si>
  <si>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</si>
  <si>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</si>
  <si>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</si>
  <si>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</si>
  <si>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</si>
  <si>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</si>
  <si>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</si>
  <si>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Jeremy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</si>
  <si>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</si>
  <si>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</si>
  <si>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</si>
  <si>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</si>
  <si>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</si>
  <si>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</si>
  <si>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</si>
  <si>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</si>
  <si>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</si>
  <si>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</si>
  <si>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</si>
  <si>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</si>
  <si>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</si>
  <si>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</si>
  <si>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</si>
  <si>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</si>
  <si>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</si>
  <si>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</si>
  <si>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</si>
  <si>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</si>
  <si>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</si>
  <si>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</si>
  <si>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</si>
  <si>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</si>
  <si>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</si>
  <si>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</si>
  <si>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</si>
  <si>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</si>
  <si>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</si>
  <si>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</si>
  <si>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</si>
  <si>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</si>
  <si>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</si>
  <si>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</si>
  <si>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</si>
  <si>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</si>
  <si>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</si>
  <si>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</si>
  <si>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</si>
  <si>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</si>
  <si>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</si>
  <si>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</si>
  <si>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</si>
  <si>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</si>
  <si>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</si>
  <si>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</si>
  <si>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</si>
  <si>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</si>
  <si>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</si>
  <si>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Nexus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</si>
  <si>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</si>
  <si>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</si>
  <si>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</si>
  <si>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</si>
  <si>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</si>
  <si>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</si>
  <si>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</si>
  <si>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</si>
  <si>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</si>
  <si>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</si>
  <si>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</si>
  <si>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</si>
  <si>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</si>
  <si>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</si>
  <si>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</si>
  <si>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</si>
  <si>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</si>
  <si>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</si>
  <si>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</si>
  <si>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</si>
  <si>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</si>
  <si>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</si>
  <si>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</si>
  <si>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</si>
  <si>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</si>
  <si>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</si>
  <si>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</si>
  <si>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</si>
  <si>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</si>
  <si>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</si>
  <si>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</si>
  <si>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</si>
  <si>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</si>
  <si>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</si>
  <si>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</si>
  <si>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</si>
  <si>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</si>
  <si>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</si>
  <si>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</si>
  <si>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</si>
  <si>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</si>
  <si>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</si>
  <si>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</si>
  <si>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</si>
  <si>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</si>
  <si>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</si>
  <si>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</si>
  <si>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</si>
  <si>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</si>
  <si>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</si>
  <si>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</si>
  <si>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</si>
  <si>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</si>
  <si>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</si>
  <si>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</si>
  <si>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</si>
  <si>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</si>
  <si>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</si>
  <si>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</si>
  <si>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</si>
  <si>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</si>
  <si>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</si>
  <si>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</si>
  <si>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</si>
  <si>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</si>
  <si>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</si>
  <si>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</si>
  <si>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</si>
  <si>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</si>
  <si>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</si>
  <si>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</si>
  <si>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</si>
  <si>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</si>
  <si>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</si>
  <si>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</si>
  <si>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</si>
  <si>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</si>
  <si>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</si>
  <si>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</si>
  <si>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</si>
  <si>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</si>
  <si>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</si>
  <si>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</si>
  <si>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</si>
  <si>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</si>
  <si>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</si>
  <si>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</si>
  <si>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</si>
  <si>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</si>
  <si>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</si>
  <si>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</si>
  <si>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</si>
  <si>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</si>
  <si>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</si>
  <si>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</si>
  <si>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</si>
  <si>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</si>
  <si>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</si>
  <si>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</si>
  <si>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</si>
  <si>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</si>
  <si>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</si>
  <si>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</si>
  <si>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</si>
  <si>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</si>
  <si>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</si>
  <si>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</si>
  <si>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</si>
  <si>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</si>
  <si>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</si>
  <si>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</si>
  <si>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</si>
  <si>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</si>
  <si>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</si>
  <si>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</si>
  <si>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</si>
  <si>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</si>
  <si>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</si>
  <si>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</si>
  <si>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</si>
  <si>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</si>
  <si>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</si>
  <si>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</si>
  <si>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</si>
  <si>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</si>
  <si>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</si>
  <si>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</si>
  <si>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</si>
  <si>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</si>
  <si>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</si>
  <si>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</si>
  <si>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</si>
  <si>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</si>
  <si>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</si>
  <si>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</si>
  <si>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Halcyon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</si>
  <si>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</si>
  <si>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</si>
  <si>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</si>
  <si>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</si>
  <si>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</si>
  <si>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</si>
  <si>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</si>
  <si>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</si>
  <si>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</si>
  <si>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</si>
  <si>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</si>
  <si>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</si>
  <si>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</si>
  <si>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</si>
  <si>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</si>
  <si>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</si>
  <si>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</si>
  <si>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</si>
  <si>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</si>
  <si>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</si>
  <si>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</si>
  <si>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</si>
  <si>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</si>
  <si>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</si>
  <si>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</si>
  <si>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</si>
  <si>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</si>
  <si>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</si>
  <si>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</si>
  <si>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</si>
  <si>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</si>
  <si>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</si>
  <si>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</si>
  <si>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</si>
  <si>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</si>
  <si>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</si>
  <si>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</si>
  <si>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</si>
  <si>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</si>
  <si>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</si>
  <si>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</si>
  <si>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</si>
  <si>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</si>
  <si>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</si>
  <si>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</si>
  <si>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</si>
  <si>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</si>
  <si>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</si>
  <si>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</si>
  <si>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</si>
  <si>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</si>
  <si>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</si>
  <si>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</si>
  <si>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</si>
  <si>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</si>
  <si>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</si>
  <si>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</si>
  <si>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</si>
  <si>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</si>
  <si>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</si>
  <si>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</si>
  <si>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</si>
  <si>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</si>
  <si>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</si>
  <si>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</si>
  <si>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</si>
  <si>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</si>
  <si>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</si>
  <si>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</si>
  <si>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</si>
  <si>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</si>
  <si>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</si>
  <si>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</si>
  <si>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</si>
  <si>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</si>
  <si>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</si>
  <si>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</si>
  <si>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</si>
  <si>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</si>
  <si>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</si>
  <si>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</si>
  <si>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</si>
  <si>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</si>
  <si>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</si>
  <si>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</si>
  <si>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</si>
  <si>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</si>
  <si>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</si>
  <si>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</si>
  <si>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</si>
  <si>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</si>
  <si>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</si>
  <si>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</si>
  <si>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</si>
  <si>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</si>
  <si>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</si>
  <si>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</si>
  <si>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</si>
  <si>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</si>
  <si>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</si>
  <si>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</si>
  <si>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</si>
  <si>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</si>
  <si>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</si>
  <si>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</si>
  <si>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</si>
  <si>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</si>
  <si>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</si>
  <si>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</si>
  <si>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</si>
  <si>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</si>
  <si>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</si>
  <si>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</si>
  <si>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</si>
  <si>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</si>
  <si>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</si>
  <si>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</si>
  <si>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</si>
  <si>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</si>
  <si>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</si>
  <si>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</si>
  <si>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</si>
  <si>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</si>
  <si>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</si>
  <si>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</si>
  <si>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</si>
  <si>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</si>
  <si>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</si>
  <si>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</si>
  <si>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</si>
  <si>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</si>
  <si>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</si>
  <si>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</si>
  <si>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</si>
  <si>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</si>
  <si>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</si>
  <si>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</si>
  <si>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</si>
  <si>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</si>
  <si>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</si>
  <si>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</si>
  <si>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</si>
  <si>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</si>
  <si>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</si>
  <si>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</si>
  <si>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</si>
  <si>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</si>
  <si>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</si>
  <si>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</si>
  <si>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</si>
  <si>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</si>
  <si>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</si>
  <si>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</si>
  <si>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</si>
  <si>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</si>
  <si>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</si>
  <si>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</si>
  <si>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</si>
  <si>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</si>
  <si>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</si>
  <si>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</si>
  <si>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</si>
  <si>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</si>
  <si>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</si>
  <si>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</si>
  <si>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</si>
  <si>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</si>
  <si>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</si>
  <si>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</si>
  <si>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</si>
  <si>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</si>
  <si>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</si>
  <si>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</si>
  <si>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</si>
  <si>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</si>
  <si>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</si>
  <si>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</si>
  <si>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</si>
  <si>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</si>
  <si>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</si>
  <si>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</si>
  <si>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</si>
  <si>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</si>
  <si>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</si>
  <si>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</si>
  <si>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</si>
  <si>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</si>
  <si>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</si>
  <si>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</si>
  <si>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</si>
  <si>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</si>
  <si>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</si>
  <si>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</si>
  <si>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</si>
  <si>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</si>
  <si>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</si>
  <si>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</si>
  <si>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</si>
  <si>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</si>
  <si>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</si>
  <si>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</si>
  <si>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</si>
  <si>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</si>
  <si>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</si>
  <si>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</si>
  <si>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</si>
  <si>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</si>
  <si>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</si>
  <si>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</si>
  <si>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</si>
  <si>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</si>
  <si>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</si>
  <si>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</si>
  <si>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</si>
  <si>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Oasis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</si>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</sst>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64" formatCode="m/d/yyyy"/>
    </dxf>
    <dxf>
      <numFmt numFmtId="0" formatCode="General"/>
    </dxf>
    <dxf>
      <numFmt numFmtId="0" formatCode="General"/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36431-FF9C-4F17-ACEA-FAEBB8830C31}" name="Table1" displayName="Table1" ref="A1:AF2001" totalsRowShown="0">
  <autoFilter ref="A1:AF2001" xr:uid="{9BB36431-FF9C-4F17-ACEA-FAEBB8830C31}"/>
  <tableColumns count="32">
    <tableColumn id="1" xr3:uid="{7B27EE1A-2F85-40E1-A562-BA3B364C7201}" name="client_id"/>
    <tableColumn id="2" xr3:uid="{01647313-B242-4187-83B0-6C1A70856F9F}" name="client_type"/>
    <tableColumn id="13" xr3:uid="{ECAB1C01-A0F3-40A1-9111-6241862846A6}" name="company_encoded" dataDxfId="20">
      <calculatedColumnFormula>IF(B2="company",1,0)</calculatedColumnFormula>
    </tableColumn>
    <tableColumn id="14" xr3:uid="{EA99562E-AEA4-44CF-A694-533D23343617}" name="individual_encoded" dataDxfId="19">
      <calculatedColumnFormula>IF(B2="individual",1,0)</calculatedColumnFormula>
    </tableColumn>
    <tableColumn id="3" xr3:uid="{E9729A68-E6BF-44D7-91C4-389572ED733E}" name="first_name"/>
    <tableColumn id="4" xr3:uid="{E6444E53-1D66-4264-A677-9F8F191B6AA6}" name="last_name"/>
    <tableColumn id="5" xr3:uid="{60A9F98D-2243-4411-938E-F6CC7DFFA906}" name="date_of_birth" dataDxfId="18"/>
    <tableColumn id="30" xr3:uid="{BD33B16A-94E5-4883-9D05-347167193FD0}" name="age" dataDxfId="17">
      <calculatedColumnFormula>DATEDIF(G2,TODAY(),"Y")</calculatedColumnFormula>
    </tableColumn>
    <tableColumn id="32" xr3:uid="{79EB9A4F-2469-48A4-B8E6-58F9B821240B}" name="age_scaled" dataDxfId="16">
      <calculatedColumnFormula>(H2-MIN(H:H))/(MAX(H:H)-MIN(H:H))</calculatedColumnFormula>
    </tableColumn>
    <tableColumn id="6" xr3:uid="{F50A067B-8FE0-4C73-A42E-B43F2364B82D}" name="gender"/>
    <tableColumn id="7" xr3:uid="{C432E894-345F-4B81-B84F-120F39AF485A}" name="country"/>
    <tableColumn id="17" xr3:uid="{7AC11136-B09B-4326-8EFA-D27DD0464BF4}" name="usa_encoded" dataDxfId="15">
      <calculatedColumnFormula>IF(K2="usa",1,0)</calculatedColumnFormula>
    </tableColumn>
    <tableColumn id="18" xr3:uid="{B02D99FF-D4A3-4F37-8E20-9D296629BB49}" name="canada_encoded" dataDxfId="14">
      <calculatedColumnFormula>IF(K2="canada",1,0)</calculatedColumnFormula>
    </tableColumn>
    <tableColumn id="19" xr3:uid="{D91A0DFF-A5DC-4BE1-9DE7-4282F7AE4DA5}" name="germany_encoded" dataDxfId="13">
      <calculatedColumnFormula>IF(K2="germany",1,0)</calculatedColumnFormula>
    </tableColumn>
    <tableColumn id="8" xr3:uid="{3672F5E6-8D18-4EA6-A166-59548728E474}" name="region"/>
    <tableColumn id="20" xr3:uid="{ECD7F611-9966-4607-BE51-6890A35E0BE7}" name="california_encoded" dataDxfId="12">
      <calculatedColumnFormula>IF(O2="california",1,0)</calculatedColumnFormula>
    </tableColumn>
    <tableColumn id="21" xr3:uid="{94A80AFA-F0E3-4ABF-9CDD-A019CC8D9093}" name="oregon_encoded" dataDxfId="11">
      <calculatedColumnFormula>IF(O2="oregon",1,0)</calculatedColumnFormula>
    </tableColumn>
    <tableColumn id="15" xr3:uid="{D33376CE-B754-44CB-86B3-2E3FAA095C75}" name="quebec_encoded" dataDxfId="10">
      <calculatedColumnFormula>IF(O2="quebec",1,0)</calculatedColumnFormula>
    </tableColumn>
    <tableColumn id="16" xr3:uid="{5E18D1B0-6F38-45E5-BE3C-E5A7202FA425}" name="berlin_encoded" dataDxfId="9">
      <calculatedColumnFormula>IF(O2="berlin",1,0)</calculatedColumnFormula>
    </tableColumn>
    <tableColumn id="22" xr3:uid="{D4EB6A01-CB91-496A-A75D-F262B63D1E6F}" name="arizona_encoded" dataDxfId="8">
      <calculatedColumnFormula>IF(O2="arizona",1,0)</calculatedColumnFormula>
    </tableColumn>
    <tableColumn id="23" xr3:uid="{B1F437E0-B884-4C41-AD1C-BF05A2F8D37C}" name="nevada_encoded" dataDxfId="7">
      <calculatedColumnFormula>IF(O2="nevada",1,0)</calculatedColumnFormula>
    </tableColumn>
    <tableColumn id="24" xr3:uid="{40F5CA45-B3EF-4D08-91A9-E49A76A50583}" name="colardo_encoded" dataDxfId="6">
      <calculatedColumnFormula>IF(O2="colardo",1,0)</calculatedColumnFormula>
    </tableColumn>
    <tableColumn id="9" xr3:uid="{7144416E-4475-4CDE-BA3B-A1640A62A2B9}" name="acquisition_purpose"/>
    <tableColumn id="25" xr3:uid="{F94F50D3-ABEE-4949-BC3E-0C4857417A3B}" name="home_encoded" dataDxfId="5">
      <calculatedColumnFormula>IF(W2="home",1,0)</calculatedColumnFormula>
    </tableColumn>
    <tableColumn id="26" xr3:uid="{2A1DFAE6-2868-465D-96A0-9610151A4B46}" name="investment_encoded" dataDxfId="4">
      <calculatedColumnFormula>IF(W2="investment",1,0)</calculatedColumnFormula>
    </tableColumn>
    <tableColumn id="10" xr3:uid="{352DA407-616D-41BA-80EA-5495384DBE60}" name="satisfaction_score"/>
    <tableColumn id="31" xr3:uid="{27BA6AB0-FF16-499A-AFC8-D0D35DFD1621}" name="Satisfaction_scaled" dataDxfId="3">
      <calculatedColumnFormula>(Z2-1)/4</calculatedColumnFormula>
    </tableColumn>
    <tableColumn id="11" xr3:uid="{6EE5FEBE-B1B0-4C61-91EF-CBFC123EFC29}" name="loan_applied"/>
    <tableColumn id="28" xr3:uid="{F3C9ABA5-6D1F-4BF9-8D44-A142CF87A942}" name="agency_encoded" dataDxfId="2">
      <calculatedColumnFormula>IF(AE2="agency",1,0)</calculatedColumnFormula>
    </tableColumn>
    <tableColumn id="27" xr3:uid="{7EFC148A-9689-47A0-A4A2-EA315FC62302}" name="client_encoded" dataDxfId="1">
      <calculatedColumnFormula>IF(AE2="client",1,0)</calculatedColumnFormula>
    </tableColumn>
    <tableColumn id="12" xr3:uid="{BFB1F67A-B9FE-443B-B1FC-51FBBB5F9949}" name="referral_channel"/>
    <tableColumn id="29" xr3:uid="{FB2CC0F8-46A2-4B53-B1C8-7405AB9BE19F}" name="website_encoded" dataDxfId="0">
      <calculatedColumnFormula>IF(AE2="website",1,0)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8187-DFD5-4FF0-856D-96CFF5BAEFB2}">
  <dimension ref="A1:AF2001"/>
  <sheetViews>
    <sheetView tabSelected="1" workbookViewId="0">
      <selection activeCell="C1" sqref="C1:C1048576"/>
    </sheetView>
  </sheetViews>
  <sheetFormatPr defaultRowHeight="15"/>
  <cols>
    <col min="1" max="1" width="11.140625" bestFit="1" customWidth="1"/>
    <col min="2" max="2" width="13.42578125" bestFit="1" customWidth="1"/>
    <col min="3" max="3" width="20.5703125" style="3" bestFit="1" customWidth="1"/>
    <col min="4" max="4" width="20.5703125" customWidth="1"/>
    <col min="5" max="5" width="13.140625" bestFit="1" customWidth="1"/>
    <col min="6" max="6" width="12.7109375" bestFit="1" customWidth="1"/>
    <col min="7" max="7" width="15.85546875" bestFit="1" customWidth="1"/>
    <col min="8" max="8" width="11.42578125" style="2" bestFit="1" customWidth="1"/>
    <col min="9" max="9" width="13.140625" style="2" bestFit="1" customWidth="1"/>
    <col min="10" max="10" width="9.7109375" bestFit="1" customWidth="1"/>
    <col min="11" max="11" width="10.28515625" bestFit="1" customWidth="1"/>
    <col min="12" max="12" width="15.28515625" bestFit="1" customWidth="1"/>
    <col min="13" max="13" width="18.7109375" bestFit="1" customWidth="1"/>
    <col min="14" max="14" width="20.28515625" bestFit="1" customWidth="1"/>
    <col min="15" max="15" width="23" bestFit="1" customWidth="1"/>
    <col min="16" max="22" width="23" customWidth="1"/>
    <col min="23" max="23" width="21.85546875" bestFit="1" customWidth="1"/>
    <col min="24" max="25" width="21.85546875" customWidth="1"/>
    <col min="26" max="26" width="19.7109375" bestFit="1" customWidth="1"/>
    <col min="27" max="27" width="20.7109375" bestFit="1" customWidth="1"/>
    <col min="28" max="28" width="15" bestFit="1" customWidth="1"/>
    <col min="29" max="29" width="18.5703125" bestFit="1" customWidth="1"/>
    <col min="30" max="30" width="17.28515625" bestFit="1" customWidth="1"/>
    <col min="31" max="31" width="18.28515625" bestFit="1" customWidth="1"/>
    <col min="32" max="32" width="19.28515625" bestFit="1" customWidth="1"/>
    <col min="33" max="33" width="18.28515625" customWidth="1"/>
  </cols>
  <sheetData>
    <row r="1" spans="1:3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s="3">
        <f>IF(B2="company",1,0)</f>
        <v>0</v>
      </c>
      <c r="D2">
        <f t="shared" ref="D2:D65" si="0">IF(B2="individual",1,0)</f>
        <v>1</v>
      </c>
      <c r="E2" t="s">
        <v>34</v>
      </c>
      <c r="F2" t="s">
        <v>35</v>
      </c>
      <c r="G2" s="1">
        <v>24969</v>
      </c>
      <c r="H2" s="2">
        <f ca="1">DATEDIF(G2,TODAY(),"Y")</f>
        <v>58</v>
      </c>
      <c r="I2" s="2">
        <f t="shared" ref="I2:I65" ca="1" si="1">(H2-MIN(H:H))/(MAX(H:H)-MIN(H:H))</f>
        <v>0.47142857142857142</v>
      </c>
      <c r="J2" t="s">
        <v>36</v>
      </c>
      <c r="K2" t="s">
        <v>37</v>
      </c>
      <c r="L2">
        <f t="shared" ref="L2:L65" si="2">IF(K2="usa",1,0)</f>
        <v>1</v>
      </c>
      <c r="M2">
        <f t="shared" ref="M2:M65" si="3">IF(K2="canada",1,0)</f>
        <v>0</v>
      </c>
      <c r="N2">
        <f t="shared" ref="N2:N65" si="4">IF(K2="germany",1,0)</f>
        <v>0</v>
      </c>
      <c r="O2" t="s">
        <v>38</v>
      </c>
      <c r="P2">
        <f t="shared" ref="P2:P65" si="5">IF(O2="california",1,0)</f>
        <v>1</v>
      </c>
      <c r="Q2">
        <f t="shared" ref="Q2:Q65" si="6">IF(O2="oregon",1,0)</f>
        <v>0</v>
      </c>
      <c r="R2">
        <f t="shared" ref="R2:R65" si="7">IF(O2="quebec",1,0)</f>
        <v>0</v>
      </c>
      <c r="S2">
        <f t="shared" ref="S2:S65" si="8">IF(O2="berlin",1,0)</f>
        <v>0</v>
      </c>
      <c r="T2">
        <f t="shared" ref="T2:T65" si="9">IF(O2="arizona",1,0)</f>
        <v>0</v>
      </c>
      <c r="U2">
        <f t="shared" ref="U2:U65" si="10">IF(O2="nevada",1,0)</f>
        <v>0</v>
      </c>
      <c r="V2">
        <f t="shared" ref="V2:V65" si="11">IF(O2="colardo",1,0)</f>
        <v>0</v>
      </c>
      <c r="W2" t="s">
        <v>39</v>
      </c>
      <c r="X2">
        <f t="shared" ref="X2:X65" si="12">IF(W2="home",1,0)</f>
        <v>1</v>
      </c>
      <c r="Y2">
        <f t="shared" ref="Y2:Y65" si="13">IF(W2="investment",1,0)</f>
        <v>0</v>
      </c>
      <c r="Z2">
        <v>4</v>
      </c>
      <c r="AA2">
        <f t="shared" ref="AA2:AA65" si="14">(Z2-1)/4</f>
        <v>0.75</v>
      </c>
      <c r="AB2" t="s">
        <v>40</v>
      </c>
      <c r="AC2">
        <f t="shared" ref="AC2:AC65" si="15">IF(AE2="agency",1,0)</f>
        <v>0</v>
      </c>
      <c r="AD2">
        <f t="shared" ref="AD2:AD65" si="16">IF(AE2="client",1,0)</f>
        <v>0</v>
      </c>
      <c r="AE2" t="s">
        <v>41</v>
      </c>
      <c r="AF2">
        <f>IF(AE2="website",1,0)</f>
        <v>1</v>
      </c>
    </row>
    <row r="3" spans="1:32">
      <c r="A3" t="s">
        <v>42</v>
      </c>
      <c r="B3" t="s">
        <v>33</v>
      </c>
      <c r="C3" s="3">
        <f t="shared" ref="C3:C65" si="17">IF(B3="company",1,0)</f>
        <v>0</v>
      </c>
      <c r="D3">
        <f t="shared" si="0"/>
        <v>1</v>
      </c>
      <c r="E3" t="s">
        <v>43</v>
      </c>
      <c r="F3" t="s">
        <v>44</v>
      </c>
      <c r="G3" s="1">
        <v>22976</v>
      </c>
      <c r="H3" s="2">
        <f t="shared" ref="H3:H65" ca="1" si="18">DATEDIF(G3,TODAY(),"Y")</f>
        <v>63</v>
      </c>
      <c r="I3" s="2">
        <f t="shared" ca="1" si="1"/>
        <v>0.54285714285714282</v>
      </c>
      <c r="J3" t="s">
        <v>45</v>
      </c>
      <c r="K3" t="s">
        <v>37</v>
      </c>
      <c r="L3">
        <f t="shared" si="2"/>
        <v>1</v>
      </c>
      <c r="M3">
        <f t="shared" si="3"/>
        <v>0</v>
      </c>
      <c r="N3">
        <f t="shared" si="4"/>
        <v>0</v>
      </c>
      <c r="O3" t="s">
        <v>38</v>
      </c>
      <c r="P3">
        <f t="shared" si="5"/>
        <v>1</v>
      </c>
      <c r="Q3">
        <f t="shared" si="6"/>
        <v>0</v>
      </c>
      <c r="R3">
        <f t="shared" si="7"/>
        <v>0</v>
      </c>
      <c r="S3">
        <f t="shared" si="8"/>
        <v>0</v>
      </c>
      <c r="T3">
        <f t="shared" si="9"/>
        <v>0</v>
      </c>
      <c r="U3">
        <f t="shared" si="10"/>
        <v>0</v>
      </c>
      <c r="V3">
        <f t="shared" si="11"/>
        <v>0</v>
      </c>
      <c r="W3" t="s">
        <v>39</v>
      </c>
      <c r="X3">
        <f t="shared" si="12"/>
        <v>1</v>
      </c>
      <c r="Y3">
        <f t="shared" si="13"/>
        <v>0</v>
      </c>
      <c r="Z3">
        <v>1</v>
      </c>
      <c r="AA3">
        <f t="shared" si="14"/>
        <v>0</v>
      </c>
      <c r="AB3" t="s">
        <v>46</v>
      </c>
      <c r="AC3">
        <f t="shared" si="15"/>
        <v>0</v>
      </c>
      <c r="AD3">
        <f t="shared" si="16"/>
        <v>0</v>
      </c>
      <c r="AE3" t="s">
        <v>41</v>
      </c>
      <c r="AF3">
        <v>1</v>
      </c>
    </row>
    <row r="4" spans="1:32">
      <c r="A4" t="s">
        <v>47</v>
      </c>
      <c r="B4" t="s">
        <v>33</v>
      </c>
      <c r="C4" s="3">
        <f>IF(B2="company",1,0)</f>
        <v>0</v>
      </c>
      <c r="D4">
        <f t="shared" si="0"/>
        <v>1</v>
      </c>
      <c r="E4" t="s">
        <v>48</v>
      </c>
      <c r="F4" t="s">
        <v>49</v>
      </c>
      <c r="G4" s="1">
        <v>21647</v>
      </c>
      <c r="H4" s="2">
        <f t="shared" ca="1" si="18"/>
        <v>67</v>
      </c>
      <c r="I4" s="2">
        <f t="shared" ca="1" si="1"/>
        <v>0.6</v>
      </c>
      <c r="J4" t="s">
        <v>45</v>
      </c>
      <c r="K4" t="s">
        <v>37</v>
      </c>
      <c r="L4">
        <f t="shared" si="2"/>
        <v>1</v>
      </c>
      <c r="M4">
        <f t="shared" si="3"/>
        <v>0</v>
      </c>
      <c r="N4">
        <f t="shared" si="4"/>
        <v>0</v>
      </c>
      <c r="O4" t="s">
        <v>38</v>
      </c>
      <c r="P4">
        <f t="shared" si="5"/>
        <v>1</v>
      </c>
      <c r="Q4">
        <f t="shared" si="6"/>
        <v>0</v>
      </c>
      <c r="R4">
        <f t="shared" si="7"/>
        <v>0</v>
      </c>
      <c r="S4">
        <f t="shared" si="8"/>
        <v>0</v>
      </c>
      <c r="T4">
        <f t="shared" si="9"/>
        <v>0</v>
      </c>
      <c r="U4">
        <f t="shared" si="10"/>
        <v>0</v>
      </c>
      <c r="V4">
        <f t="shared" si="11"/>
        <v>0</v>
      </c>
      <c r="W4" t="s">
        <v>39</v>
      </c>
      <c r="X4">
        <f t="shared" si="12"/>
        <v>1</v>
      </c>
      <c r="Y4">
        <f t="shared" si="13"/>
        <v>0</v>
      </c>
      <c r="Z4">
        <v>4</v>
      </c>
      <c r="AA4">
        <f t="shared" si="14"/>
        <v>0.75</v>
      </c>
      <c r="AB4" t="s">
        <v>40</v>
      </c>
      <c r="AC4">
        <f t="shared" si="15"/>
        <v>1</v>
      </c>
      <c r="AD4">
        <f t="shared" si="16"/>
        <v>0</v>
      </c>
      <c r="AE4" t="s">
        <v>50</v>
      </c>
      <c r="AF4">
        <v>0</v>
      </c>
    </row>
    <row r="5" spans="1:32">
      <c r="A5" t="s">
        <v>51</v>
      </c>
      <c r="B5" t="s">
        <v>33</v>
      </c>
      <c r="C5" s="3">
        <f>IF(B2="company",1,0)</f>
        <v>0</v>
      </c>
      <c r="D5">
        <f t="shared" si="0"/>
        <v>1</v>
      </c>
      <c r="E5" t="s">
        <v>52</v>
      </c>
      <c r="F5" t="s">
        <v>53</v>
      </c>
      <c r="G5" s="1">
        <v>21879</v>
      </c>
      <c r="H5" s="2">
        <f t="shared" ca="1" si="18"/>
        <v>66</v>
      </c>
      <c r="I5" s="2">
        <f t="shared" ca="1" si="1"/>
        <v>0.58571428571428574</v>
      </c>
      <c r="J5" t="s">
        <v>45</v>
      </c>
      <c r="K5" t="s">
        <v>37</v>
      </c>
      <c r="L5">
        <f t="shared" si="2"/>
        <v>1</v>
      </c>
      <c r="M5">
        <f t="shared" si="3"/>
        <v>0</v>
      </c>
      <c r="N5">
        <f t="shared" si="4"/>
        <v>0</v>
      </c>
      <c r="O5" t="s">
        <v>38</v>
      </c>
      <c r="P5">
        <f t="shared" si="5"/>
        <v>1</v>
      </c>
      <c r="Q5">
        <f t="shared" si="6"/>
        <v>0</v>
      </c>
      <c r="R5">
        <f t="shared" si="7"/>
        <v>0</v>
      </c>
      <c r="S5">
        <f t="shared" si="8"/>
        <v>0</v>
      </c>
      <c r="T5">
        <f t="shared" si="9"/>
        <v>0</v>
      </c>
      <c r="U5">
        <f t="shared" si="10"/>
        <v>0</v>
      </c>
      <c r="V5">
        <f t="shared" si="11"/>
        <v>0</v>
      </c>
      <c r="W5" t="s">
        <v>39</v>
      </c>
      <c r="X5">
        <f t="shared" si="12"/>
        <v>1</v>
      </c>
      <c r="Y5">
        <f t="shared" si="13"/>
        <v>0</v>
      </c>
      <c r="Z5">
        <v>5</v>
      </c>
      <c r="AA5">
        <f t="shared" si="14"/>
        <v>1</v>
      </c>
      <c r="AB5" t="s">
        <v>46</v>
      </c>
      <c r="AC5">
        <f t="shared" si="15"/>
        <v>0</v>
      </c>
      <c r="AD5">
        <f t="shared" si="16"/>
        <v>0</v>
      </c>
      <c r="AE5" t="s">
        <v>41</v>
      </c>
      <c r="AF5">
        <f>IF(AE5="website",1,0)</f>
        <v>1</v>
      </c>
    </row>
    <row r="6" spans="1:32">
      <c r="A6" t="s">
        <v>54</v>
      </c>
      <c r="B6" t="s">
        <v>55</v>
      </c>
      <c r="C6" s="3">
        <f t="shared" si="17"/>
        <v>1</v>
      </c>
      <c r="D6">
        <f t="shared" si="0"/>
        <v>0</v>
      </c>
      <c r="E6" t="s">
        <v>56</v>
      </c>
      <c r="F6" t="s">
        <v>57</v>
      </c>
      <c r="G6" s="1">
        <v>27818</v>
      </c>
      <c r="H6" s="2">
        <f t="shared" ca="1" si="18"/>
        <v>50</v>
      </c>
      <c r="I6" s="2">
        <f t="shared" ca="1" si="1"/>
        <v>0.35714285714285715</v>
      </c>
      <c r="J6" t="s">
        <v>45</v>
      </c>
      <c r="K6" t="s">
        <v>37</v>
      </c>
      <c r="L6">
        <f t="shared" si="2"/>
        <v>1</v>
      </c>
      <c r="M6">
        <f t="shared" si="3"/>
        <v>0</v>
      </c>
      <c r="N6">
        <f t="shared" si="4"/>
        <v>0</v>
      </c>
      <c r="O6" t="s">
        <v>38</v>
      </c>
      <c r="P6">
        <f t="shared" si="5"/>
        <v>1</v>
      </c>
      <c r="Q6">
        <f t="shared" si="6"/>
        <v>0</v>
      </c>
      <c r="R6">
        <f t="shared" si="7"/>
        <v>0</v>
      </c>
      <c r="S6">
        <f t="shared" si="8"/>
        <v>0</v>
      </c>
      <c r="T6">
        <f t="shared" si="9"/>
        <v>0</v>
      </c>
      <c r="U6">
        <f t="shared" si="10"/>
        <v>0</v>
      </c>
      <c r="V6">
        <f t="shared" si="11"/>
        <v>0</v>
      </c>
      <c r="W6" t="s">
        <v>58</v>
      </c>
      <c r="X6">
        <f t="shared" si="12"/>
        <v>0</v>
      </c>
      <c r="Y6">
        <f t="shared" si="13"/>
        <v>1</v>
      </c>
      <c r="Z6">
        <v>5</v>
      </c>
      <c r="AA6">
        <f t="shared" si="14"/>
        <v>1</v>
      </c>
      <c r="AB6" t="s">
        <v>46</v>
      </c>
      <c r="AC6">
        <f t="shared" si="15"/>
        <v>0</v>
      </c>
      <c r="AD6">
        <f t="shared" si="16"/>
        <v>0</v>
      </c>
      <c r="AE6" t="s">
        <v>41</v>
      </c>
      <c r="AF6">
        <f>IF(AE6="website",1,0)</f>
        <v>1</v>
      </c>
    </row>
    <row r="7" spans="1:32">
      <c r="A7" t="s">
        <v>59</v>
      </c>
      <c r="B7" t="s">
        <v>33</v>
      </c>
      <c r="C7" s="3">
        <f t="shared" si="17"/>
        <v>0</v>
      </c>
      <c r="D7">
        <f t="shared" si="0"/>
        <v>1</v>
      </c>
      <c r="E7" t="s">
        <v>60</v>
      </c>
      <c r="F7" t="s">
        <v>61</v>
      </c>
      <c r="G7" s="1">
        <v>20885</v>
      </c>
      <c r="H7" s="2">
        <f t="shared" ca="1" si="18"/>
        <v>69</v>
      </c>
      <c r="I7" s="2">
        <f t="shared" ca="1" si="1"/>
        <v>0.62857142857142856</v>
      </c>
      <c r="J7" t="s">
        <v>45</v>
      </c>
      <c r="K7" t="s">
        <v>37</v>
      </c>
      <c r="L7">
        <f t="shared" si="2"/>
        <v>1</v>
      </c>
      <c r="M7">
        <f t="shared" si="3"/>
        <v>0</v>
      </c>
      <c r="N7">
        <f t="shared" si="4"/>
        <v>0</v>
      </c>
      <c r="O7" t="s">
        <v>38</v>
      </c>
      <c r="P7">
        <f t="shared" si="5"/>
        <v>1</v>
      </c>
      <c r="Q7">
        <f t="shared" si="6"/>
        <v>0</v>
      </c>
      <c r="R7">
        <f t="shared" si="7"/>
        <v>0</v>
      </c>
      <c r="S7">
        <f t="shared" si="8"/>
        <v>0</v>
      </c>
      <c r="T7">
        <f t="shared" si="9"/>
        <v>0</v>
      </c>
      <c r="U7">
        <f t="shared" si="10"/>
        <v>0</v>
      </c>
      <c r="V7">
        <f t="shared" si="11"/>
        <v>0</v>
      </c>
      <c r="W7" t="s">
        <v>39</v>
      </c>
      <c r="X7">
        <f t="shared" si="12"/>
        <v>1</v>
      </c>
      <c r="Y7">
        <f t="shared" si="13"/>
        <v>0</v>
      </c>
      <c r="Z7">
        <v>3</v>
      </c>
      <c r="AA7">
        <f t="shared" si="14"/>
        <v>0.5</v>
      </c>
      <c r="AB7" t="s">
        <v>40</v>
      </c>
      <c r="AC7">
        <f t="shared" si="15"/>
        <v>0</v>
      </c>
      <c r="AD7">
        <f t="shared" si="16"/>
        <v>0</v>
      </c>
      <c r="AE7" t="s">
        <v>41</v>
      </c>
      <c r="AF7">
        <f>IF(AE7="website",1,0)</f>
        <v>1</v>
      </c>
    </row>
    <row r="8" spans="1:32">
      <c r="A8" t="s">
        <v>62</v>
      </c>
      <c r="B8" t="s">
        <v>33</v>
      </c>
      <c r="C8" s="3">
        <f t="shared" si="17"/>
        <v>0</v>
      </c>
      <c r="D8">
        <f t="shared" si="0"/>
        <v>1</v>
      </c>
      <c r="E8" t="s">
        <v>63</v>
      </c>
      <c r="F8" t="s">
        <v>64</v>
      </c>
      <c r="G8" s="1">
        <v>17311</v>
      </c>
      <c r="H8" s="2">
        <f t="shared" ca="1" si="18"/>
        <v>79</v>
      </c>
      <c r="I8" s="2">
        <f t="shared" ca="1" si="1"/>
        <v>0.77142857142857146</v>
      </c>
      <c r="J8" t="s">
        <v>45</v>
      </c>
      <c r="K8" t="s">
        <v>65</v>
      </c>
      <c r="L8">
        <f t="shared" si="2"/>
        <v>0</v>
      </c>
      <c r="M8">
        <f t="shared" si="3"/>
        <v>1</v>
      </c>
      <c r="N8">
        <f t="shared" si="4"/>
        <v>0</v>
      </c>
      <c r="O8" t="s">
        <v>66</v>
      </c>
      <c r="P8">
        <f t="shared" si="5"/>
        <v>0</v>
      </c>
      <c r="Q8">
        <f t="shared" si="6"/>
        <v>0</v>
      </c>
      <c r="R8">
        <f t="shared" si="7"/>
        <v>1</v>
      </c>
      <c r="S8">
        <f t="shared" si="8"/>
        <v>0</v>
      </c>
      <c r="T8">
        <f t="shared" si="9"/>
        <v>0</v>
      </c>
      <c r="U8">
        <f t="shared" si="10"/>
        <v>0</v>
      </c>
      <c r="V8">
        <f t="shared" si="11"/>
        <v>0</v>
      </c>
      <c r="W8" t="s">
        <v>58</v>
      </c>
      <c r="X8">
        <f t="shared" si="12"/>
        <v>0</v>
      </c>
      <c r="Y8">
        <f t="shared" si="13"/>
        <v>1</v>
      </c>
      <c r="Z8">
        <v>5</v>
      </c>
      <c r="AA8">
        <f t="shared" si="14"/>
        <v>1</v>
      </c>
      <c r="AB8" t="s">
        <v>46</v>
      </c>
      <c r="AC8">
        <f t="shared" si="15"/>
        <v>0</v>
      </c>
      <c r="AD8">
        <f t="shared" si="16"/>
        <v>0</v>
      </c>
      <c r="AE8" t="s">
        <v>41</v>
      </c>
      <c r="AF8">
        <f>IF(AE8="website",1,0)</f>
        <v>1</v>
      </c>
    </row>
    <row r="9" spans="1:32">
      <c r="A9" t="s">
        <v>67</v>
      </c>
      <c r="B9" t="s">
        <v>33</v>
      </c>
      <c r="C9" s="3">
        <f t="shared" si="17"/>
        <v>0</v>
      </c>
      <c r="D9">
        <f t="shared" si="0"/>
        <v>1</v>
      </c>
      <c r="E9" t="s">
        <v>68</v>
      </c>
      <c r="F9" t="s">
        <v>69</v>
      </c>
      <c r="G9" s="1">
        <v>25493</v>
      </c>
      <c r="H9" s="2">
        <f t="shared" ca="1" si="18"/>
        <v>56</v>
      </c>
      <c r="I9" s="2">
        <f t="shared" ca="1" si="1"/>
        <v>0.44285714285714284</v>
      </c>
      <c r="J9" t="s">
        <v>36</v>
      </c>
      <c r="K9" t="s">
        <v>37</v>
      </c>
      <c r="L9">
        <f t="shared" si="2"/>
        <v>1</v>
      </c>
      <c r="M9">
        <f t="shared" si="3"/>
        <v>0</v>
      </c>
      <c r="N9">
        <f t="shared" si="4"/>
        <v>0</v>
      </c>
      <c r="O9" t="s">
        <v>38</v>
      </c>
      <c r="P9">
        <f t="shared" si="5"/>
        <v>1</v>
      </c>
      <c r="Q9">
        <f t="shared" si="6"/>
        <v>0</v>
      </c>
      <c r="R9">
        <f t="shared" si="7"/>
        <v>0</v>
      </c>
      <c r="S9">
        <f t="shared" si="8"/>
        <v>0</v>
      </c>
      <c r="T9">
        <f t="shared" si="9"/>
        <v>0</v>
      </c>
      <c r="U9">
        <f t="shared" si="10"/>
        <v>0</v>
      </c>
      <c r="V9">
        <f t="shared" si="11"/>
        <v>0</v>
      </c>
      <c r="W9" t="s">
        <v>39</v>
      </c>
      <c r="X9">
        <f t="shared" si="12"/>
        <v>1</v>
      </c>
      <c r="Y9">
        <f t="shared" si="13"/>
        <v>0</v>
      </c>
      <c r="Z9">
        <v>5</v>
      </c>
      <c r="AA9">
        <f t="shared" si="14"/>
        <v>1</v>
      </c>
      <c r="AB9" t="s">
        <v>46</v>
      </c>
      <c r="AC9">
        <f t="shared" si="15"/>
        <v>0</v>
      </c>
      <c r="AD9">
        <f t="shared" si="16"/>
        <v>0</v>
      </c>
      <c r="AE9" t="s">
        <v>41</v>
      </c>
      <c r="AF9">
        <f>IF(AE9="website",1,0)</f>
        <v>1</v>
      </c>
    </row>
    <row r="10" spans="1:32">
      <c r="A10" t="s">
        <v>70</v>
      </c>
      <c r="B10" t="s">
        <v>33</v>
      </c>
      <c r="C10" s="3">
        <f t="shared" si="17"/>
        <v>0</v>
      </c>
      <c r="D10">
        <f t="shared" si="0"/>
        <v>1</v>
      </c>
      <c r="E10" t="s">
        <v>71</v>
      </c>
      <c r="F10" t="s">
        <v>72</v>
      </c>
      <c r="G10" s="1">
        <v>27672</v>
      </c>
      <c r="H10" s="2">
        <f t="shared" ca="1" si="18"/>
        <v>51</v>
      </c>
      <c r="I10" s="2">
        <f t="shared" ca="1" si="1"/>
        <v>0.37142857142857144</v>
      </c>
      <c r="J10" t="s">
        <v>45</v>
      </c>
      <c r="K10" t="s">
        <v>37</v>
      </c>
      <c r="L10">
        <f t="shared" si="2"/>
        <v>1</v>
      </c>
      <c r="M10">
        <f t="shared" si="3"/>
        <v>0</v>
      </c>
      <c r="N10">
        <f t="shared" si="4"/>
        <v>0</v>
      </c>
      <c r="O10" t="s">
        <v>38</v>
      </c>
      <c r="P10">
        <f t="shared" si="5"/>
        <v>1</v>
      </c>
      <c r="Q10">
        <f t="shared" si="6"/>
        <v>0</v>
      </c>
      <c r="R10">
        <f t="shared" si="7"/>
        <v>0</v>
      </c>
      <c r="S10">
        <f t="shared" si="8"/>
        <v>0</v>
      </c>
      <c r="T10">
        <f t="shared" si="9"/>
        <v>0</v>
      </c>
      <c r="U10">
        <f t="shared" si="10"/>
        <v>0</v>
      </c>
      <c r="V10">
        <f t="shared" si="11"/>
        <v>0</v>
      </c>
      <c r="W10" t="s">
        <v>58</v>
      </c>
      <c r="X10">
        <f t="shared" si="12"/>
        <v>0</v>
      </c>
      <c r="Y10">
        <f t="shared" si="13"/>
        <v>1</v>
      </c>
      <c r="Z10">
        <v>5</v>
      </c>
      <c r="AA10">
        <f t="shared" si="14"/>
        <v>1</v>
      </c>
      <c r="AB10" t="s">
        <v>46</v>
      </c>
      <c r="AC10">
        <f t="shared" si="15"/>
        <v>1</v>
      </c>
      <c r="AD10">
        <f t="shared" si="16"/>
        <v>0</v>
      </c>
      <c r="AE10" t="s">
        <v>50</v>
      </c>
      <c r="AF10">
        <f>IF(AE10="website",1,0)</f>
        <v>0</v>
      </c>
    </row>
    <row r="11" spans="1:32">
      <c r="A11" t="s">
        <v>73</v>
      </c>
      <c r="B11" t="s">
        <v>33</v>
      </c>
      <c r="C11" s="3">
        <f t="shared" si="17"/>
        <v>0</v>
      </c>
      <c r="D11">
        <f t="shared" si="0"/>
        <v>1</v>
      </c>
      <c r="E11" t="s">
        <v>74</v>
      </c>
      <c r="F11" t="s">
        <v>75</v>
      </c>
      <c r="G11" s="1">
        <v>24275</v>
      </c>
      <c r="H11" s="2">
        <f t="shared" ca="1" si="18"/>
        <v>60</v>
      </c>
      <c r="I11" s="2">
        <f t="shared" ca="1" si="1"/>
        <v>0.5</v>
      </c>
      <c r="J11" t="s">
        <v>45</v>
      </c>
      <c r="K11" t="s">
        <v>37</v>
      </c>
      <c r="L11">
        <f t="shared" si="2"/>
        <v>1</v>
      </c>
      <c r="M11">
        <f t="shared" si="3"/>
        <v>0</v>
      </c>
      <c r="N11">
        <f t="shared" si="4"/>
        <v>0</v>
      </c>
      <c r="O11" t="s">
        <v>76</v>
      </c>
      <c r="P11">
        <f t="shared" si="5"/>
        <v>0</v>
      </c>
      <c r="Q11">
        <f t="shared" si="6"/>
        <v>1</v>
      </c>
      <c r="R11">
        <f t="shared" si="7"/>
        <v>0</v>
      </c>
      <c r="S11">
        <f t="shared" si="8"/>
        <v>0</v>
      </c>
      <c r="T11">
        <f t="shared" si="9"/>
        <v>0</v>
      </c>
      <c r="U11">
        <f t="shared" si="10"/>
        <v>0</v>
      </c>
      <c r="V11">
        <f t="shared" si="11"/>
        <v>0</v>
      </c>
      <c r="W11" t="s">
        <v>58</v>
      </c>
      <c r="X11">
        <f t="shared" si="12"/>
        <v>0</v>
      </c>
      <c r="Y11">
        <f t="shared" si="13"/>
        <v>1</v>
      </c>
      <c r="Z11">
        <v>3</v>
      </c>
      <c r="AA11">
        <f t="shared" si="14"/>
        <v>0.5</v>
      </c>
      <c r="AB11" t="s">
        <v>46</v>
      </c>
      <c r="AC11">
        <f t="shared" si="15"/>
        <v>1</v>
      </c>
      <c r="AD11">
        <f t="shared" si="16"/>
        <v>0</v>
      </c>
      <c r="AE11" t="s">
        <v>50</v>
      </c>
      <c r="AF11">
        <f>IF(AE11="website",1,0)</f>
        <v>0</v>
      </c>
    </row>
    <row r="12" spans="1:32">
      <c r="A12" t="s">
        <v>77</v>
      </c>
      <c r="B12" t="s">
        <v>33</v>
      </c>
      <c r="C12" s="3">
        <f t="shared" si="17"/>
        <v>0</v>
      </c>
      <c r="D12">
        <f t="shared" si="0"/>
        <v>1</v>
      </c>
      <c r="E12" t="s">
        <v>78</v>
      </c>
      <c r="F12" t="s">
        <v>79</v>
      </c>
      <c r="G12" s="1">
        <v>20623</v>
      </c>
      <c r="H12" s="2">
        <f t="shared" ca="1" si="18"/>
        <v>70</v>
      </c>
      <c r="I12" s="2">
        <f t="shared" ca="1" si="1"/>
        <v>0.6428571428571429</v>
      </c>
      <c r="J12" t="s">
        <v>36</v>
      </c>
      <c r="K12" t="s">
        <v>37</v>
      </c>
      <c r="L12">
        <f t="shared" si="2"/>
        <v>1</v>
      </c>
      <c r="M12">
        <f t="shared" si="3"/>
        <v>0</v>
      </c>
      <c r="N12">
        <f t="shared" si="4"/>
        <v>0</v>
      </c>
      <c r="O12" t="s">
        <v>38</v>
      </c>
      <c r="P12">
        <f t="shared" si="5"/>
        <v>1</v>
      </c>
      <c r="Q12">
        <f t="shared" si="6"/>
        <v>0</v>
      </c>
      <c r="R12">
        <f t="shared" si="7"/>
        <v>0</v>
      </c>
      <c r="S12">
        <f t="shared" si="8"/>
        <v>0</v>
      </c>
      <c r="T12">
        <f t="shared" si="9"/>
        <v>0</v>
      </c>
      <c r="U12">
        <f t="shared" si="10"/>
        <v>0</v>
      </c>
      <c r="V12">
        <f t="shared" si="11"/>
        <v>0</v>
      </c>
      <c r="W12" t="s">
        <v>39</v>
      </c>
      <c r="X12">
        <f t="shared" si="12"/>
        <v>1</v>
      </c>
      <c r="Y12">
        <f t="shared" si="13"/>
        <v>0</v>
      </c>
      <c r="Z12">
        <v>2</v>
      </c>
      <c r="AA12">
        <f t="shared" si="14"/>
        <v>0.25</v>
      </c>
      <c r="AB12" t="s">
        <v>40</v>
      </c>
      <c r="AC12">
        <f>IF(AE12="agency",1,0)</f>
        <v>0</v>
      </c>
      <c r="AD12">
        <f>IF(AE12="client",1,0)</f>
        <v>0</v>
      </c>
      <c r="AE12" t="s">
        <v>41</v>
      </c>
      <c r="AF12">
        <f>IF(AE12="website",1,0)</f>
        <v>1</v>
      </c>
    </row>
    <row r="13" spans="1:32">
      <c r="A13" t="s">
        <v>80</v>
      </c>
      <c r="B13" t="s">
        <v>55</v>
      </c>
      <c r="C13" s="3">
        <f t="shared" si="17"/>
        <v>1</v>
      </c>
      <c r="D13">
        <f t="shared" si="0"/>
        <v>0</v>
      </c>
      <c r="E13" t="s">
        <v>81</v>
      </c>
      <c r="F13" t="s">
        <v>57</v>
      </c>
      <c r="G13" s="1">
        <v>27509</v>
      </c>
      <c r="H13" s="2">
        <f t="shared" ca="1" si="18"/>
        <v>51</v>
      </c>
      <c r="I13" s="2">
        <f t="shared" ca="1" si="1"/>
        <v>0.37142857142857144</v>
      </c>
      <c r="J13" t="s">
        <v>45</v>
      </c>
      <c r="K13" t="s">
        <v>37</v>
      </c>
      <c r="L13">
        <f t="shared" si="2"/>
        <v>1</v>
      </c>
      <c r="M13">
        <f t="shared" si="3"/>
        <v>0</v>
      </c>
      <c r="N13">
        <f t="shared" si="4"/>
        <v>0</v>
      </c>
      <c r="O13" t="s">
        <v>38</v>
      </c>
      <c r="P13">
        <f t="shared" si="5"/>
        <v>1</v>
      </c>
      <c r="Q13">
        <f t="shared" si="6"/>
        <v>0</v>
      </c>
      <c r="R13">
        <f t="shared" si="7"/>
        <v>0</v>
      </c>
      <c r="S13">
        <f t="shared" si="8"/>
        <v>0</v>
      </c>
      <c r="T13">
        <f t="shared" si="9"/>
        <v>0</v>
      </c>
      <c r="U13">
        <f t="shared" si="10"/>
        <v>0</v>
      </c>
      <c r="V13">
        <f t="shared" si="11"/>
        <v>0</v>
      </c>
      <c r="W13" t="s">
        <v>58</v>
      </c>
      <c r="X13">
        <f t="shared" si="12"/>
        <v>0</v>
      </c>
      <c r="Y13">
        <f t="shared" si="13"/>
        <v>1</v>
      </c>
      <c r="Z13">
        <v>5</v>
      </c>
      <c r="AA13">
        <f t="shared" si="14"/>
        <v>1</v>
      </c>
      <c r="AB13" t="s">
        <v>46</v>
      </c>
      <c r="AC13">
        <f t="shared" si="15"/>
        <v>0</v>
      </c>
      <c r="AD13">
        <f t="shared" si="16"/>
        <v>0</v>
      </c>
      <c r="AE13" t="s">
        <v>41</v>
      </c>
      <c r="AF13">
        <f>IF(AE13="website",1,0)</f>
        <v>1</v>
      </c>
    </row>
    <row r="14" spans="1:32">
      <c r="A14" t="s">
        <v>82</v>
      </c>
      <c r="B14" t="s">
        <v>33</v>
      </c>
      <c r="C14" s="3">
        <f t="shared" si="17"/>
        <v>0</v>
      </c>
      <c r="D14">
        <f t="shared" si="0"/>
        <v>1</v>
      </c>
      <c r="E14" t="s">
        <v>83</v>
      </c>
      <c r="F14" t="s">
        <v>84</v>
      </c>
      <c r="G14" s="1">
        <v>22868</v>
      </c>
      <c r="H14" s="2">
        <f t="shared" ca="1" si="18"/>
        <v>64</v>
      </c>
      <c r="I14" s="2">
        <f t="shared" ca="1" si="1"/>
        <v>0.55714285714285716</v>
      </c>
      <c r="J14" t="s">
        <v>45</v>
      </c>
      <c r="K14" t="s">
        <v>37</v>
      </c>
      <c r="L14">
        <f t="shared" si="2"/>
        <v>1</v>
      </c>
      <c r="M14">
        <f t="shared" si="3"/>
        <v>0</v>
      </c>
      <c r="N14">
        <f t="shared" si="4"/>
        <v>0</v>
      </c>
      <c r="O14" t="s">
        <v>38</v>
      </c>
      <c r="P14">
        <f t="shared" si="5"/>
        <v>1</v>
      </c>
      <c r="Q14">
        <f t="shared" si="6"/>
        <v>0</v>
      </c>
      <c r="R14">
        <f t="shared" si="7"/>
        <v>0</v>
      </c>
      <c r="S14">
        <f t="shared" si="8"/>
        <v>0</v>
      </c>
      <c r="T14">
        <f t="shared" si="9"/>
        <v>0</v>
      </c>
      <c r="U14">
        <f t="shared" si="10"/>
        <v>0</v>
      </c>
      <c r="V14">
        <f t="shared" si="11"/>
        <v>0</v>
      </c>
      <c r="W14" t="s">
        <v>39</v>
      </c>
      <c r="X14">
        <f t="shared" si="12"/>
        <v>1</v>
      </c>
      <c r="Y14">
        <f t="shared" si="13"/>
        <v>0</v>
      </c>
      <c r="Z14">
        <v>1</v>
      </c>
      <c r="AA14">
        <f t="shared" si="14"/>
        <v>0</v>
      </c>
      <c r="AB14" t="s">
        <v>40</v>
      </c>
      <c r="AC14">
        <f t="shared" si="15"/>
        <v>0</v>
      </c>
      <c r="AD14">
        <f t="shared" si="16"/>
        <v>0</v>
      </c>
      <c r="AE14" t="s">
        <v>41</v>
      </c>
      <c r="AF14">
        <f>IF(AE14="website",1,0)</f>
        <v>1</v>
      </c>
    </row>
    <row r="15" spans="1:32">
      <c r="A15" t="s">
        <v>85</v>
      </c>
      <c r="B15" t="s">
        <v>55</v>
      </c>
      <c r="C15" s="3">
        <f t="shared" si="17"/>
        <v>1</v>
      </c>
      <c r="D15">
        <f t="shared" si="0"/>
        <v>0</v>
      </c>
      <c r="E15" t="s">
        <v>86</v>
      </c>
      <c r="F15" t="s">
        <v>57</v>
      </c>
      <c r="G15" s="1">
        <v>29412</v>
      </c>
      <c r="H15" s="2">
        <f t="shared" ca="1" si="18"/>
        <v>46</v>
      </c>
      <c r="I15" s="2">
        <f t="shared" ca="1" si="1"/>
        <v>0.3</v>
      </c>
      <c r="J15" t="s">
        <v>45</v>
      </c>
      <c r="K15" t="s">
        <v>37</v>
      </c>
      <c r="L15">
        <f t="shared" si="2"/>
        <v>1</v>
      </c>
      <c r="M15">
        <f t="shared" si="3"/>
        <v>0</v>
      </c>
      <c r="N15">
        <f t="shared" si="4"/>
        <v>0</v>
      </c>
      <c r="O15" t="s">
        <v>38</v>
      </c>
      <c r="P15">
        <f t="shared" si="5"/>
        <v>1</v>
      </c>
      <c r="Q15">
        <f t="shared" si="6"/>
        <v>0</v>
      </c>
      <c r="R15">
        <f t="shared" si="7"/>
        <v>0</v>
      </c>
      <c r="S15">
        <f t="shared" si="8"/>
        <v>0</v>
      </c>
      <c r="T15">
        <f t="shared" si="9"/>
        <v>0</v>
      </c>
      <c r="U15">
        <f t="shared" si="10"/>
        <v>0</v>
      </c>
      <c r="V15">
        <f t="shared" si="11"/>
        <v>0</v>
      </c>
      <c r="W15" t="s">
        <v>39</v>
      </c>
      <c r="X15">
        <f t="shared" si="12"/>
        <v>1</v>
      </c>
      <c r="Y15">
        <f t="shared" si="13"/>
        <v>0</v>
      </c>
      <c r="Z15">
        <v>3</v>
      </c>
      <c r="AA15">
        <f t="shared" si="14"/>
        <v>0.5</v>
      </c>
      <c r="AB15" t="s">
        <v>40</v>
      </c>
      <c r="AC15">
        <f t="shared" si="15"/>
        <v>0</v>
      </c>
      <c r="AD15">
        <f t="shared" si="16"/>
        <v>0</v>
      </c>
      <c r="AE15" t="s">
        <v>41</v>
      </c>
      <c r="AF15">
        <f>IF(AE15="website",1,0)</f>
        <v>1</v>
      </c>
    </row>
    <row r="16" spans="1:32">
      <c r="A16" t="s">
        <v>87</v>
      </c>
      <c r="B16" t="s">
        <v>33</v>
      </c>
      <c r="C16" s="3">
        <f t="shared" si="17"/>
        <v>0</v>
      </c>
      <c r="D16">
        <f t="shared" si="0"/>
        <v>1</v>
      </c>
      <c r="E16" t="s">
        <v>88</v>
      </c>
      <c r="F16" t="s">
        <v>89</v>
      </c>
      <c r="G16" s="1">
        <v>15207</v>
      </c>
      <c r="H16" s="2">
        <f t="shared" ca="1" si="18"/>
        <v>85</v>
      </c>
      <c r="I16" s="2">
        <f t="shared" ca="1" si="1"/>
        <v>0.8571428571428571</v>
      </c>
      <c r="J16" t="s">
        <v>36</v>
      </c>
      <c r="K16" t="s">
        <v>37</v>
      </c>
      <c r="L16">
        <f t="shared" si="2"/>
        <v>1</v>
      </c>
      <c r="M16">
        <f t="shared" si="3"/>
        <v>0</v>
      </c>
      <c r="N16">
        <f t="shared" si="4"/>
        <v>0</v>
      </c>
      <c r="O16" t="s">
        <v>38</v>
      </c>
      <c r="P16">
        <f t="shared" si="5"/>
        <v>1</v>
      </c>
      <c r="Q16">
        <f t="shared" si="6"/>
        <v>0</v>
      </c>
      <c r="R16">
        <f t="shared" si="7"/>
        <v>0</v>
      </c>
      <c r="S16">
        <f t="shared" si="8"/>
        <v>0</v>
      </c>
      <c r="T16">
        <f t="shared" si="9"/>
        <v>0</v>
      </c>
      <c r="U16">
        <f t="shared" si="10"/>
        <v>0</v>
      </c>
      <c r="V16">
        <f t="shared" si="11"/>
        <v>0</v>
      </c>
      <c r="W16" t="s">
        <v>39</v>
      </c>
      <c r="X16">
        <f t="shared" si="12"/>
        <v>1</v>
      </c>
      <c r="Y16">
        <f t="shared" si="13"/>
        <v>0</v>
      </c>
      <c r="Z16">
        <v>5</v>
      </c>
      <c r="AA16">
        <f t="shared" si="14"/>
        <v>1</v>
      </c>
      <c r="AB16" t="s">
        <v>46</v>
      </c>
      <c r="AC16">
        <f t="shared" si="15"/>
        <v>0</v>
      </c>
      <c r="AD16">
        <f t="shared" si="16"/>
        <v>1</v>
      </c>
      <c r="AE16" t="s">
        <v>90</v>
      </c>
      <c r="AF16">
        <f>IF(AE16="website",1,0)</f>
        <v>0</v>
      </c>
    </row>
    <row r="17" spans="1:32">
      <c r="A17" t="s">
        <v>91</v>
      </c>
      <c r="B17" t="s">
        <v>33</v>
      </c>
      <c r="C17" s="3">
        <f t="shared" si="17"/>
        <v>0</v>
      </c>
      <c r="D17">
        <f t="shared" si="0"/>
        <v>1</v>
      </c>
      <c r="E17" t="s">
        <v>92</v>
      </c>
      <c r="F17" t="s">
        <v>93</v>
      </c>
      <c r="G17" s="1">
        <v>14491</v>
      </c>
      <c r="H17" s="2">
        <f t="shared" ca="1" si="18"/>
        <v>87</v>
      </c>
      <c r="I17" s="2">
        <f t="shared" ca="1" si="1"/>
        <v>0.88571428571428568</v>
      </c>
      <c r="J17" t="s">
        <v>36</v>
      </c>
      <c r="K17" t="s">
        <v>37</v>
      </c>
      <c r="L17">
        <f t="shared" si="2"/>
        <v>1</v>
      </c>
      <c r="M17">
        <f t="shared" si="3"/>
        <v>0</v>
      </c>
      <c r="N17">
        <f t="shared" si="4"/>
        <v>0</v>
      </c>
      <c r="O17" t="s">
        <v>38</v>
      </c>
      <c r="P17">
        <f t="shared" si="5"/>
        <v>1</v>
      </c>
      <c r="Q17">
        <f t="shared" si="6"/>
        <v>0</v>
      </c>
      <c r="R17">
        <f t="shared" si="7"/>
        <v>0</v>
      </c>
      <c r="S17">
        <f t="shared" si="8"/>
        <v>0</v>
      </c>
      <c r="T17">
        <f t="shared" si="9"/>
        <v>0</v>
      </c>
      <c r="U17">
        <f t="shared" si="10"/>
        <v>0</v>
      </c>
      <c r="V17">
        <f t="shared" si="11"/>
        <v>0</v>
      </c>
      <c r="W17" t="s">
        <v>58</v>
      </c>
      <c r="X17">
        <f t="shared" si="12"/>
        <v>0</v>
      </c>
      <c r="Y17">
        <f t="shared" si="13"/>
        <v>1</v>
      </c>
      <c r="Z17">
        <v>5</v>
      </c>
      <c r="AA17">
        <f t="shared" si="14"/>
        <v>1</v>
      </c>
      <c r="AB17" t="s">
        <v>46</v>
      </c>
      <c r="AC17">
        <f t="shared" si="15"/>
        <v>0</v>
      </c>
      <c r="AD17">
        <f t="shared" si="16"/>
        <v>0</v>
      </c>
      <c r="AE17" t="s">
        <v>41</v>
      </c>
      <c r="AF17">
        <f>IF(AE17="website",1,0)</f>
        <v>1</v>
      </c>
    </row>
    <row r="18" spans="1:32">
      <c r="A18" t="s">
        <v>94</v>
      </c>
      <c r="B18" t="s">
        <v>33</v>
      </c>
      <c r="C18" s="3">
        <f t="shared" si="17"/>
        <v>0</v>
      </c>
      <c r="D18">
        <f t="shared" si="0"/>
        <v>1</v>
      </c>
      <c r="E18" t="s">
        <v>95</v>
      </c>
      <c r="F18" t="s">
        <v>96</v>
      </c>
      <c r="G18" s="1">
        <v>28133</v>
      </c>
      <c r="H18" s="2">
        <f t="shared" ca="1" si="18"/>
        <v>49</v>
      </c>
      <c r="I18" s="2">
        <f t="shared" ca="1" si="1"/>
        <v>0.34285714285714286</v>
      </c>
      <c r="J18" t="s">
        <v>45</v>
      </c>
      <c r="K18" t="s">
        <v>37</v>
      </c>
      <c r="L18">
        <f t="shared" si="2"/>
        <v>1</v>
      </c>
      <c r="M18">
        <f t="shared" si="3"/>
        <v>0</v>
      </c>
      <c r="N18">
        <f t="shared" si="4"/>
        <v>0</v>
      </c>
      <c r="O18" t="s">
        <v>97</v>
      </c>
      <c r="P18">
        <f t="shared" si="5"/>
        <v>0</v>
      </c>
      <c r="Q18">
        <f t="shared" si="6"/>
        <v>0</v>
      </c>
      <c r="R18">
        <f t="shared" si="7"/>
        <v>0</v>
      </c>
      <c r="S18">
        <f t="shared" si="8"/>
        <v>0</v>
      </c>
      <c r="T18">
        <f t="shared" si="9"/>
        <v>1</v>
      </c>
      <c r="U18">
        <f t="shared" si="10"/>
        <v>0</v>
      </c>
      <c r="V18">
        <f t="shared" si="11"/>
        <v>0</v>
      </c>
      <c r="W18" t="s">
        <v>39</v>
      </c>
      <c r="X18">
        <f t="shared" si="12"/>
        <v>1</v>
      </c>
      <c r="Y18">
        <f t="shared" si="13"/>
        <v>0</v>
      </c>
      <c r="Z18">
        <v>3</v>
      </c>
      <c r="AA18">
        <f t="shared" si="14"/>
        <v>0.5</v>
      </c>
      <c r="AB18" t="s">
        <v>46</v>
      </c>
      <c r="AC18">
        <f t="shared" si="15"/>
        <v>0</v>
      </c>
      <c r="AD18">
        <f t="shared" si="16"/>
        <v>1</v>
      </c>
      <c r="AE18" t="s">
        <v>90</v>
      </c>
      <c r="AF18">
        <f>IF(AE18="website",1,0)</f>
        <v>0</v>
      </c>
    </row>
    <row r="19" spans="1:32">
      <c r="A19" t="s">
        <v>98</v>
      </c>
      <c r="B19" t="s">
        <v>33</v>
      </c>
      <c r="C19" s="3">
        <f t="shared" si="17"/>
        <v>0</v>
      </c>
      <c r="D19">
        <f t="shared" si="0"/>
        <v>1</v>
      </c>
      <c r="E19" t="s">
        <v>99</v>
      </c>
      <c r="F19" t="s">
        <v>100</v>
      </c>
      <c r="G19" s="1">
        <v>24510</v>
      </c>
      <c r="H19" s="2">
        <f t="shared" ca="1" si="18"/>
        <v>59</v>
      </c>
      <c r="I19" s="2">
        <f t="shared" ca="1" si="1"/>
        <v>0.48571428571428571</v>
      </c>
      <c r="J19" t="s">
        <v>45</v>
      </c>
      <c r="K19" t="s">
        <v>37</v>
      </c>
      <c r="L19">
        <f t="shared" si="2"/>
        <v>1</v>
      </c>
      <c r="M19">
        <f t="shared" si="3"/>
        <v>0</v>
      </c>
      <c r="N19">
        <f t="shared" si="4"/>
        <v>0</v>
      </c>
      <c r="O19" t="s">
        <v>38</v>
      </c>
      <c r="P19">
        <f t="shared" si="5"/>
        <v>1</v>
      </c>
      <c r="Q19">
        <f t="shared" si="6"/>
        <v>0</v>
      </c>
      <c r="R19">
        <f t="shared" si="7"/>
        <v>0</v>
      </c>
      <c r="S19">
        <f t="shared" si="8"/>
        <v>0</v>
      </c>
      <c r="T19">
        <f t="shared" si="9"/>
        <v>0</v>
      </c>
      <c r="U19">
        <f t="shared" si="10"/>
        <v>0</v>
      </c>
      <c r="V19">
        <f t="shared" si="11"/>
        <v>0</v>
      </c>
      <c r="W19" t="s">
        <v>39</v>
      </c>
      <c r="X19">
        <f t="shared" si="12"/>
        <v>1</v>
      </c>
      <c r="Y19">
        <f t="shared" si="13"/>
        <v>0</v>
      </c>
      <c r="Z19">
        <v>2</v>
      </c>
      <c r="AA19">
        <f t="shared" si="14"/>
        <v>0.25</v>
      </c>
      <c r="AB19" t="s">
        <v>40</v>
      </c>
      <c r="AC19">
        <f t="shared" si="15"/>
        <v>1</v>
      </c>
      <c r="AD19">
        <f t="shared" si="16"/>
        <v>0</v>
      </c>
      <c r="AE19" t="s">
        <v>50</v>
      </c>
      <c r="AF19">
        <f>IF(AE19="website",1,0)</f>
        <v>0</v>
      </c>
    </row>
    <row r="20" spans="1:32">
      <c r="A20" t="s">
        <v>101</v>
      </c>
      <c r="B20" t="s">
        <v>33</v>
      </c>
      <c r="C20" s="3">
        <f t="shared" si="17"/>
        <v>0</v>
      </c>
      <c r="D20">
        <f t="shared" si="0"/>
        <v>1</v>
      </c>
      <c r="E20" t="s">
        <v>102</v>
      </c>
      <c r="F20" t="s">
        <v>103</v>
      </c>
      <c r="G20" s="1">
        <v>21072</v>
      </c>
      <c r="H20" s="2">
        <f t="shared" ca="1" si="18"/>
        <v>69</v>
      </c>
      <c r="I20" s="2">
        <f t="shared" ca="1" si="1"/>
        <v>0.62857142857142856</v>
      </c>
      <c r="J20" t="s">
        <v>45</v>
      </c>
      <c r="K20" t="s">
        <v>37</v>
      </c>
      <c r="L20">
        <f t="shared" si="2"/>
        <v>1</v>
      </c>
      <c r="M20">
        <f t="shared" si="3"/>
        <v>0</v>
      </c>
      <c r="N20">
        <f t="shared" si="4"/>
        <v>0</v>
      </c>
      <c r="O20" t="s">
        <v>38</v>
      </c>
      <c r="P20">
        <f t="shared" si="5"/>
        <v>1</v>
      </c>
      <c r="Q20">
        <f t="shared" si="6"/>
        <v>0</v>
      </c>
      <c r="R20">
        <f t="shared" si="7"/>
        <v>0</v>
      </c>
      <c r="S20">
        <f t="shared" si="8"/>
        <v>0</v>
      </c>
      <c r="T20">
        <f t="shared" si="9"/>
        <v>0</v>
      </c>
      <c r="U20">
        <f t="shared" si="10"/>
        <v>0</v>
      </c>
      <c r="V20">
        <f t="shared" si="11"/>
        <v>0</v>
      </c>
      <c r="W20" t="s">
        <v>39</v>
      </c>
      <c r="X20">
        <f t="shared" si="12"/>
        <v>1</v>
      </c>
      <c r="Y20">
        <f t="shared" si="13"/>
        <v>0</v>
      </c>
      <c r="Z20">
        <v>5</v>
      </c>
      <c r="AA20">
        <f t="shared" si="14"/>
        <v>1</v>
      </c>
      <c r="AB20" t="s">
        <v>40</v>
      </c>
      <c r="AC20">
        <f t="shared" si="15"/>
        <v>0</v>
      </c>
      <c r="AD20">
        <f t="shared" si="16"/>
        <v>1</v>
      </c>
      <c r="AE20" t="s">
        <v>90</v>
      </c>
      <c r="AF20">
        <f>IF(AE20="website",1,0)</f>
        <v>0</v>
      </c>
    </row>
    <row r="21" spans="1:32">
      <c r="A21" t="s">
        <v>104</v>
      </c>
      <c r="B21" t="s">
        <v>33</v>
      </c>
      <c r="C21" s="3">
        <f t="shared" si="17"/>
        <v>0</v>
      </c>
      <c r="D21">
        <f t="shared" si="0"/>
        <v>1</v>
      </c>
      <c r="E21" t="s">
        <v>105</v>
      </c>
      <c r="F21" t="s">
        <v>106</v>
      </c>
      <c r="G21" s="1">
        <v>24762</v>
      </c>
      <c r="H21" s="2">
        <f t="shared" ca="1" si="18"/>
        <v>58</v>
      </c>
      <c r="I21" s="2">
        <f t="shared" ca="1" si="1"/>
        <v>0.47142857142857142</v>
      </c>
      <c r="J21" t="s">
        <v>36</v>
      </c>
      <c r="K21" t="s">
        <v>37</v>
      </c>
      <c r="L21">
        <f t="shared" si="2"/>
        <v>1</v>
      </c>
      <c r="M21">
        <f t="shared" si="3"/>
        <v>0</v>
      </c>
      <c r="N21">
        <f t="shared" si="4"/>
        <v>0</v>
      </c>
      <c r="O21" t="s">
        <v>38</v>
      </c>
      <c r="P21">
        <f t="shared" si="5"/>
        <v>1</v>
      </c>
      <c r="Q21">
        <f t="shared" si="6"/>
        <v>0</v>
      </c>
      <c r="R21">
        <f t="shared" si="7"/>
        <v>0</v>
      </c>
      <c r="S21">
        <f t="shared" si="8"/>
        <v>0</v>
      </c>
      <c r="T21">
        <f t="shared" si="9"/>
        <v>0</v>
      </c>
      <c r="U21">
        <f t="shared" si="10"/>
        <v>0</v>
      </c>
      <c r="V21">
        <f t="shared" si="11"/>
        <v>0</v>
      </c>
      <c r="W21" t="s">
        <v>39</v>
      </c>
      <c r="X21">
        <f t="shared" si="12"/>
        <v>1</v>
      </c>
      <c r="Y21">
        <f t="shared" si="13"/>
        <v>0</v>
      </c>
      <c r="Z21">
        <v>5</v>
      </c>
      <c r="AA21">
        <f t="shared" si="14"/>
        <v>1</v>
      </c>
      <c r="AB21" t="s">
        <v>46</v>
      </c>
      <c r="AC21">
        <f t="shared" si="15"/>
        <v>0</v>
      </c>
      <c r="AD21">
        <f t="shared" si="16"/>
        <v>0</v>
      </c>
      <c r="AE21" t="s">
        <v>41</v>
      </c>
      <c r="AF21">
        <f>IF(AE21="website",1,0)</f>
        <v>1</v>
      </c>
    </row>
    <row r="22" spans="1:32">
      <c r="A22" t="s">
        <v>107</v>
      </c>
      <c r="B22" t="s">
        <v>33</v>
      </c>
      <c r="C22" s="3">
        <f t="shared" si="17"/>
        <v>0</v>
      </c>
      <c r="D22">
        <f t="shared" si="0"/>
        <v>1</v>
      </c>
      <c r="E22" t="s">
        <v>108</v>
      </c>
      <c r="F22" t="s">
        <v>109</v>
      </c>
      <c r="G22" s="1">
        <v>14040</v>
      </c>
      <c r="H22" s="2">
        <f t="shared" ca="1" si="18"/>
        <v>88</v>
      </c>
      <c r="I22" s="2">
        <f t="shared" ca="1" si="1"/>
        <v>0.9</v>
      </c>
      <c r="J22" t="s">
        <v>45</v>
      </c>
      <c r="K22" t="s">
        <v>37</v>
      </c>
      <c r="L22">
        <f t="shared" si="2"/>
        <v>1</v>
      </c>
      <c r="M22">
        <f t="shared" si="3"/>
        <v>0</v>
      </c>
      <c r="N22">
        <f t="shared" si="4"/>
        <v>0</v>
      </c>
      <c r="O22" t="s">
        <v>76</v>
      </c>
      <c r="P22">
        <f t="shared" si="5"/>
        <v>0</v>
      </c>
      <c r="Q22">
        <f t="shared" si="6"/>
        <v>1</v>
      </c>
      <c r="R22">
        <f t="shared" si="7"/>
        <v>0</v>
      </c>
      <c r="S22">
        <f t="shared" si="8"/>
        <v>0</v>
      </c>
      <c r="T22">
        <f t="shared" si="9"/>
        <v>0</v>
      </c>
      <c r="U22">
        <f t="shared" si="10"/>
        <v>0</v>
      </c>
      <c r="V22">
        <f t="shared" si="11"/>
        <v>0</v>
      </c>
      <c r="W22" t="s">
        <v>58</v>
      </c>
      <c r="X22">
        <f t="shared" si="12"/>
        <v>0</v>
      </c>
      <c r="Y22">
        <f t="shared" si="13"/>
        <v>1</v>
      </c>
      <c r="Z22">
        <v>3</v>
      </c>
      <c r="AA22">
        <f t="shared" si="14"/>
        <v>0.5</v>
      </c>
      <c r="AB22" t="s">
        <v>46</v>
      </c>
      <c r="AC22">
        <f t="shared" si="15"/>
        <v>0</v>
      </c>
      <c r="AD22">
        <f t="shared" si="16"/>
        <v>0</v>
      </c>
      <c r="AE22" t="s">
        <v>41</v>
      </c>
      <c r="AF22">
        <f>IF(AE22="website",1,0)</f>
        <v>1</v>
      </c>
    </row>
    <row r="23" spans="1:32">
      <c r="A23" t="s">
        <v>110</v>
      </c>
      <c r="B23" t="s">
        <v>33</v>
      </c>
      <c r="C23" s="3">
        <f t="shared" si="17"/>
        <v>0</v>
      </c>
      <c r="D23">
        <f t="shared" si="0"/>
        <v>1</v>
      </c>
      <c r="E23" t="s">
        <v>111</v>
      </c>
      <c r="F23" t="s">
        <v>112</v>
      </c>
      <c r="G23" s="1">
        <v>24364</v>
      </c>
      <c r="H23" s="2">
        <f t="shared" ca="1" si="18"/>
        <v>60</v>
      </c>
      <c r="I23" s="2">
        <f t="shared" ca="1" si="1"/>
        <v>0.5</v>
      </c>
      <c r="J23" t="s">
        <v>45</v>
      </c>
      <c r="K23" t="s">
        <v>113</v>
      </c>
      <c r="L23">
        <f t="shared" si="2"/>
        <v>0</v>
      </c>
      <c r="M23">
        <f t="shared" si="3"/>
        <v>0</v>
      </c>
      <c r="N23">
        <f t="shared" si="4"/>
        <v>1</v>
      </c>
      <c r="O23" t="s">
        <v>114</v>
      </c>
      <c r="P23">
        <f t="shared" si="5"/>
        <v>0</v>
      </c>
      <c r="Q23">
        <f t="shared" si="6"/>
        <v>0</v>
      </c>
      <c r="R23">
        <f t="shared" si="7"/>
        <v>0</v>
      </c>
      <c r="S23">
        <f t="shared" si="8"/>
        <v>1</v>
      </c>
      <c r="T23">
        <f t="shared" si="9"/>
        <v>0</v>
      </c>
      <c r="U23">
        <f t="shared" si="10"/>
        <v>0</v>
      </c>
      <c r="V23">
        <f t="shared" si="11"/>
        <v>0</v>
      </c>
      <c r="W23" t="s">
        <v>58</v>
      </c>
      <c r="X23">
        <f t="shared" si="12"/>
        <v>0</v>
      </c>
      <c r="Y23">
        <f t="shared" si="13"/>
        <v>1</v>
      </c>
      <c r="Z23">
        <v>5</v>
      </c>
      <c r="AA23">
        <f t="shared" si="14"/>
        <v>1</v>
      </c>
      <c r="AB23" t="s">
        <v>46</v>
      </c>
      <c r="AC23">
        <f t="shared" si="15"/>
        <v>1</v>
      </c>
      <c r="AD23">
        <f t="shared" si="16"/>
        <v>0</v>
      </c>
      <c r="AE23" t="s">
        <v>50</v>
      </c>
      <c r="AF23">
        <f>IF(AE23="website",1,0)</f>
        <v>0</v>
      </c>
    </row>
    <row r="24" spans="1:32">
      <c r="A24" t="s">
        <v>115</v>
      </c>
      <c r="B24" t="s">
        <v>33</v>
      </c>
      <c r="C24" s="3">
        <f t="shared" si="17"/>
        <v>0</v>
      </c>
      <c r="D24">
        <f t="shared" si="0"/>
        <v>1</v>
      </c>
      <c r="E24" t="s">
        <v>116</v>
      </c>
      <c r="F24" t="s">
        <v>117</v>
      </c>
      <c r="G24" s="1">
        <v>21525</v>
      </c>
      <c r="H24" s="2">
        <f t="shared" ca="1" si="18"/>
        <v>67</v>
      </c>
      <c r="I24" s="2">
        <f t="shared" ca="1" si="1"/>
        <v>0.6</v>
      </c>
      <c r="J24" t="s">
        <v>45</v>
      </c>
      <c r="K24" t="s">
        <v>37</v>
      </c>
      <c r="L24">
        <f t="shared" si="2"/>
        <v>1</v>
      </c>
      <c r="M24">
        <f t="shared" si="3"/>
        <v>0</v>
      </c>
      <c r="N24">
        <f t="shared" si="4"/>
        <v>0</v>
      </c>
      <c r="O24" t="s">
        <v>38</v>
      </c>
      <c r="P24">
        <f t="shared" si="5"/>
        <v>1</v>
      </c>
      <c r="Q24">
        <f t="shared" si="6"/>
        <v>0</v>
      </c>
      <c r="R24">
        <f t="shared" si="7"/>
        <v>0</v>
      </c>
      <c r="S24">
        <f t="shared" si="8"/>
        <v>0</v>
      </c>
      <c r="T24">
        <f t="shared" si="9"/>
        <v>0</v>
      </c>
      <c r="U24">
        <f t="shared" si="10"/>
        <v>0</v>
      </c>
      <c r="V24">
        <f t="shared" si="11"/>
        <v>0</v>
      </c>
      <c r="W24" t="s">
        <v>39</v>
      </c>
      <c r="X24">
        <f t="shared" si="12"/>
        <v>1</v>
      </c>
      <c r="Y24">
        <f t="shared" si="13"/>
        <v>0</v>
      </c>
      <c r="Z24">
        <v>3</v>
      </c>
      <c r="AA24">
        <f t="shared" si="14"/>
        <v>0.5</v>
      </c>
      <c r="AB24" t="s">
        <v>40</v>
      </c>
      <c r="AC24">
        <f t="shared" si="15"/>
        <v>0</v>
      </c>
      <c r="AD24">
        <f t="shared" si="16"/>
        <v>0</v>
      </c>
      <c r="AE24" t="s">
        <v>41</v>
      </c>
      <c r="AF24">
        <f>IF(AE24="website",1,0)</f>
        <v>1</v>
      </c>
    </row>
    <row r="25" spans="1:32">
      <c r="A25" t="s">
        <v>118</v>
      </c>
      <c r="B25" t="s">
        <v>33</v>
      </c>
      <c r="C25" s="3">
        <f t="shared" si="17"/>
        <v>0</v>
      </c>
      <c r="D25">
        <f t="shared" si="0"/>
        <v>1</v>
      </c>
      <c r="E25" t="s">
        <v>119</v>
      </c>
      <c r="F25" t="s">
        <v>120</v>
      </c>
      <c r="G25" s="1">
        <v>23320</v>
      </c>
      <c r="H25" s="2">
        <f t="shared" ca="1" si="18"/>
        <v>62</v>
      </c>
      <c r="I25" s="2">
        <f t="shared" ca="1" si="1"/>
        <v>0.52857142857142858</v>
      </c>
      <c r="J25" t="s">
        <v>45</v>
      </c>
      <c r="K25" t="s">
        <v>37</v>
      </c>
      <c r="L25">
        <f t="shared" si="2"/>
        <v>1</v>
      </c>
      <c r="M25">
        <f t="shared" si="3"/>
        <v>0</v>
      </c>
      <c r="N25">
        <f t="shared" si="4"/>
        <v>0</v>
      </c>
      <c r="O25" t="s">
        <v>38</v>
      </c>
      <c r="P25">
        <f t="shared" si="5"/>
        <v>1</v>
      </c>
      <c r="Q25">
        <f t="shared" si="6"/>
        <v>0</v>
      </c>
      <c r="R25">
        <f t="shared" si="7"/>
        <v>0</v>
      </c>
      <c r="S25">
        <f t="shared" si="8"/>
        <v>0</v>
      </c>
      <c r="T25">
        <f t="shared" si="9"/>
        <v>0</v>
      </c>
      <c r="U25">
        <f t="shared" si="10"/>
        <v>0</v>
      </c>
      <c r="V25">
        <f t="shared" si="11"/>
        <v>0</v>
      </c>
      <c r="W25" t="s">
        <v>58</v>
      </c>
      <c r="X25">
        <f t="shared" si="12"/>
        <v>0</v>
      </c>
      <c r="Y25">
        <f t="shared" si="13"/>
        <v>1</v>
      </c>
      <c r="Z25">
        <v>4</v>
      </c>
      <c r="AA25">
        <f t="shared" si="14"/>
        <v>0.75</v>
      </c>
      <c r="AB25" t="s">
        <v>46</v>
      </c>
      <c r="AC25">
        <f t="shared" si="15"/>
        <v>0</v>
      </c>
      <c r="AD25">
        <f t="shared" si="16"/>
        <v>0</v>
      </c>
      <c r="AE25" t="s">
        <v>41</v>
      </c>
      <c r="AF25">
        <f>IF(AE25="website",1,0)</f>
        <v>1</v>
      </c>
    </row>
    <row r="26" spans="1:32">
      <c r="A26" t="s">
        <v>121</v>
      </c>
      <c r="B26" t="s">
        <v>33</v>
      </c>
      <c r="C26" s="3">
        <f t="shared" si="17"/>
        <v>0</v>
      </c>
      <c r="D26">
        <f t="shared" si="0"/>
        <v>1</v>
      </c>
      <c r="E26" t="s">
        <v>122</v>
      </c>
      <c r="F26" t="s">
        <v>123</v>
      </c>
      <c r="G26" s="1">
        <v>13535</v>
      </c>
      <c r="H26" s="2">
        <f t="shared" ca="1" si="18"/>
        <v>89</v>
      </c>
      <c r="I26" s="2">
        <f t="shared" ca="1" si="1"/>
        <v>0.91428571428571426</v>
      </c>
      <c r="J26" t="s">
        <v>45</v>
      </c>
      <c r="K26" t="s">
        <v>37</v>
      </c>
      <c r="L26">
        <f t="shared" si="2"/>
        <v>1</v>
      </c>
      <c r="M26">
        <f t="shared" si="3"/>
        <v>0</v>
      </c>
      <c r="N26">
        <f t="shared" si="4"/>
        <v>0</v>
      </c>
      <c r="O26" t="s">
        <v>124</v>
      </c>
      <c r="P26">
        <f t="shared" si="5"/>
        <v>0</v>
      </c>
      <c r="Q26">
        <f t="shared" si="6"/>
        <v>0</v>
      </c>
      <c r="R26">
        <f t="shared" si="7"/>
        <v>0</v>
      </c>
      <c r="S26">
        <f t="shared" si="8"/>
        <v>0</v>
      </c>
      <c r="T26">
        <f t="shared" si="9"/>
        <v>0</v>
      </c>
      <c r="U26">
        <f t="shared" si="10"/>
        <v>1</v>
      </c>
      <c r="V26">
        <f t="shared" si="11"/>
        <v>0</v>
      </c>
      <c r="W26" t="s">
        <v>39</v>
      </c>
      <c r="X26">
        <f t="shared" si="12"/>
        <v>1</v>
      </c>
      <c r="Y26">
        <f t="shared" si="13"/>
        <v>0</v>
      </c>
      <c r="Z26">
        <v>2</v>
      </c>
      <c r="AA26">
        <f t="shared" si="14"/>
        <v>0.25</v>
      </c>
      <c r="AB26" t="s">
        <v>40</v>
      </c>
      <c r="AC26">
        <f t="shared" si="15"/>
        <v>0</v>
      </c>
      <c r="AD26">
        <f t="shared" si="16"/>
        <v>0</v>
      </c>
      <c r="AE26" t="s">
        <v>41</v>
      </c>
      <c r="AF26">
        <f>IF(AE26="website",1,0)</f>
        <v>1</v>
      </c>
    </row>
    <row r="27" spans="1:32">
      <c r="A27" t="s">
        <v>125</v>
      </c>
      <c r="B27" t="s">
        <v>33</v>
      </c>
      <c r="C27" s="3">
        <f t="shared" si="17"/>
        <v>0</v>
      </c>
      <c r="D27">
        <f t="shared" si="0"/>
        <v>1</v>
      </c>
      <c r="E27" t="s">
        <v>126</v>
      </c>
      <c r="F27" t="s">
        <v>127</v>
      </c>
      <c r="G27" s="1">
        <v>22912</v>
      </c>
      <c r="H27" s="2">
        <f t="shared" ca="1" si="18"/>
        <v>64</v>
      </c>
      <c r="I27" s="2">
        <f t="shared" ca="1" si="1"/>
        <v>0.55714285714285716</v>
      </c>
      <c r="J27" t="s">
        <v>45</v>
      </c>
      <c r="K27" t="s">
        <v>37</v>
      </c>
      <c r="L27">
        <f t="shared" si="2"/>
        <v>1</v>
      </c>
      <c r="M27">
        <f t="shared" si="3"/>
        <v>0</v>
      </c>
      <c r="N27">
        <f t="shared" si="4"/>
        <v>0</v>
      </c>
      <c r="O27" t="s">
        <v>38</v>
      </c>
      <c r="P27">
        <f t="shared" si="5"/>
        <v>1</v>
      </c>
      <c r="Q27">
        <f t="shared" si="6"/>
        <v>0</v>
      </c>
      <c r="R27">
        <f t="shared" si="7"/>
        <v>0</v>
      </c>
      <c r="S27">
        <f t="shared" si="8"/>
        <v>0</v>
      </c>
      <c r="T27">
        <f t="shared" si="9"/>
        <v>0</v>
      </c>
      <c r="U27">
        <f t="shared" si="10"/>
        <v>0</v>
      </c>
      <c r="V27">
        <f t="shared" si="11"/>
        <v>0</v>
      </c>
      <c r="W27" t="s">
        <v>58</v>
      </c>
      <c r="X27">
        <f t="shared" si="12"/>
        <v>0</v>
      </c>
      <c r="Y27">
        <f t="shared" si="13"/>
        <v>1</v>
      </c>
      <c r="Z27">
        <v>5</v>
      </c>
      <c r="AA27">
        <f t="shared" si="14"/>
        <v>1</v>
      </c>
      <c r="AB27" t="s">
        <v>46</v>
      </c>
      <c r="AC27">
        <f t="shared" si="15"/>
        <v>0</v>
      </c>
      <c r="AD27">
        <f t="shared" si="16"/>
        <v>0</v>
      </c>
      <c r="AE27" t="s">
        <v>41</v>
      </c>
      <c r="AF27">
        <f>IF(AE27="website",1,0)</f>
        <v>1</v>
      </c>
    </row>
    <row r="28" spans="1:32">
      <c r="A28" t="s">
        <v>128</v>
      </c>
      <c r="B28" t="s">
        <v>33</v>
      </c>
      <c r="C28" s="3">
        <f t="shared" si="17"/>
        <v>0</v>
      </c>
      <c r="D28">
        <f t="shared" si="0"/>
        <v>1</v>
      </c>
      <c r="E28" t="s">
        <v>129</v>
      </c>
      <c r="F28" t="s">
        <v>130</v>
      </c>
      <c r="G28" s="1">
        <v>25089</v>
      </c>
      <c r="H28" s="2">
        <f t="shared" ca="1" si="18"/>
        <v>58</v>
      </c>
      <c r="I28" s="2">
        <f t="shared" ca="1" si="1"/>
        <v>0.47142857142857142</v>
      </c>
      <c r="J28" t="s">
        <v>45</v>
      </c>
      <c r="K28" t="s">
        <v>37</v>
      </c>
      <c r="L28">
        <f t="shared" si="2"/>
        <v>1</v>
      </c>
      <c r="M28">
        <f t="shared" si="3"/>
        <v>0</v>
      </c>
      <c r="N28">
        <f t="shared" si="4"/>
        <v>0</v>
      </c>
      <c r="O28" t="s">
        <v>38</v>
      </c>
      <c r="P28">
        <f t="shared" si="5"/>
        <v>1</v>
      </c>
      <c r="Q28">
        <f t="shared" si="6"/>
        <v>0</v>
      </c>
      <c r="R28">
        <f t="shared" si="7"/>
        <v>0</v>
      </c>
      <c r="S28">
        <f t="shared" si="8"/>
        <v>0</v>
      </c>
      <c r="T28">
        <f t="shared" si="9"/>
        <v>0</v>
      </c>
      <c r="U28">
        <f t="shared" si="10"/>
        <v>0</v>
      </c>
      <c r="V28">
        <f t="shared" si="11"/>
        <v>0</v>
      </c>
      <c r="W28" t="s">
        <v>39</v>
      </c>
      <c r="X28">
        <f t="shared" si="12"/>
        <v>1</v>
      </c>
      <c r="Y28">
        <f t="shared" si="13"/>
        <v>0</v>
      </c>
      <c r="Z28">
        <v>5</v>
      </c>
      <c r="AA28">
        <f t="shared" si="14"/>
        <v>1</v>
      </c>
      <c r="AB28" t="s">
        <v>40</v>
      </c>
      <c r="AC28">
        <f t="shared" si="15"/>
        <v>0</v>
      </c>
      <c r="AD28">
        <f t="shared" si="16"/>
        <v>0</v>
      </c>
      <c r="AE28" t="s">
        <v>41</v>
      </c>
      <c r="AF28">
        <f>IF(AE28="website",1,0)</f>
        <v>1</v>
      </c>
    </row>
    <row r="29" spans="1:32">
      <c r="A29" t="s">
        <v>131</v>
      </c>
      <c r="B29" t="s">
        <v>33</v>
      </c>
      <c r="C29" s="3">
        <f t="shared" si="17"/>
        <v>0</v>
      </c>
      <c r="D29">
        <f t="shared" si="0"/>
        <v>1</v>
      </c>
      <c r="E29" t="s">
        <v>132</v>
      </c>
      <c r="F29" t="s">
        <v>133</v>
      </c>
      <c r="G29" s="1">
        <v>21290</v>
      </c>
      <c r="H29" s="2">
        <f t="shared" ca="1" si="18"/>
        <v>68</v>
      </c>
      <c r="I29" s="2">
        <f t="shared" ca="1" si="1"/>
        <v>0.61428571428571432</v>
      </c>
      <c r="J29" t="s">
        <v>36</v>
      </c>
      <c r="K29" t="s">
        <v>37</v>
      </c>
      <c r="L29">
        <f t="shared" si="2"/>
        <v>1</v>
      </c>
      <c r="M29">
        <f t="shared" si="3"/>
        <v>0</v>
      </c>
      <c r="N29">
        <f t="shared" si="4"/>
        <v>0</v>
      </c>
      <c r="O29" t="s">
        <v>38</v>
      </c>
      <c r="P29">
        <f t="shared" si="5"/>
        <v>1</v>
      </c>
      <c r="Q29">
        <f t="shared" si="6"/>
        <v>0</v>
      </c>
      <c r="R29">
        <f t="shared" si="7"/>
        <v>0</v>
      </c>
      <c r="S29">
        <f t="shared" si="8"/>
        <v>0</v>
      </c>
      <c r="T29">
        <f t="shared" si="9"/>
        <v>0</v>
      </c>
      <c r="U29">
        <f t="shared" si="10"/>
        <v>0</v>
      </c>
      <c r="V29">
        <f t="shared" si="11"/>
        <v>0</v>
      </c>
      <c r="W29" t="s">
        <v>39</v>
      </c>
      <c r="X29">
        <f t="shared" si="12"/>
        <v>1</v>
      </c>
      <c r="Y29">
        <f t="shared" si="13"/>
        <v>0</v>
      </c>
      <c r="Z29">
        <v>3</v>
      </c>
      <c r="AA29">
        <f t="shared" si="14"/>
        <v>0.5</v>
      </c>
      <c r="AB29" t="s">
        <v>46</v>
      </c>
      <c r="AC29">
        <f t="shared" si="15"/>
        <v>0</v>
      </c>
      <c r="AD29">
        <f t="shared" si="16"/>
        <v>1</v>
      </c>
      <c r="AE29" t="s">
        <v>90</v>
      </c>
      <c r="AF29">
        <f>IF(AE29="website",1,0)</f>
        <v>0</v>
      </c>
    </row>
    <row r="30" spans="1:32">
      <c r="A30" t="s">
        <v>134</v>
      </c>
      <c r="B30" t="s">
        <v>33</v>
      </c>
      <c r="C30" s="3">
        <f t="shared" si="17"/>
        <v>0</v>
      </c>
      <c r="D30">
        <f t="shared" si="0"/>
        <v>1</v>
      </c>
      <c r="E30" t="s">
        <v>135</v>
      </c>
      <c r="F30" t="s">
        <v>136</v>
      </c>
      <c r="G30" s="1">
        <v>27816</v>
      </c>
      <c r="H30" s="2">
        <f t="shared" ca="1" si="18"/>
        <v>50</v>
      </c>
      <c r="I30" s="2">
        <f t="shared" ca="1" si="1"/>
        <v>0.35714285714285715</v>
      </c>
      <c r="J30" t="s">
        <v>36</v>
      </c>
      <c r="K30" t="s">
        <v>37</v>
      </c>
      <c r="L30">
        <f t="shared" si="2"/>
        <v>1</v>
      </c>
      <c r="M30">
        <f t="shared" si="3"/>
        <v>0</v>
      </c>
      <c r="N30">
        <f t="shared" si="4"/>
        <v>0</v>
      </c>
      <c r="O30" t="s">
        <v>137</v>
      </c>
      <c r="P30">
        <f t="shared" si="5"/>
        <v>0</v>
      </c>
      <c r="Q30">
        <f t="shared" si="6"/>
        <v>0</v>
      </c>
      <c r="R30">
        <f t="shared" si="7"/>
        <v>0</v>
      </c>
      <c r="S30">
        <f t="shared" si="8"/>
        <v>0</v>
      </c>
      <c r="T30">
        <f t="shared" si="9"/>
        <v>0</v>
      </c>
      <c r="U30">
        <f t="shared" si="10"/>
        <v>0</v>
      </c>
      <c r="V30">
        <f t="shared" si="11"/>
        <v>0</v>
      </c>
      <c r="W30" t="s">
        <v>39</v>
      </c>
      <c r="X30">
        <f t="shared" si="12"/>
        <v>1</v>
      </c>
      <c r="Y30">
        <f t="shared" si="13"/>
        <v>0</v>
      </c>
      <c r="Z30">
        <v>4</v>
      </c>
      <c r="AA30">
        <f t="shared" si="14"/>
        <v>0.75</v>
      </c>
      <c r="AB30" t="s">
        <v>40</v>
      </c>
      <c r="AC30">
        <f t="shared" si="15"/>
        <v>1</v>
      </c>
      <c r="AD30">
        <f t="shared" si="16"/>
        <v>0</v>
      </c>
      <c r="AE30" t="s">
        <v>50</v>
      </c>
      <c r="AF30">
        <f>IF(AE30="website",1,0)</f>
        <v>0</v>
      </c>
    </row>
    <row r="31" spans="1:32">
      <c r="A31" t="s">
        <v>138</v>
      </c>
      <c r="B31" t="s">
        <v>33</v>
      </c>
      <c r="C31" s="3">
        <f t="shared" si="17"/>
        <v>0</v>
      </c>
      <c r="D31">
        <f t="shared" si="0"/>
        <v>1</v>
      </c>
      <c r="E31" t="s">
        <v>139</v>
      </c>
      <c r="F31" t="s">
        <v>140</v>
      </c>
      <c r="G31" s="1">
        <v>19164</v>
      </c>
      <c r="H31" s="2">
        <f t="shared" ca="1" si="18"/>
        <v>74</v>
      </c>
      <c r="I31" s="2">
        <f t="shared" ca="1" si="1"/>
        <v>0.7</v>
      </c>
      <c r="J31" t="s">
        <v>36</v>
      </c>
      <c r="K31" t="s">
        <v>37</v>
      </c>
      <c r="L31">
        <f t="shared" si="2"/>
        <v>1</v>
      </c>
      <c r="M31">
        <f t="shared" si="3"/>
        <v>0</v>
      </c>
      <c r="N31">
        <f t="shared" si="4"/>
        <v>0</v>
      </c>
      <c r="O31" t="s">
        <v>124</v>
      </c>
      <c r="P31">
        <f t="shared" si="5"/>
        <v>0</v>
      </c>
      <c r="Q31">
        <f t="shared" si="6"/>
        <v>0</v>
      </c>
      <c r="R31">
        <f t="shared" si="7"/>
        <v>0</v>
      </c>
      <c r="S31">
        <f t="shared" si="8"/>
        <v>0</v>
      </c>
      <c r="T31">
        <f t="shared" si="9"/>
        <v>0</v>
      </c>
      <c r="U31">
        <f t="shared" si="10"/>
        <v>1</v>
      </c>
      <c r="V31">
        <f t="shared" si="11"/>
        <v>0</v>
      </c>
      <c r="W31" t="s">
        <v>39</v>
      </c>
      <c r="X31">
        <f t="shared" si="12"/>
        <v>1</v>
      </c>
      <c r="Y31">
        <f t="shared" si="13"/>
        <v>0</v>
      </c>
      <c r="Z31">
        <v>3</v>
      </c>
      <c r="AA31">
        <f t="shared" si="14"/>
        <v>0.5</v>
      </c>
      <c r="AB31" t="s">
        <v>46</v>
      </c>
      <c r="AC31">
        <f t="shared" si="15"/>
        <v>0</v>
      </c>
      <c r="AD31">
        <f t="shared" si="16"/>
        <v>0</v>
      </c>
      <c r="AE31" t="s">
        <v>41</v>
      </c>
      <c r="AF31">
        <f>IF(AE31="website",1,0)</f>
        <v>1</v>
      </c>
    </row>
    <row r="32" spans="1:32">
      <c r="A32" t="s">
        <v>141</v>
      </c>
      <c r="B32" t="s">
        <v>33</v>
      </c>
      <c r="C32" s="3">
        <f t="shared" si="17"/>
        <v>0</v>
      </c>
      <c r="D32">
        <f t="shared" si="0"/>
        <v>1</v>
      </c>
      <c r="E32" t="s">
        <v>142</v>
      </c>
      <c r="F32" t="s">
        <v>143</v>
      </c>
      <c r="G32" s="1">
        <v>28484</v>
      </c>
      <c r="H32" s="2">
        <f t="shared" ca="1" si="18"/>
        <v>48</v>
      </c>
      <c r="I32" s="2">
        <f t="shared" ca="1" si="1"/>
        <v>0.32857142857142857</v>
      </c>
      <c r="J32" t="s">
        <v>45</v>
      </c>
      <c r="K32" t="s">
        <v>37</v>
      </c>
      <c r="L32">
        <f t="shared" si="2"/>
        <v>1</v>
      </c>
      <c r="M32">
        <f t="shared" si="3"/>
        <v>0</v>
      </c>
      <c r="N32">
        <f t="shared" si="4"/>
        <v>0</v>
      </c>
      <c r="O32" t="s">
        <v>124</v>
      </c>
      <c r="P32">
        <f t="shared" si="5"/>
        <v>0</v>
      </c>
      <c r="Q32">
        <f t="shared" si="6"/>
        <v>0</v>
      </c>
      <c r="R32">
        <f t="shared" si="7"/>
        <v>0</v>
      </c>
      <c r="S32">
        <f t="shared" si="8"/>
        <v>0</v>
      </c>
      <c r="T32">
        <f t="shared" si="9"/>
        <v>0</v>
      </c>
      <c r="U32">
        <f t="shared" si="10"/>
        <v>1</v>
      </c>
      <c r="V32">
        <f t="shared" si="11"/>
        <v>0</v>
      </c>
      <c r="W32" t="s">
        <v>39</v>
      </c>
      <c r="X32">
        <f t="shared" si="12"/>
        <v>1</v>
      </c>
      <c r="Y32">
        <f t="shared" si="13"/>
        <v>0</v>
      </c>
      <c r="Z32">
        <v>4</v>
      </c>
      <c r="AA32">
        <f t="shared" si="14"/>
        <v>0.75</v>
      </c>
      <c r="AB32" t="s">
        <v>40</v>
      </c>
      <c r="AC32">
        <f t="shared" si="15"/>
        <v>0</v>
      </c>
      <c r="AD32">
        <f t="shared" si="16"/>
        <v>0</v>
      </c>
      <c r="AE32" t="s">
        <v>41</v>
      </c>
      <c r="AF32">
        <f>IF(AE32="website",1,0)</f>
        <v>1</v>
      </c>
    </row>
    <row r="33" spans="1:32">
      <c r="A33" t="s">
        <v>144</v>
      </c>
      <c r="B33" t="s">
        <v>33</v>
      </c>
      <c r="C33" s="3">
        <f t="shared" si="17"/>
        <v>0</v>
      </c>
      <c r="D33">
        <f t="shared" si="0"/>
        <v>1</v>
      </c>
      <c r="E33" t="s">
        <v>145</v>
      </c>
      <c r="F33" t="s">
        <v>146</v>
      </c>
      <c r="G33" s="1">
        <v>24330</v>
      </c>
      <c r="H33" s="2">
        <f t="shared" ca="1" si="18"/>
        <v>60</v>
      </c>
      <c r="I33" s="2">
        <f t="shared" ca="1" si="1"/>
        <v>0.5</v>
      </c>
      <c r="J33" t="s">
        <v>45</v>
      </c>
      <c r="K33" t="s">
        <v>37</v>
      </c>
      <c r="L33">
        <f t="shared" si="2"/>
        <v>1</v>
      </c>
      <c r="M33">
        <f t="shared" si="3"/>
        <v>0</v>
      </c>
      <c r="N33">
        <f t="shared" si="4"/>
        <v>0</v>
      </c>
      <c r="O33" t="s">
        <v>38</v>
      </c>
      <c r="P33">
        <f t="shared" si="5"/>
        <v>1</v>
      </c>
      <c r="Q33">
        <f t="shared" si="6"/>
        <v>0</v>
      </c>
      <c r="R33">
        <f t="shared" si="7"/>
        <v>0</v>
      </c>
      <c r="S33">
        <f t="shared" si="8"/>
        <v>0</v>
      </c>
      <c r="T33">
        <f t="shared" si="9"/>
        <v>0</v>
      </c>
      <c r="U33">
        <f t="shared" si="10"/>
        <v>0</v>
      </c>
      <c r="V33">
        <f t="shared" si="11"/>
        <v>0</v>
      </c>
      <c r="W33" t="s">
        <v>39</v>
      </c>
      <c r="X33">
        <f t="shared" si="12"/>
        <v>1</v>
      </c>
      <c r="Y33">
        <f t="shared" si="13"/>
        <v>0</v>
      </c>
      <c r="Z33">
        <v>4</v>
      </c>
      <c r="AA33">
        <f t="shared" si="14"/>
        <v>0.75</v>
      </c>
      <c r="AB33" t="s">
        <v>46</v>
      </c>
      <c r="AC33">
        <f t="shared" si="15"/>
        <v>0</v>
      </c>
      <c r="AD33">
        <f t="shared" si="16"/>
        <v>0</v>
      </c>
      <c r="AE33" t="s">
        <v>41</v>
      </c>
      <c r="AF33">
        <f>IF(AE33="website",1,0)</f>
        <v>1</v>
      </c>
    </row>
    <row r="34" spans="1:32">
      <c r="A34" t="s">
        <v>147</v>
      </c>
      <c r="B34" t="s">
        <v>33</v>
      </c>
      <c r="C34" s="3">
        <f t="shared" si="17"/>
        <v>0</v>
      </c>
      <c r="D34">
        <f t="shared" si="0"/>
        <v>1</v>
      </c>
      <c r="E34" t="s">
        <v>148</v>
      </c>
      <c r="F34" t="s">
        <v>149</v>
      </c>
      <c r="G34" s="1">
        <v>25064</v>
      </c>
      <c r="H34" s="2">
        <f t="shared" ca="1" si="18"/>
        <v>58</v>
      </c>
      <c r="I34" s="2">
        <f t="shared" ca="1" si="1"/>
        <v>0.47142857142857142</v>
      </c>
      <c r="J34" t="s">
        <v>36</v>
      </c>
      <c r="K34" t="s">
        <v>37</v>
      </c>
      <c r="L34">
        <f t="shared" si="2"/>
        <v>1</v>
      </c>
      <c r="M34">
        <f t="shared" si="3"/>
        <v>0</v>
      </c>
      <c r="N34">
        <f t="shared" si="4"/>
        <v>0</v>
      </c>
      <c r="O34" t="s">
        <v>38</v>
      </c>
      <c r="P34">
        <f t="shared" si="5"/>
        <v>1</v>
      </c>
      <c r="Q34">
        <f t="shared" si="6"/>
        <v>0</v>
      </c>
      <c r="R34">
        <f t="shared" si="7"/>
        <v>0</v>
      </c>
      <c r="S34">
        <f t="shared" si="8"/>
        <v>0</v>
      </c>
      <c r="T34">
        <f t="shared" si="9"/>
        <v>0</v>
      </c>
      <c r="U34">
        <f t="shared" si="10"/>
        <v>0</v>
      </c>
      <c r="V34">
        <f t="shared" si="11"/>
        <v>0</v>
      </c>
      <c r="W34" t="s">
        <v>39</v>
      </c>
      <c r="X34">
        <f t="shared" si="12"/>
        <v>1</v>
      </c>
      <c r="Y34">
        <f t="shared" si="13"/>
        <v>0</v>
      </c>
      <c r="Z34">
        <v>3</v>
      </c>
      <c r="AA34">
        <f t="shared" si="14"/>
        <v>0.5</v>
      </c>
      <c r="AB34" t="s">
        <v>40</v>
      </c>
      <c r="AC34">
        <f t="shared" si="15"/>
        <v>0</v>
      </c>
      <c r="AD34">
        <f t="shared" si="16"/>
        <v>0</v>
      </c>
      <c r="AE34" t="s">
        <v>41</v>
      </c>
      <c r="AF34">
        <f>IF(AE34="website",1,0)</f>
        <v>1</v>
      </c>
    </row>
    <row r="35" spans="1:32">
      <c r="A35" t="s">
        <v>150</v>
      </c>
      <c r="B35" t="s">
        <v>33</v>
      </c>
      <c r="C35" s="3">
        <f t="shared" si="17"/>
        <v>0</v>
      </c>
      <c r="D35">
        <f t="shared" si="0"/>
        <v>1</v>
      </c>
      <c r="E35" t="s">
        <v>151</v>
      </c>
      <c r="F35" t="s">
        <v>152</v>
      </c>
      <c r="G35" s="1">
        <v>25506</v>
      </c>
      <c r="H35" s="2">
        <f t="shared" ca="1" si="18"/>
        <v>56</v>
      </c>
      <c r="I35" s="2">
        <f t="shared" ca="1" si="1"/>
        <v>0.44285714285714284</v>
      </c>
      <c r="J35" t="s">
        <v>36</v>
      </c>
      <c r="K35" t="s">
        <v>153</v>
      </c>
      <c r="L35">
        <f t="shared" si="2"/>
        <v>0</v>
      </c>
      <c r="M35">
        <f t="shared" si="3"/>
        <v>0</v>
      </c>
      <c r="N35">
        <f t="shared" si="4"/>
        <v>0</v>
      </c>
      <c r="O35" t="s">
        <v>154</v>
      </c>
      <c r="P35">
        <f t="shared" si="5"/>
        <v>0</v>
      </c>
      <c r="Q35">
        <f t="shared" si="6"/>
        <v>0</v>
      </c>
      <c r="R35">
        <f t="shared" si="7"/>
        <v>0</v>
      </c>
      <c r="S35">
        <f t="shared" si="8"/>
        <v>0</v>
      </c>
      <c r="T35">
        <f t="shared" si="9"/>
        <v>0</v>
      </c>
      <c r="U35">
        <f t="shared" si="10"/>
        <v>0</v>
      </c>
      <c r="V35">
        <f t="shared" si="11"/>
        <v>0</v>
      </c>
      <c r="W35" t="s">
        <v>39</v>
      </c>
      <c r="X35">
        <f t="shared" si="12"/>
        <v>1</v>
      </c>
      <c r="Y35">
        <f t="shared" si="13"/>
        <v>0</v>
      </c>
      <c r="Z35">
        <v>2</v>
      </c>
      <c r="AA35">
        <f t="shared" si="14"/>
        <v>0.25</v>
      </c>
      <c r="AB35" t="s">
        <v>46</v>
      </c>
      <c r="AC35">
        <f t="shared" si="15"/>
        <v>1</v>
      </c>
      <c r="AD35">
        <f t="shared" si="16"/>
        <v>0</v>
      </c>
      <c r="AE35" t="s">
        <v>50</v>
      </c>
      <c r="AF35">
        <f>IF(AE35="website",1,0)</f>
        <v>0</v>
      </c>
    </row>
    <row r="36" spans="1:32">
      <c r="A36" t="s">
        <v>155</v>
      </c>
      <c r="B36" t="s">
        <v>33</v>
      </c>
      <c r="C36" s="3">
        <f t="shared" si="17"/>
        <v>0</v>
      </c>
      <c r="D36">
        <f t="shared" si="0"/>
        <v>1</v>
      </c>
      <c r="E36" t="s">
        <v>156</v>
      </c>
      <c r="F36" t="s">
        <v>157</v>
      </c>
      <c r="G36" s="1">
        <v>23874</v>
      </c>
      <c r="H36" s="2">
        <f t="shared" ca="1" si="18"/>
        <v>61</v>
      </c>
      <c r="I36" s="2">
        <f t="shared" ca="1" si="1"/>
        <v>0.51428571428571423</v>
      </c>
      <c r="J36" t="s">
        <v>45</v>
      </c>
      <c r="K36" t="s">
        <v>158</v>
      </c>
      <c r="L36">
        <f t="shared" si="2"/>
        <v>0</v>
      </c>
      <c r="M36">
        <f t="shared" si="3"/>
        <v>0</v>
      </c>
      <c r="N36">
        <f t="shared" si="4"/>
        <v>0</v>
      </c>
      <c r="O36" t="s">
        <v>159</v>
      </c>
      <c r="P36">
        <f t="shared" si="5"/>
        <v>0</v>
      </c>
      <c r="Q36">
        <f t="shared" si="6"/>
        <v>0</v>
      </c>
      <c r="R36">
        <f t="shared" si="7"/>
        <v>0</v>
      </c>
      <c r="S36">
        <f t="shared" si="8"/>
        <v>0</v>
      </c>
      <c r="T36">
        <f t="shared" si="9"/>
        <v>0</v>
      </c>
      <c r="U36">
        <f t="shared" si="10"/>
        <v>0</v>
      </c>
      <c r="V36">
        <f t="shared" si="11"/>
        <v>0</v>
      </c>
      <c r="W36" t="s">
        <v>39</v>
      </c>
      <c r="X36">
        <f t="shared" si="12"/>
        <v>1</v>
      </c>
      <c r="Y36">
        <f t="shared" si="13"/>
        <v>0</v>
      </c>
      <c r="Z36">
        <v>3</v>
      </c>
      <c r="AA36">
        <f t="shared" si="14"/>
        <v>0.5</v>
      </c>
      <c r="AB36" t="s">
        <v>46</v>
      </c>
      <c r="AC36">
        <f t="shared" si="15"/>
        <v>1</v>
      </c>
      <c r="AD36">
        <f t="shared" si="16"/>
        <v>0</v>
      </c>
      <c r="AE36" t="s">
        <v>50</v>
      </c>
      <c r="AF36">
        <f>IF(AE36="website",1,0)</f>
        <v>0</v>
      </c>
    </row>
    <row r="37" spans="1:32">
      <c r="A37" t="s">
        <v>160</v>
      </c>
      <c r="B37" t="s">
        <v>33</v>
      </c>
      <c r="C37" s="3">
        <f t="shared" si="17"/>
        <v>0</v>
      </c>
      <c r="D37">
        <f t="shared" si="0"/>
        <v>1</v>
      </c>
      <c r="E37" t="s">
        <v>161</v>
      </c>
      <c r="F37" t="s">
        <v>162</v>
      </c>
      <c r="G37" s="1">
        <v>26908</v>
      </c>
      <c r="H37" s="2">
        <f t="shared" ca="1" si="18"/>
        <v>53</v>
      </c>
      <c r="I37" s="2">
        <f t="shared" ca="1" si="1"/>
        <v>0.4</v>
      </c>
      <c r="J37" t="s">
        <v>45</v>
      </c>
      <c r="K37" t="s">
        <v>37</v>
      </c>
      <c r="L37">
        <f t="shared" si="2"/>
        <v>1</v>
      </c>
      <c r="M37">
        <f t="shared" si="3"/>
        <v>0</v>
      </c>
      <c r="N37">
        <f t="shared" si="4"/>
        <v>0</v>
      </c>
      <c r="O37" t="s">
        <v>38</v>
      </c>
      <c r="P37">
        <f t="shared" si="5"/>
        <v>1</v>
      </c>
      <c r="Q37">
        <f t="shared" si="6"/>
        <v>0</v>
      </c>
      <c r="R37">
        <f t="shared" si="7"/>
        <v>0</v>
      </c>
      <c r="S37">
        <f t="shared" si="8"/>
        <v>0</v>
      </c>
      <c r="T37">
        <f t="shared" si="9"/>
        <v>0</v>
      </c>
      <c r="U37">
        <f t="shared" si="10"/>
        <v>0</v>
      </c>
      <c r="V37">
        <f t="shared" si="11"/>
        <v>0</v>
      </c>
      <c r="W37" t="s">
        <v>39</v>
      </c>
      <c r="X37">
        <f t="shared" si="12"/>
        <v>1</v>
      </c>
      <c r="Y37">
        <f t="shared" si="13"/>
        <v>0</v>
      </c>
      <c r="Z37">
        <v>4</v>
      </c>
      <c r="AA37">
        <f t="shared" si="14"/>
        <v>0.75</v>
      </c>
      <c r="AB37" t="s">
        <v>46</v>
      </c>
      <c r="AC37">
        <f t="shared" si="15"/>
        <v>0</v>
      </c>
      <c r="AD37">
        <f t="shared" si="16"/>
        <v>0</v>
      </c>
      <c r="AE37" t="s">
        <v>41</v>
      </c>
      <c r="AF37">
        <f>IF(AE37="website",1,0)</f>
        <v>1</v>
      </c>
    </row>
    <row r="38" spans="1:32">
      <c r="A38" t="s">
        <v>163</v>
      </c>
      <c r="B38" t="s">
        <v>33</v>
      </c>
      <c r="C38" s="3">
        <f t="shared" si="17"/>
        <v>0</v>
      </c>
      <c r="D38">
        <f t="shared" si="0"/>
        <v>1</v>
      </c>
      <c r="E38" t="s">
        <v>164</v>
      </c>
      <c r="F38" t="s">
        <v>165</v>
      </c>
      <c r="G38" s="1">
        <v>22666</v>
      </c>
      <c r="H38" s="2">
        <f t="shared" ca="1" si="18"/>
        <v>64</v>
      </c>
      <c r="I38" s="2">
        <f t="shared" ca="1" si="1"/>
        <v>0.55714285714285716</v>
      </c>
      <c r="J38" t="s">
        <v>36</v>
      </c>
      <c r="K38" t="s">
        <v>37</v>
      </c>
      <c r="L38">
        <f t="shared" si="2"/>
        <v>1</v>
      </c>
      <c r="M38">
        <f t="shared" si="3"/>
        <v>0</v>
      </c>
      <c r="N38">
        <f t="shared" si="4"/>
        <v>0</v>
      </c>
      <c r="O38" t="s">
        <v>38</v>
      </c>
      <c r="P38">
        <f t="shared" si="5"/>
        <v>1</v>
      </c>
      <c r="Q38">
        <f t="shared" si="6"/>
        <v>0</v>
      </c>
      <c r="R38">
        <f t="shared" si="7"/>
        <v>0</v>
      </c>
      <c r="S38">
        <f t="shared" si="8"/>
        <v>0</v>
      </c>
      <c r="T38">
        <f t="shared" si="9"/>
        <v>0</v>
      </c>
      <c r="U38">
        <f t="shared" si="10"/>
        <v>0</v>
      </c>
      <c r="V38">
        <f t="shared" si="11"/>
        <v>0</v>
      </c>
      <c r="W38" t="s">
        <v>39</v>
      </c>
      <c r="X38">
        <f t="shared" si="12"/>
        <v>1</v>
      </c>
      <c r="Y38">
        <f t="shared" si="13"/>
        <v>0</v>
      </c>
      <c r="Z38">
        <v>5</v>
      </c>
      <c r="AA38">
        <f t="shared" si="14"/>
        <v>1</v>
      </c>
      <c r="AB38" t="s">
        <v>40</v>
      </c>
      <c r="AC38">
        <f t="shared" si="15"/>
        <v>0</v>
      </c>
      <c r="AD38">
        <f t="shared" si="16"/>
        <v>0</v>
      </c>
      <c r="AE38" t="s">
        <v>41</v>
      </c>
      <c r="AF38">
        <f>IF(AE38="website",1,0)</f>
        <v>1</v>
      </c>
    </row>
    <row r="39" spans="1:32">
      <c r="A39" t="s">
        <v>166</v>
      </c>
      <c r="B39" t="s">
        <v>33</v>
      </c>
      <c r="C39" s="3">
        <f t="shared" si="17"/>
        <v>0</v>
      </c>
      <c r="D39">
        <f t="shared" si="0"/>
        <v>1</v>
      </c>
      <c r="E39" t="s">
        <v>167</v>
      </c>
      <c r="F39" t="s">
        <v>168</v>
      </c>
      <c r="G39" s="1">
        <v>27388</v>
      </c>
      <c r="H39" s="2">
        <f t="shared" ca="1" si="18"/>
        <v>51</v>
      </c>
      <c r="I39" s="2">
        <f t="shared" ca="1" si="1"/>
        <v>0.37142857142857144</v>
      </c>
      <c r="J39" t="s">
        <v>36</v>
      </c>
      <c r="K39" t="s">
        <v>37</v>
      </c>
      <c r="L39">
        <f t="shared" si="2"/>
        <v>1</v>
      </c>
      <c r="M39">
        <f t="shared" si="3"/>
        <v>0</v>
      </c>
      <c r="N39">
        <f t="shared" si="4"/>
        <v>0</v>
      </c>
      <c r="O39" t="s">
        <v>38</v>
      </c>
      <c r="P39">
        <f t="shared" si="5"/>
        <v>1</v>
      </c>
      <c r="Q39">
        <f t="shared" si="6"/>
        <v>0</v>
      </c>
      <c r="R39">
        <f t="shared" si="7"/>
        <v>0</v>
      </c>
      <c r="S39">
        <f t="shared" si="8"/>
        <v>0</v>
      </c>
      <c r="T39">
        <f t="shared" si="9"/>
        <v>0</v>
      </c>
      <c r="U39">
        <f t="shared" si="10"/>
        <v>0</v>
      </c>
      <c r="V39">
        <f t="shared" si="11"/>
        <v>0</v>
      </c>
      <c r="W39" t="s">
        <v>58</v>
      </c>
      <c r="X39">
        <f t="shared" si="12"/>
        <v>0</v>
      </c>
      <c r="Y39">
        <f t="shared" si="13"/>
        <v>1</v>
      </c>
      <c r="Z39">
        <v>4</v>
      </c>
      <c r="AA39">
        <f t="shared" si="14"/>
        <v>0.75</v>
      </c>
      <c r="AB39" t="s">
        <v>46</v>
      </c>
      <c r="AC39">
        <f t="shared" si="15"/>
        <v>0</v>
      </c>
      <c r="AD39">
        <f t="shared" si="16"/>
        <v>1</v>
      </c>
      <c r="AE39" t="s">
        <v>90</v>
      </c>
      <c r="AF39">
        <f>IF(AE39="website",1,0)</f>
        <v>0</v>
      </c>
    </row>
    <row r="40" spans="1:32">
      <c r="A40" t="s">
        <v>169</v>
      </c>
      <c r="B40" t="s">
        <v>33</v>
      </c>
      <c r="C40" s="3">
        <f t="shared" si="17"/>
        <v>0</v>
      </c>
      <c r="D40">
        <f t="shared" si="0"/>
        <v>1</v>
      </c>
      <c r="E40" t="s">
        <v>170</v>
      </c>
      <c r="F40" t="s">
        <v>171</v>
      </c>
      <c r="G40" s="1">
        <v>24636</v>
      </c>
      <c r="H40" s="2">
        <f t="shared" ca="1" si="18"/>
        <v>59</v>
      </c>
      <c r="I40" s="2">
        <f t="shared" ca="1" si="1"/>
        <v>0.48571428571428571</v>
      </c>
      <c r="J40" t="s">
        <v>36</v>
      </c>
      <c r="K40" t="s">
        <v>172</v>
      </c>
      <c r="L40">
        <f t="shared" si="2"/>
        <v>0</v>
      </c>
      <c r="M40">
        <f t="shared" si="3"/>
        <v>0</v>
      </c>
      <c r="N40">
        <f t="shared" si="4"/>
        <v>0</v>
      </c>
      <c r="O40" t="s">
        <v>173</v>
      </c>
      <c r="P40">
        <f t="shared" si="5"/>
        <v>0</v>
      </c>
      <c r="Q40">
        <f t="shared" si="6"/>
        <v>0</v>
      </c>
      <c r="R40">
        <f t="shared" si="7"/>
        <v>0</v>
      </c>
      <c r="S40">
        <f t="shared" si="8"/>
        <v>0</v>
      </c>
      <c r="T40">
        <f t="shared" si="9"/>
        <v>0</v>
      </c>
      <c r="U40">
        <f t="shared" si="10"/>
        <v>0</v>
      </c>
      <c r="V40">
        <f t="shared" si="11"/>
        <v>0</v>
      </c>
      <c r="W40" t="s">
        <v>39</v>
      </c>
      <c r="X40">
        <f t="shared" si="12"/>
        <v>1</v>
      </c>
      <c r="Y40">
        <f t="shared" si="13"/>
        <v>0</v>
      </c>
      <c r="Z40">
        <v>1</v>
      </c>
      <c r="AA40">
        <f t="shared" si="14"/>
        <v>0</v>
      </c>
      <c r="AB40" t="s">
        <v>46</v>
      </c>
      <c r="AC40">
        <f t="shared" si="15"/>
        <v>1</v>
      </c>
      <c r="AD40">
        <f t="shared" si="16"/>
        <v>0</v>
      </c>
      <c r="AE40" t="s">
        <v>50</v>
      </c>
      <c r="AF40">
        <f>IF(AE40="website",1,0)</f>
        <v>0</v>
      </c>
    </row>
    <row r="41" spans="1:32">
      <c r="A41" t="s">
        <v>174</v>
      </c>
      <c r="B41" t="s">
        <v>33</v>
      </c>
      <c r="C41" s="3">
        <f t="shared" si="17"/>
        <v>0</v>
      </c>
      <c r="D41">
        <f t="shared" si="0"/>
        <v>1</v>
      </c>
      <c r="E41" t="s">
        <v>175</v>
      </c>
      <c r="F41" t="s">
        <v>176</v>
      </c>
      <c r="G41" s="1">
        <v>27475</v>
      </c>
      <c r="H41" s="2">
        <f t="shared" ca="1" si="18"/>
        <v>51</v>
      </c>
      <c r="I41" s="2">
        <f t="shared" ca="1" si="1"/>
        <v>0.37142857142857144</v>
      </c>
      <c r="J41" t="s">
        <v>45</v>
      </c>
      <c r="K41" t="s">
        <v>37</v>
      </c>
      <c r="L41">
        <f t="shared" si="2"/>
        <v>1</v>
      </c>
      <c r="M41">
        <f t="shared" si="3"/>
        <v>0</v>
      </c>
      <c r="N41">
        <f t="shared" si="4"/>
        <v>0</v>
      </c>
      <c r="O41" t="s">
        <v>124</v>
      </c>
      <c r="P41">
        <f t="shared" si="5"/>
        <v>0</v>
      </c>
      <c r="Q41">
        <f t="shared" si="6"/>
        <v>0</v>
      </c>
      <c r="R41">
        <f t="shared" si="7"/>
        <v>0</v>
      </c>
      <c r="S41">
        <f t="shared" si="8"/>
        <v>0</v>
      </c>
      <c r="T41">
        <f t="shared" si="9"/>
        <v>0</v>
      </c>
      <c r="U41">
        <f t="shared" si="10"/>
        <v>1</v>
      </c>
      <c r="V41">
        <f t="shared" si="11"/>
        <v>0</v>
      </c>
      <c r="W41" t="s">
        <v>39</v>
      </c>
      <c r="X41">
        <f t="shared" si="12"/>
        <v>1</v>
      </c>
      <c r="Y41">
        <f t="shared" si="13"/>
        <v>0</v>
      </c>
      <c r="Z41">
        <v>5</v>
      </c>
      <c r="AA41">
        <f t="shared" si="14"/>
        <v>1</v>
      </c>
      <c r="AB41" t="s">
        <v>46</v>
      </c>
      <c r="AC41">
        <f t="shared" si="15"/>
        <v>0</v>
      </c>
      <c r="AD41">
        <f t="shared" si="16"/>
        <v>0</v>
      </c>
      <c r="AE41" t="s">
        <v>41</v>
      </c>
      <c r="AF41">
        <f>IF(AE41="website",1,0)</f>
        <v>1</v>
      </c>
    </row>
    <row r="42" spans="1:32">
      <c r="A42" t="s">
        <v>177</v>
      </c>
      <c r="B42" t="s">
        <v>33</v>
      </c>
      <c r="C42" s="3">
        <f t="shared" si="17"/>
        <v>0</v>
      </c>
      <c r="D42">
        <f t="shared" si="0"/>
        <v>1</v>
      </c>
      <c r="E42" t="s">
        <v>178</v>
      </c>
      <c r="F42" t="s">
        <v>179</v>
      </c>
      <c r="G42" s="1">
        <v>24575</v>
      </c>
      <c r="H42" s="2">
        <f t="shared" ca="1" si="18"/>
        <v>59</v>
      </c>
      <c r="I42" s="2">
        <f t="shared" ca="1" si="1"/>
        <v>0.48571428571428571</v>
      </c>
      <c r="J42" t="s">
        <v>45</v>
      </c>
      <c r="K42" t="s">
        <v>37</v>
      </c>
      <c r="L42">
        <f t="shared" si="2"/>
        <v>1</v>
      </c>
      <c r="M42">
        <f t="shared" si="3"/>
        <v>0</v>
      </c>
      <c r="N42">
        <f t="shared" si="4"/>
        <v>0</v>
      </c>
      <c r="O42" t="s">
        <v>97</v>
      </c>
      <c r="P42">
        <f t="shared" si="5"/>
        <v>0</v>
      </c>
      <c r="Q42">
        <f t="shared" si="6"/>
        <v>0</v>
      </c>
      <c r="R42">
        <f t="shared" si="7"/>
        <v>0</v>
      </c>
      <c r="S42">
        <f t="shared" si="8"/>
        <v>0</v>
      </c>
      <c r="T42">
        <f t="shared" si="9"/>
        <v>1</v>
      </c>
      <c r="U42">
        <f t="shared" si="10"/>
        <v>0</v>
      </c>
      <c r="V42">
        <f t="shared" si="11"/>
        <v>0</v>
      </c>
      <c r="W42" t="s">
        <v>39</v>
      </c>
      <c r="X42">
        <f t="shared" si="12"/>
        <v>1</v>
      </c>
      <c r="Y42">
        <f t="shared" si="13"/>
        <v>0</v>
      </c>
      <c r="Z42">
        <v>1</v>
      </c>
      <c r="AA42">
        <f t="shared" si="14"/>
        <v>0</v>
      </c>
      <c r="AB42" t="s">
        <v>40</v>
      </c>
      <c r="AC42">
        <f t="shared" si="15"/>
        <v>0</v>
      </c>
      <c r="AD42">
        <f t="shared" si="16"/>
        <v>0</v>
      </c>
      <c r="AE42" t="s">
        <v>41</v>
      </c>
      <c r="AF42">
        <f>IF(AE42="website",1,0)</f>
        <v>1</v>
      </c>
    </row>
    <row r="43" spans="1:32">
      <c r="A43" t="s">
        <v>180</v>
      </c>
      <c r="B43" t="s">
        <v>33</v>
      </c>
      <c r="C43" s="3">
        <f t="shared" si="17"/>
        <v>0</v>
      </c>
      <c r="D43">
        <f t="shared" si="0"/>
        <v>1</v>
      </c>
      <c r="E43" t="s">
        <v>181</v>
      </c>
      <c r="F43" t="s">
        <v>182</v>
      </c>
      <c r="G43" s="1">
        <v>27618</v>
      </c>
      <c r="H43" s="2">
        <f t="shared" ca="1" si="18"/>
        <v>51</v>
      </c>
      <c r="I43" s="2">
        <f t="shared" ca="1" si="1"/>
        <v>0.37142857142857144</v>
      </c>
      <c r="J43" t="s">
        <v>36</v>
      </c>
      <c r="K43" t="s">
        <v>37</v>
      </c>
      <c r="L43">
        <f t="shared" si="2"/>
        <v>1</v>
      </c>
      <c r="M43">
        <f t="shared" si="3"/>
        <v>0</v>
      </c>
      <c r="N43">
        <f t="shared" si="4"/>
        <v>0</v>
      </c>
      <c r="O43" t="s">
        <v>183</v>
      </c>
      <c r="P43">
        <f t="shared" si="5"/>
        <v>0</v>
      </c>
      <c r="Q43">
        <f t="shared" si="6"/>
        <v>0</v>
      </c>
      <c r="R43">
        <f t="shared" si="7"/>
        <v>0</v>
      </c>
      <c r="S43">
        <f t="shared" si="8"/>
        <v>0</v>
      </c>
      <c r="T43">
        <f t="shared" si="9"/>
        <v>0</v>
      </c>
      <c r="U43">
        <f t="shared" si="10"/>
        <v>0</v>
      </c>
      <c r="V43">
        <f t="shared" si="11"/>
        <v>0</v>
      </c>
      <c r="W43" t="s">
        <v>39</v>
      </c>
      <c r="X43">
        <f t="shared" si="12"/>
        <v>1</v>
      </c>
      <c r="Y43">
        <f t="shared" si="13"/>
        <v>0</v>
      </c>
      <c r="Z43">
        <v>1</v>
      </c>
      <c r="AA43">
        <f t="shared" si="14"/>
        <v>0</v>
      </c>
      <c r="AB43" t="s">
        <v>40</v>
      </c>
      <c r="AC43">
        <f t="shared" si="15"/>
        <v>0</v>
      </c>
      <c r="AD43">
        <f t="shared" si="16"/>
        <v>0</v>
      </c>
      <c r="AE43" t="s">
        <v>41</v>
      </c>
      <c r="AF43">
        <f>IF(AE43="website",1,0)</f>
        <v>1</v>
      </c>
    </row>
    <row r="44" spans="1:32">
      <c r="A44" t="s">
        <v>184</v>
      </c>
      <c r="B44" t="s">
        <v>33</v>
      </c>
      <c r="C44" s="3">
        <f t="shared" si="17"/>
        <v>0</v>
      </c>
      <c r="D44">
        <f t="shared" si="0"/>
        <v>1</v>
      </c>
      <c r="E44" t="s">
        <v>185</v>
      </c>
      <c r="F44" t="s">
        <v>186</v>
      </c>
      <c r="G44" s="1">
        <v>23836</v>
      </c>
      <c r="H44" s="2">
        <f t="shared" ca="1" si="18"/>
        <v>61</v>
      </c>
      <c r="I44" s="2">
        <f t="shared" ca="1" si="1"/>
        <v>0.51428571428571423</v>
      </c>
      <c r="J44" t="s">
        <v>45</v>
      </c>
      <c r="K44" t="s">
        <v>37</v>
      </c>
      <c r="L44">
        <f t="shared" si="2"/>
        <v>1</v>
      </c>
      <c r="M44">
        <f t="shared" si="3"/>
        <v>0</v>
      </c>
      <c r="N44">
        <f t="shared" si="4"/>
        <v>0</v>
      </c>
      <c r="O44" t="s">
        <v>124</v>
      </c>
      <c r="P44">
        <f t="shared" si="5"/>
        <v>0</v>
      </c>
      <c r="Q44">
        <f t="shared" si="6"/>
        <v>0</v>
      </c>
      <c r="R44">
        <f t="shared" si="7"/>
        <v>0</v>
      </c>
      <c r="S44">
        <f t="shared" si="8"/>
        <v>0</v>
      </c>
      <c r="T44">
        <f t="shared" si="9"/>
        <v>0</v>
      </c>
      <c r="U44">
        <f t="shared" si="10"/>
        <v>1</v>
      </c>
      <c r="V44">
        <f t="shared" si="11"/>
        <v>0</v>
      </c>
      <c r="W44" t="s">
        <v>58</v>
      </c>
      <c r="X44">
        <f t="shared" si="12"/>
        <v>0</v>
      </c>
      <c r="Y44">
        <f t="shared" si="13"/>
        <v>1</v>
      </c>
      <c r="Z44">
        <v>3</v>
      </c>
      <c r="AA44">
        <f t="shared" si="14"/>
        <v>0.5</v>
      </c>
      <c r="AB44" t="s">
        <v>40</v>
      </c>
      <c r="AC44">
        <f t="shared" si="15"/>
        <v>0</v>
      </c>
      <c r="AD44">
        <f t="shared" si="16"/>
        <v>0</v>
      </c>
      <c r="AE44" t="s">
        <v>41</v>
      </c>
      <c r="AF44">
        <f>IF(AE44="website",1,0)</f>
        <v>1</v>
      </c>
    </row>
    <row r="45" spans="1:32">
      <c r="A45" t="s">
        <v>187</v>
      </c>
      <c r="B45" t="s">
        <v>33</v>
      </c>
      <c r="C45" s="3">
        <f t="shared" si="17"/>
        <v>0</v>
      </c>
      <c r="D45">
        <f t="shared" si="0"/>
        <v>1</v>
      </c>
      <c r="E45" t="s">
        <v>188</v>
      </c>
      <c r="F45" t="s">
        <v>189</v>
      </c>
      <c r="G45" s="1">
        <v>11367</v>
      </c>
      <c r="H45" s="2">
        <f t="shared" ca="1" si="18"/>
        <v>95</v>
      </c>
      <c r="I45" s="2">
        <f t="shared" ca="1" si="1"/>
        <v>1</v>
      </c>
      <c r="J45" t="s">
        <v>36</v>
      </c>
      <c r="K45" t="s">
        <v>37</v>
      </c>
      <c r="L45">
        <f t="shared" si="2"/>
        <v>1</v>
      </c>
      <c r="M45">
        <f t="shared" si="3"/>
        <v>0</v>
      </c>
      <c r="N45">
        <f t="shared" si="4"/>
        <v>0</v>
      </c>
      <c r="O45" t="s">
        <v>97</v>
      </c>
      <c r="P45">
        <f t="shared" si="5"/>
        <v>0</v>
      </c>
      <c r="Q45">
        <f t="shared" si="6"/>
        <v>0</v>
      </c>
      <c r="R45">
        <f t="shared" si="7"/>
        <v>0</v>
      </c>
      <c r="S45">
        <f t="shared" si="8"/>
        <v>0</v>
      </c>
      <c r="T45">
        <f t="shared" si="9"/>
        <v>1</v>
      </c>
      <c r="U45">
        <f t="shared" si="10"/>
        <v>0</v>
      </c>
      <c r="V45">
        <f t="shared" si="11"/>
        <v>0</v>
      </c>
      <c r="W45" t="s">
        <v>39</v>
      </c>
      <c r="X45">
        <f t="shared" si="12"/>
        <v>1</v>
      </c>
      <c r="Y45">
        <f t="shared" si="13"/>
        <v>0</v>
      </c>
      <c r="Z45">
        <v>3</v>
      </c>
      <c r="AA45">
        <f t="shared" si="14"/>
        <v>0.5</v>
      </c>
      <c r="AB45" t="s">
        <v>46</v>
      </c>
      <c r="AC45">
        <f t="shared" si="15"/>
        <v>0</v>
      </c>
      <c r="AD45">
        <f t="shared" si="16"/>
        <v>0</v>
      </c>
      <c r="AE45" t="s">
        <v>41</v>
      </c>
      <c r="AF45">
        <f>IF(AE45="website",1,0)</f>
        <v>1</v>
      </c>
    </row>
    <row r="46" spans="1:32">
      <c r="A46" t="s">
        <v>190</v>
      </c>
      <c r="B46" t="s">
        <v>33</v>
      </c>
      <c r="C46" s="3">
        <f t="shared" si="17"/>
        <v>0</v>
      </c>
      <c r="D46">
        <f t="shared" si="0"/>
        <v>1</v>
      </c>
      <c r="E46" t="s">
        <v>191</v>
      </c>
      <c r="F46" t="s">
        <v>192</v>
      </c>
      <c r="G46" s="1">
        <v>25123</v>
      </c>
      <c r="H46" s="2">
        <f t="shared" ca="1" si="18"/>
        <v>57</v>
      </c>
      <c r="I46" s="2">
        <f t="shared" ca="1" si="1"/>
        <v>0.45714285714285713</v>
      </c>
      <c r="J46" t="s">
        <v>45</v>
      </c>
      <c r="K46" t="s">
        <v>37</v>
      </c>
      <c r="L46">
        <f t="shared" si="2"/>
        <v>1</v>
      </c>
      <c r="M46">
        <f t="shared" si="3"/>
        <v>0</v>
      </c>
      <c r="N46">
        <f t="shared" si="4"/>
        <v>0</v>
      </c>
      <c r="O46" t="s">
        <v>137</v>
      </c>
      <c r="P46">
        <f t="shared" si="5"/>
        <v>0</v>
      </c>
      <c r="Q46">
        <f t="shared" si="6"/>
        <v>0</v>
      </c>
      <c r="R46">
        <f t="shared" si="7"/>
        <v>0</v>
      </c>
      <c r="S46">
        <f t="shared" si="8"/>
        <v>0</v>
      </c>
      <c r="T46">
        <f t="shared" si="9"/>
        <v>0</v>
      </c>
      <c r="U46">
        <f t="shared" si="10"/>
        <v>0</v>
      </c>
      <c r="V46">
        <f t="shared" si="11"/>
        <v>0</v>
      </c>
      <c r="W46" t="s">
        <v>58</v>
      </c>
      <c r="X46">
        <f t="shared" si="12"/>
        <v>0</v>
      </c>
      <c r="Y46">
        <f t="shared" si="13"/>
        <v>1</v>
      </c>
      <c r="Z46">
        <v>2</v>
      </c>
      <c r="AA46">
        <f t="shared" si="14"/>
        <v>0.25</v>
      </c>
      <c r="AB46" t="s">
        <v>46</v>
      </c>
      <c r="AC46">
        <f t="shared" si="15"/>
        <v>1</v>
      </c>
      <c r="AD46">
        <f t="shared" si="16"/>
        <v>0</v>
      </c>
      <c r="AE46" t="s">
        <v>50</v>
      </c>
      <c r="AF46">
        <f>IF(AE46="website",1,0)</f>
        <v>0</v>
      </c>
    </row>
    <row r="47" spans="1:32">
      <c r="A47" t="s">
        <v>193</v>
      </c>
      <c r="B47" t="s">
        <v>33</v>
      </c>
      <c r="C47" s="3">
        <f t="shared" si="17"/>
        <v>0</v>
      </c>
      <c r="D47">
        <f t="shared" si="0"/>
        <v>1</v>
      </c>
      <c r="E47" t="s">
        <v>194</v>
      </c>
      <c r="F47" t="s">
        <v>195</v>
      </c>
      <c r="G47" s="1">
        <v>23644</v>
      </c>
      <c r="H47" s="2">
        <f t="shared" ca="1" si="18"/>
        <v>62</v>
      </c>
      <c r="I47" s="2">
        <f t="shared" ca="1" si="1"/>
        <v>0.52857142857142858</v>
      </c>
      <c r="J47" t="s">
        <v>36</v>
      </c>
      <c r="K47" t="s">
        <v>37</v>
      </c>
      <c r="L47">
        <f t="shared" si="2"/>
        <v>1</v>
      </c>
      <c r="M47">
        <f t="shared" si="3"/>
        <v>0</v>
      </c>
      <c r="N47">
        <f t="shared" si="4"/>
        <v>0</v>
      </c>
      <c r="O47" t="s">
        <v>38</v>
      </c>
      <c r="P47">
        <f t="shared" si="5"/>
        <v>1</v>
      </c>
      <c r="Q47">
        <f t="shared" si="6"/>
        <v>0</v>
      </c>
      <c r="R47">
        <f t="shared" si="7"/>
        <v>0</v>
      </c>
      <c r="S47">
        <f t="shared" si="8"/>
        <v>0</v>
      </c>
      <c r="T47">
        <f t="shared" si="9"/>
        <v>0</v>
      </c>
      <c r="U47">
        <f t="shared" si="10"/>
        <v>0</v>
      </c>
      <c r="V47">
        <f t="shared" si="11"/>
        <v>0</v>
      </c>
      <c r="W47" t="s">
        <v>39</v>
      </c>
      <c r="X47">
        <f t="shared" si="12"/>
        <v>1</v>
      </c>
      <c r="Y47">
        <f t="shared" si="13"/>
        <v>0</v>
      </c>
      <c r="Z47">
        <v>5</v>
      </c>
      <c r="AA47">
        <f t="shared" si="14"/>
        <v>1</v>
      </c>
      <c r="AB47" t="s">
        <v>46</v>
      </c>
      <c r="AC47">
        <f t="shared" si="15"/>
        <v>0</v>
      </c>
      <c r="AD47">
        <f t="shared" si="16"/>
        <v>1</v>
      </c>
      <c r="AE47" t="s">
        <v>90</v>
      </c>
      <c r="AF47">
        <f>IF(AE47="website",1,0)</f>
        <v>0</v>
      </c>
    </row>
    <row r="48" spans="1:32">
      <c r="A48" t="s">
        <v>196</v>
      </c>
      <c r="B48" t="s">
        <v>33</v>
      </c>
      <c r="C48" s="3">
        <f t="shared" si="17"/>
        <v>0</v>
      </c>
      <c r="D48">
        <f t="shared" si="0"/>
        <v>1</v>
      </c>
      <c r="E48" t="s">
        <v>197</v>
      </c>
      <c r="F48" t="s">
        <v>198</v>
      </c>
      <c r="G48" s="1">
        <v>25780</v>
      </c>
      <c r="H48" s="2">
        <f t="shared" ca="1" si="18"/>
        <v>56</v>
      </c>
      <c r="I48" s="2">
        <f t="shared" ca="1" si="1"/>
        <v>0.44285714285714284</v>
      </c>
      <c r="J48" t="s">
        <v>45</v>
      </c>
      <c r="K48" t="s">
        <v>37</v>
      </c>
      <c r="L48">
        <f t="shared" si="2"/>
        <v>1</v>
      </c>
      <c r="M48">
        <f t="shared" si="3"/>
        <v>0</v>
      </c>
      <c r="N48">
        <f t="shared" si="4"/>
        <v>0</v>
      </c>
      <c r="O48" t="s">
        <v>137</v>
      </c>
      <c r="P48">
        <f t="shared" si="5"/>
        <v>0</v>
      </c>
      <c r="Q48">
        <f t="shared" si="6"/>
        <v>0</v>
      </c>
      <c r="R48">
        <f t="shared" si="7"/>
        <v>0</v>
      </c>
      <c r="S48">
        <f t="shared" si="8"/>
        <v>0</v>
      </c>
      <c r="T48">
        <f t="shared" si="9"/>
        <v>0</v>
      </c>
      <c r="U48">
        <f t="shared" si="10"/>
        <v>0</v>
      </c>
      <c r="V48">
        <f t="shared" si="11"/>
        <v>0</v>
      </c>
      <c r="W48" t="s">
        <v>39</v>
      </c>
      <c r="X48">
        <f t="shared" si="12"/>
        <v>1</v>
      </c>
      <c r="Y48">
        <f t="shared" si="13"/>
        <v>0</v>
      </c>
      <c r="Z48">
        <v>2</v>
      </c>
      <c r="AA48">
        <f t="shared" si="14"/>
        <v>0.25</v>
      </c>
      <c r="AB48" t="s">
        <v>46</v>
      </c>
      <c r="AC48">
        <f t="shared" si="15"/>
        <v>1</v>
      </c>
      <c r="AD48">
        <f t="shared" si="16"/>
        <v>0</v>
      </c>
      <c r="AE48" t="s">
        <v>50</v>
      </c>
      <c r="AF48">
        <f>IF(AE48="website",1,0)</f>
        <v>0</v>
      </c>
    </row>
    <row r="49" spans="1:32">
      <c r="A49" t="s">
        <v>199</v>
      </c>
      <c r="B49" t="s">
        <v>33</v>
      </c>
      <c r="C49" s="3">
        <f t="shared" si="17"/>
        <v>0</v>
      </c>
      <c r="D49">
        <f t="shared" si="0"/>
        <v>1</v>
      </c>
      <c r="E49" t="s">
        <v>200</v>
      </c>
      <c r="F49" t="s">
        <v>201</v>
      </c>
      <c r="G49" s="1">
        <v>20899</v>
      </c>
      <c r="H49" s="2">
        <f t="shared" ca="1" si="18"/>
        <v>69</v>
      </c>
      <c r="I49" s="2">
        <f t="shared" ca="1" si="1"/>
        <v>0.62857142857142856</v>
      </c>
      <c r="J49" t="s">
        <v>45</v>
      </c>
      <c r="K49" t="s">
        <v>37</v>
      </c>
      <c r="L49">
        <f t="shared" si="2"/>
        <v>1</v>
      </c>
      <c r="M49">
        <f t="shared" si="3"/>
        <v>0</v>
      </c>
      <c r="N49">
        <f t="shared" si="4"/>
        <v>0</v>
      </c>
      <c r="O49" t="s">
        <v>38</v>
      </c>
      <c r="P49">
        <f t="shared" si="5"/>
        <v>1</v>
      </c>
      <c r="Q49">
        <f t="shared" si="6"/>
        <v>0</v>
      </c>
      <c r="R49">
        <f t="shared" si="7"/>
        <v>0</v>
      </c>
      <c r="S49">
        <f t="shared" si="8"/>
        <v>0</v>
      </c>
      <c r="T49">
        <f t="shared" si="9"/>
        <v>0</v>
      </c>
      <c r="U49">
        <f t="shared" si="10"/>
        <v>0</v>
      </c>
      <c r="V49">
        <f t="shared" si="11"/>
        <v>0</v>
      </c>
      <c r="W49" t="s">
        <v>39</v>
      </c>
      <c r="X49">
        <f t="shared" si="12"/>
        <v>1</v>
      </c>
      <c r="Y49">
        <f t="shared" si="13"/>
        <v>0</v>
      </c>
      <c r="Z49">
        <v>3</v>
      </c>
      <c r="AA49">
        <f t="shared" si="14"/>
        <v>0.5</v>
      </c>
      <c r="AB49" t="s">
        <v>40</v>
      </c>
      <c r="AC49">
        <f t="shared" si="15"/>
        <v>1</v>
      </c>
      <c r="AD49">
        <f t="shared" si="16"/>
        <v>0</v>
      </c>
      <c r="AE49" t="s">
        <v>50</v>
      </c>
      <c r="AF49">
        <f>IF(AE49="website",1,0)</f>
        <v>0</v>
      </c>
    </row>
    <row r="50" spans="1:32">
      <c r="A50" t="s">
        <v>202</v>
      </c>
      <c r="B50" t="s">
        <v>33</v>
      </c>
      <c r="C50" s="3">
        <f t="shared" si="17"/>
        <v>0</v>
      </c>
      <c r="D50">
        <f t="shared" si="0"/>
        <v>1</v>
      </c>
      <c r="E50" t="s">
        <v>203</v>
      </c>
      <c r="F50" t="s">
        <v>204</v>
      </c>
      <c r="G50" s="1">
        <v>26165</v>
      </c>
      <c r="H50" s="2">
        <f t="shared" ca="1" si="18"/>
        <v>55</v>
      </c>
      <c r="I50" s="2">
        <f t="shared" ca="1" si="1"/>
        <v>0.42857142857142855</v>
      </c>
      <c r="J50" t="s">
        <v>36</v>
      </c>
      <c r="K50" t="s">
        <v>37</v>
      </c>
      <c r="L50">
        <f t="shared" si="2"/>
        <v>1</v>
      </c>
      <c r="M50">
        <f t="shared" si="3"/>
        <v>0</v>
      </c>
      <c r="N50">
        <f t="shared" si="4"/>
        <v>0</v>
      </c>
      <c r="O50" t="s">
        <v>38</v>
      </c>
      <c r="P50">
        <f t="shared" si="5"/>
        <v>1</v>
      </c>
      <c r="Q50">
        <f t="shared" si="6"/>
        <v>0</v>
      </c>
      <c r="R50">
        <f t="shared" si="7"/>
        <v>0</v>
      </c>
      <c r="S50">
        <f t="shared" si="8"/>
        <v>0</v>
      </c>
      <c r="T50">
        <f t="shared" si="9"/>
        <v>0</v>
      </c>
      <c r="U50">
        <f t="shared" si="10"/>
        <v>0</v>
      </c>
      <c r="V50">
        <f t="shared" si="11"/>
        <v>0</v>
      </c>
      <c r="W50" t="s">
        <v>39</v>
      </c>
      <c r="X50">
        <f t="shared" si="12"/>
        <v>1</v>
      </c>
      <c r="Y50">
        <f t="shared" si="13"/>
        <v>0</v>
      </c>
      <c r="Z50">
        <v>1</v>
      </c>
      <c r="AA50">
        <f t="shared" si="14"/>
        <v>0</v>
      </c>
      <c r="AB50" t="s">
        <v>46</v>
      </c>
      <c r="AC50">
        <f t="shared" si="15"/>
        <v>0</v>
      </c>
      <c r="AD50">
        <f t="shared" si="16"/>
        <v>0</v>
      </c>
      <c r="AE50" t="s">
        <v>41</v>
      </c>
      <c r="AF50">
        <f>IF(AE50="website",1,0)</f>
        <v>1</v>
      </c>
    </row>
    <row r="51" spans="1:32">
      <c r="A51" t="s">
        <v>205</v>
      </c>
      <c r="B51" t="s">
        <v>33</v>
      </c>
      <c r="C51" s="3">
        <f t="shared" si="17"/>
        <v>0</v>
      </c>
      <c r="D51">
        <f t="shared" si="0"/>
        <v>1</v>
      </c>
      <c r="E51" t="s">
        <v>206</v>
      </c>
      <c r="F51" t="s">
        <v>207</v>
      </c>
      <c r="G51" s="1">
        <v>14675</v>
      </c>
      <c r="H51" s="2">
        <f t="shared" ca="1" si="18"/>
        <v>86</v>
      </c>
      <c r="I51" s="2">
        <f t="shared" ca="1" si="1"/>
        <v>0.87142857142857144</v>
      </c>
      <c r="J51" t="s">
        <v>45</v>
      </c>
      <c r="K51" t="s">
        <v>37</v>
      </c>
      <c r="L51">
        <f t="shared" si="2"/>
        <v>1</v>
      </c>
      <c r="M51">
        <f t="shared" si="3"/>
        <v>0</v>
      </c>
      <c r="N51">
        <f t="shared" si="4"/>
        <v>0</v>
      </c>
      <c r="O51" t="s">
        <v>38</v>
      </c>
      <c r="P51">
        <f t="shared" si="5"/>
        <v>1</v>
      </c>
      <c r="Q51">
        <f t="shared" si="6"/>
        <v>0</v>
      </c>
      <c r="R51">
        <f t="shared" si="7"/>
        <v>0</v>
      </c>
      <c r="S51">
        <f t="shared" si="8"/>
        <v>0</v>
      </c>
      <c r="T51">
        <f t="shared" si="9"/>
        <v>0</v>
      </c>
      <c r="U51">
        <f t="shared" si="10"/>
        <v>0</v>
      </c>
      <c r="V51">
        <f t="shared" si="11"/>
        <v>0</v>
      </c>
      <c r="W51" t="s">
        <v>39</v>
      </c>
      <c r="X51">
        <f t="shared" si="12"/>
        <v>1</v>
      </c>
      <c r="Y51">
        <f t="shared" si="13"/>
        <v>0</v>
      </c>
      <c r="Z51">
        <v>5</v>
      </c>
      <c r="AA51">
        <f t="shared" si="14"/>
        <v>1</v>
      </c>
      <c r="AB51" t="s">
        <v>46</v>
      </c>
      <c r="AC51">
        <f t="shared" si="15"/>
        <v>0</v>
      </c>
      <c r="AD51">
        <f t="shared" si="16"/>
        <v>0</v>
      </c>
      <c r="AE51" t="s">
        <v>41</v>
      </c>
      <c r="AF51">
        <f>IF(AE51="website",1,0)</f>
        <v>1</v>
      </c>
    </row>
    <row r="52" spans="1:32">
      <c r="A52" t="s">
        <v>208</v>
      </c>
      <c r="B52" t="s">
        <v>33</v>
      </c>
      <c r="C52" s="3">
        <f t="shared" si="17"/>
        <v>0</v>
      </c>
      <c r="D52">
        <f t="shared" si="0"/>
        <v>1</v>
      </c>
      <c r="E52" t="s">
        <v>209</v>
      </c>
      <c r="F52" t="s">
        <v>210</v>
      </c>
      <c r="G52" s="1">
        <v>15038</v>
      </c>
      <c r="H52" s="2">
        <f t="shared" ca="1" si="18"/>
        <v>85</v>
      </c>
      <c r="I52" s="2">
        <f t="shared" ca="1" si="1"/>
        <v>0.8571428571428571</v>
      </c>
      <c r="J52" t="s">
        <v>36</v>
      </c>
      <c r="K52" t="s">
        <v>37</v>
      </c>
      <c r="L52">
        <f t="shared" si="2"/>
        <v>1</v>
      </c>
      <c r="M52">
        <f t="shared" si="3"/>
        <v>0</v>
      </c>
      <c r="N52">
        <f t="shared" si="4"/>
        <v>0</v>
      </c>
      <c r="O52" t="s">
        <v>137</v>
      </c>
      <c r="P52">
        <f t="shared" si="5"/>
        <v>0</v>
      </c>
      <c r="Q52">
        <f t="shared" si="6"/>
        <v>0</v>
      </c>
      <c r="R52">
        <f t="shared" si="7"/>
        <v>0</v>
      </c>
      <c r="S52">
        <f t="shared" si="8"/>
        <v>0</v>
      </c>
      <c r="T52">
        <f t="shared" si="9"/>
        <v>0</v>
      </c>
      <c r="U52">
        <f t="shared" si="10"/>
        <v>0</v>
      </c>
      <c r="V52">
        <f t="shared" si="11"/>
        <v>0</v>
      </c>
      <c r="W52" t="s">
        <v>39</v>
      </c>
      <c r="X52">
        <f t="shared" si="12"/>
        <v>1</v>
      </c>
      <c r="Y52">
        <f t="shared" si="13"/>
        <v>0</v>
      </c>
      <c r="Z52">
        <v>3</v>
      </c>
      <c r="AA52">
        <f t="shared" si="14"/>
        <v>0.5</v>
      </c>
      <c r="AB52" t="s">
        <v>46</v>
      </c>
      <c r="AC52">
        <f t="shared" si="15"/>
        <v>1</v>
      </c>
      <c r="AD52">
        <f t="shared" si="16"/>
        <v>0</v>
      </c>
      <c r="AE52" t="s">
        <v>50</v>
      </c>
      <c r="AF52">
        <f>IF(AE52="website",1,0)</f>
        <v>0</v>
      </c>
    </row>
    <row r="53" spans="1:32">
      <c r="A53" t="s">
        <v>211</v>
      </c>
      <c r="B53" t="s">
        <v>33</v>
      </c>
      <c r="C53" s="3">
        <f t="shared" si="17"/>
        <v>0</v>
      </c>
      <c r="D53">
        <f t="shared" si="0"/>
        <v>1</v>
      </c>
      <c r="E53" t="s">
        <v>212</v>
      </c>
      <c r="F53" t="s">
        <v>213</v>
      </c>
      <c r="G53" s="1">
        <v>24506</v>
      </c>
      <c r="H53" s="2">
        <f t="shared" ca="1" si="18"/>
        <v>59</v>
      </c>
      <c r="I53" s="2">
        <f t="shared" ca="1" si="1"/>
        <v>0.48571428571428571</v>
      </c>
      <c r="J53" t="s">
        <v>36</v>
      </c>
      <c r="K53" t="s">
        <v>37</v>
      </c>
      <c r="L53">
        <f t="shared" si="2"/>
        <v>1</v>
      </c>
      <c r="M53">
        <f t="shared" si="3"/>
        <v>0</v>
      </c>
      <c r="N53">
        <f t="shared" si="4"/>
        <v>0</v>
      </c>
      <c r="O53" t="s">
        <v>76</v>
      </c>
      <c r="P53">
        <f t="shared" si="5"/>
        <v>0</v>
      </c>
      <c r="Q53">
        <f t="shared" si="6"/>
        <v>1</v>
      </c>
      <c r="R53">
        <f t="shared" si="7"/>
        <v>0</v>
      </c>
      <c r="S53">
        <f t="shared" si="8"/>
        <v>0</v>
      </c>
      <c r="T53">
        <f t="shared" si="9"/>
        <v>0</v>
      </c>
      <c r="U53">
        <f t="shared" si="10"/>
        <v>0</v>
      </c>
      <c r="V53">
        <f t="shared" si="11"/>
        <v>0</v>
      </c>
      <c r="W53" t="s">
        <v>58</v>
      </c>
      <c r="X53">
        <f t="shared" si="12"/>
        <v>0</v>
      </c>
      <c r="Y53">
        <f t="shared" si="13"/>
        <v>1</v>
      </c>
      <c r="Z53">
        <v>2</v>
      </c>
      <c r="AA53">
        <f t="shared" si="14"/>
        <v>0.25</v>
      </c>
      <c r="AB53" t="s">
        <v>46</v>
      </c>
      <c r="AC53">
        <f t="shared" si="15"/>
        <v>0</v>
      </c>
      <c r="AD53">
        <f t="shared" si="16"/>
        <v>1</v>
      </c>
      <c r="AE53" t="s">
        <v>90</v>
      </c>
      <c r="AF53">
        <f>IF(AE53="website",1,0)</f>
        <v>0</v>
      </c>
    </row>
    <row r="54" spans="1:32">
      <c r="A54" t="s">
        <v>214</v>
      </c>
      <c r="B54" t="s">
        <v>33</v>
      </c>
      <c r="C54" s="3">
        <f t="shared" si="17"/>
        <v>0</v>
      </c>
      <c r="D54">
        <f t="shared" si="0"/>
        <v>1</v>
      </c>
      <c r="E54" t="s">
        <v>215</v>
      </c>
      <c r="F54" t="s">
        <v>216</v>
      </c>
      <c r="G54" s="1">
        <v>19731</v>
      </c>
      <c r="H54" s="2">
        <f t="shared" ca="1" si="18"/>
        <v>72</v>
      </c>
      <c r="I54" s="2">
        <f t="shared" ca="1" si="1"/>
        <v>0.67142857142857137</v>
      </c>
      <c r="J54" t="s">
        <v>45</v>
      </c>
      <c r="K54" t="s">
        <v>37</v>
      </c>
      <c r="L54">
        <f t="shared" si="2"/>
        <v>1</v>
      </c>
      <c r="M54">
        <f t="shared" si="3"/>
        <v>0</v>
      </c>
      <c r="N54">
        <f t="shared" si="4"/>
        <v>0</v>
      </c>
      <c r="O54" t="s">
        <v>97</v>
      </c>
      <c r="P54">
        <f t="shared" si="5"/>
        <v>0</v>
      </c>
      <c r="Q54">
        <f t="shared" si="6"/>
        <v>0</v>
      </c>
      <c r="R54">
        <f t="shared" si="7"/>
        <v>0</v>
      </c>
      <c r="S54">
        <f t="shared" si="8"/>
        <v>0</v>
      </c>
      <c r="T54">
        <f t="shared" si="9"/>
        <v>1</v>
      </c>
      <c r="U54">
        <f t="shared" si="10"/>
        <v>0</v>
      </c>
      <c r="V54">
        <f t="shared" si="11"/>
        <v>0</v>
      </c>
      <c r="W54" t="s">
        <v>39</v>
      </c>
      <c r="X54">
        <f t="shared" si="12"/>
        <v>1</v>
      </c>
      <c r="Y54">
        <f t="shared" si="13"/>
        <v>0</v>
      </c>
      <c r="Z54">
        <v>4</v>
      </c>
      <c r="AA54">
        <f t="shared" si="14"/>
        <v>0.75</v>
      </c>
      <c r="AB54" t="s">
        <v>46</v>
      </c>
      <c r="AC54">
        <f t="shared" si="15"/>
        <v>1</v>
      </c>
      <c r="AD54">
        <f t="shared" si="16"/>
        <v>0</v>
      </c>
      <c r="AE54" t="s">
        <v>50</v>
      </c>
      <c r="AF54">
        <f>IF(AE54="website",1,0)</f>
        <v>0</v>
      </c>
    </row>
    <row r="55" spans="1:32">
      <c r="A55" t="s">
        <v>217</v>
      </c>
      <c r="B55" t="s">
        <v>55</v>
      </c>
      <c r="C55" s="3">
        <f t="shared" si="17"/>
        <v>1</v>
      </c>
      <c r="D55">
        <f t="shared" si="0"/>
        <v>0</v>
      </c>
      <c r="E55" t="s">
        <v>218</v>
      </c>
      <c r="F55" t="s">
        <v>57</v>
      </c>
      <c r="G55" s="1">
        <v>24518</v>
      </c>
      <c r="H55" s="2">
        <f t="shared" ca="1" si="18"/>
        <v>59</v>
      </c>
      <c r="I55" s="2">
        <f t="shared" ca="1" si="1"/>
        <v>0.48571428571428571</v>
      </c>
      <c r="J55" t="s">
        <v>45</v>
      </c>
      <c r="K55" t="s">
        <v>37</v>
      </c>
      <c r="L55">
        <f t="shared" si="2"/>
        <v>1</v>
      </c>
      <c r="M55">
        <f t="shared" si="3"/>
        <v>0</v>
      </c>
      <c r="N55">
        <f t="shared" si="4"/>
        <v>0</v>
      </c>
      <c r="O55" t="s">
        <v>124</v>
      </c>
      <c r="P55">
        <f t="shared" si="5"/>
        <v>0</v>
      </c>
      <c r="Q55">
        <f t="shared" si="6"/>
        <v>0</v>
      </c>
      <c r="R55">
        <f t="shared" si="7"/>
        <v>0</v>
      </c>
      <c r="S55">
        <f t="shared" si="8"/>
        <v>0</v>
      </c>
      <c r="T55">
        <f t="shared" si="9"/>
        <v>0</v>
      </c>
      <c r="U55">
        <f t="shared" si="10"/>
        <v>1</v>
      </c>
      <c r="V55">
        <f t="shared" si="11"/>
        <v>0</v>
      </c>
      <c r="W55" t="s">
        <v>58</v>
      </c>
      <c r="X55">
        <f t="shared" si="12"/>
        <v>0</v>
      </c>
      <c r="Y55">
        <f t="shared" si="13"/>
        <v>1</v>
      </c>
      <c r="Z55">
        <v>5</v>
      </c>
      <c r="AA55">
        <f t="shared" si="14"/>
        <v>1</v>
      </c>
      <c r="AB55" t="s">
        <v>46</v>
      </c>
      <c r="AC55">
        <f t="shared" si="15"/>
        <v>0</v>
      </c>
      <c r="AD55">
        <f t="shared" si="16"/>
        <v>0</v>
      </c>
      <c r="AE55" t="s">
        <v>41</v>
      </c>
      <c r="AF55">
        <f>IF(AE55="website",1,0)</f>
        <v>1</v>
      </c>
    </row>
    <row r="56" spans="1:32">
      <c r="A56" t="s">
        <v>219</v>
      </c>
      <c r="B56" t="s">
        <v>33</v>
      </c>
      <c r="C56" s="3">
        <f t="shared" si="17"/>
        <v>0</v>
      </c>
      <c r="D56">
        <f t="shared" si="0"/>
        <v>1</v>
      </c>
      <c r="E56" t="s">
        <v>220</v>
      </c>
      <c r="F56" t="s">
        <v>221</v>
      </c>
      <c r="G56" s="1">
        <v>26822</v>
      </c>
      <c r="H56" s="2">
        <f t="shared" ca="1" si="18"/>
        <v>53</v>
      </c>
      <c r="I56" s="2">
        <f t="shared" ca="1" si="1"/>
        <v>0.4</v>
      </c>
      <c r="J56" t="s">
        <v>36</v>
      </c>
      <c r="K56" t="s">
        <v>37</v>
      </c>
      <c r="L56">
        <f t="shared" si="2"/>
        <v>1</v>
      </c>
      <c r="M56">
        <f t="shared" si="3"/>
        <v>0</v>
      </c>
      <c r="N56">
        <f t="shared" si="4"/>
        <v>0</v>
      </c>
      <c r="O56" t="s">
        <v>38</v>
      </c>
      <c r="P56">
        <f t="shared" si="5"/>
        <v>1</v>
      </c>
      <c r="Q56">
        <f t="shared" si="6"/>
        <v>0</v>
      </c>
      <c r="R56">
        <f t="shared" si="7"/>
        <v>0</v>
      </c>
      <c r="S56">
        <f t="shared" si="8"/>
        <v>0</v>
      </c>
      <c r="T56">
        <f t="shared" si="9"/>
        <v>0</v>
      </c>
      <c r="U56">
        <f t="shared" si="10"/>
        <v>0</v>
      </c>
      <c r="V56">
        <f t="shared" si="11"/>
        <v>0</v>
      </c>
      <c r="W56" t="s">
        <v>39</v>
      </c>
      <c r="X56">
        <f t="shared" si="12"/>
        <v>1</v>
      </c>
      <c r="Y56">
        <f t="shared" si="13"/>
        <v>0</v>
      </c>
      <c r="Z56">
        <v>5</v>
      </c>
      <c r="AA56">
        <f t="shared" si="14"/>
        <v>1</v>
      </c>
      <c r="AB56" t="s">
        <v>40</v>
      </c>
      <c r="AC56">
        <f t="shared" si="15"/>
        <v>1</v>
      </c>
      <c r="AD56">
        <f t="shared" si="16"/>
        <v>0</v>
      </c>
      <c r="AE56" t="s">
        <v>50</v>
      </c>
      <c r="AF56">
        <f>IF(AE56="website",1,0)</f>
        <v>0</v>
      </c>
    </row>
    <row r="57" spans="1:32">
      <c r="A57" t="s">
        <v>222</v>
      </c>
      <c r="B57" t="s">
        <v>33</v>
      </c>
      <c r="C57" s="3">
        <f t="shared" si="17"/>
        <v>0</v>
      </c>
      <c r="D57">
        <f t="shared" si="0"/>
        <v>1</v>
      </c>
      <c r="E57" t="s">
        <v>223</v>
      </c>
      <c r="F57" t="s">
        <v>224</v>
      </c>
      <c r="G57" s="1">
        <v>23718</v>
      </c>
      <c r="H57" s="2">
        <f t="shared" ca="1" si="18"/>
        <v>61</v>
      </c>
      <c r="I57" s="2">
        <f t="shared" ca="1" si="1"/>
        <v>0.51428571428571423</v>
      </c>
      <c r="J57" t="s">
        <v>45</v>
      </c>
      <c r="K57" t="s">
        <v>37</v>
      </c>
      <c r="L57">
        <f t="shared" si="2"/>
        <v>1</v>
      </c>
      <c r="M57">
        <f t="shared" si="3"/>
        <v>0</v>
      </c>
      <c r="N57">
        <f t="shared" si="4"/>
        <v>0</v>
      </c>
      <c r="O57" t="s">
        <v>76</v>
      </c>
      <c r="P57">
        <f t="shared" si="5"/>
        <v>0</v>
      </c>
      <c r="Q57">
        <f t="shared" si="6"/>
        <v>1</v>
      </c>
      <c r="R57">
        <f t="shared" si="7"/>
        <v>0</v>
      </c>
      <c r="S57">
        <f t="shared" si="8"/>
        <v>0</v>
      </c>
      <c r="T57">
        <f t="shared" si="9"/>
        <v>0</v>
      </c>
      <c r="U57">
        <f t="shared" si="10"/>
        <v>0</v>
      </c>
      <c r="V57">
        <f t="shared" si="11"/>
        <v>0</v>
      </c>
      <c r="W57" t="s">
        <v>58</v>
      </c>
      <c r="X57">
        <f t="shared" si="12"/>
        <v>0</v>
      </c>
      <c r="Y57">
        <f t="shared" si="13"/>
        <v>1</v>
      </c>
      <c r="Z57">
        <v>5</v>
      </c>
      <c r="AA57">
        <f t="shared" si="14"/>
        <v>1</v>
      </c>
      <c r="AB57" t="s">
        <v>46</v>
      </c>
      <c r="AC57">
        <f t="shared" si="15"/>
        <v>1</v>
      </c>
      <c r="AD57">
        <f t="shared" si="16"/>
        <v>0</v>
      </c>
      <c r="AE57" t="s">
        <v>50</v>
      </c>
      <c r="AF57">
        <f>IF(AE57="website",1,0)</f>
        <v>0</v>
      </c>
    </row>
    <row r="58" spans="1:32">
      <c r="A58" t="s">
        <v>225</v>
      </c>
      <c r="B58" t="s">
        <v>33</v>
      </c>
      <c r="C58" s="3">
        <f t="shared" si="17"/>
        <v>0</v>
      </c>
      <c r="D58">
        <f t="shared" si="0"/>
        <v>1</v>
      </c>
      <c r="E58" t="s">
        <v>226</v>
      </c>
      <c r="F58" t="s">
        <v>227</v>
      </c>
      <c r="G58" s="1">
        <v>12213</v>
      </c>
      <c r="H58" s="2">
        <f t="shared" ca="1" si="18"/>
        <v>93</v>
      </c>
      <c r="I58" s="2">
        <f t="shared" ca="1" si="1"/>
        <v>0.97142857142857142</v>
      </c>
      <c r="J58" t="s">
        <v>45</v>
      </c>
      <c r="K58" t="s">
        <v>37</v>
      </c>
      <c r="L58">
        <f t="shared" si="2"/>
        <v>1</v>
      </c>
      <c r="M58">
        <f t="shared" si="3"/>
        <v>0</v>
      </c>
      <c r="N58">
        <f t="shared" si="4"/>
        <v>0</v>
      </c>
      <c r="O58" t="s">
        <v>38</v>
      </c>
      <c r="P58">
        <f t="shared" si="5"/>
        <v>1</v>
      </c>
      <c r="Q58">
        <f t="shared" si="6"/>
        <v>0</v>
      </c>
      <c r="R58">
        <f t="shared" si="7"/>
        <v>0</v>
      </c>
      <c r="S58">
        <f t="shared" si="8"/>
        <v>0</v>
      </c>
      <c r="T58">
        <f t="shared" si="9"/>
        <v>0</v>
      </c>
      <c r="U58">
        <f t="shared" si="10"/>
        <v>0</v>
      </c>
      <c r="V58">
        <f t="shared" si="11"/>
        <v>0</v>
      </c>
      <c r="W58" t="s">
        <v>39</v>
      </c>
      <c r="X58">
        <f t="shared" si="12"/>
        <v>1</v>
      </c>
      <c r="Y58">
        <f t="shared" si="13"/>
        <v>0</v>
      </c>
      <c r="Z58">
        <v>4</v>
      </c>
      <c r="AA58">
        <f t="shared" si="14"/>
        <v>0.75</v>
      </c>
      <c r="AB58" t="s">
        <v>40</v>
      </c>
      <c r="AC58">
        <f t="shared" si="15"/>
        <v>1</v>
      </c>
      <c r="AD58">
        <f t="shared" si="16"/>
        <v>0</v>
      </c>
      <c r="AE58" t="s">
        <v>50</v>
      </c>
      <c r="AF58">
        <f>IF(AE58="website",1,0)</f>
        <v>0</v>
      </c>
    </row>
    <row r="59" spans="1:32">
      <c r="A59" t="s">
        <v>228</v>
      </c>
      <c r="B59" t="s">
        <v>55</v>
      </c>
      <c r="C59" s="3">
        <f t="shared" si="17"/>
        <v>1</v>
      </c>
      <c r="D59">
        <f t="shared" si="0"/>
        <v>0</v>
      </c>
      <c r="E59" t="s">
        <v>229</v>
      </c>
      <c r="F59" t="s">
        <v>57</v>
      </c>
      <c r="G59" s="1">
        <v>25326</v>
      </c>
      <c r="H59" s="2">
        <f t="shared" ca="1" si="18"/>
        <v>57</v>
      </c>
      <c r="I59" s="2">
        <f t="shared" ca="1" si="1"/>
        <v>0.45714285714285713</v>
      </c>
      <c r="J59" t="s">
        <v>36</v>
      </c>
      <c r="K59" t="s">
        <v>37</v>
      </c>
      <c r="L59">
        <f t="shared" si="2"/>
        <v>1</v>
      </c>
      <c r="M59">
        <f t="shared" si="3"/>
        <v>0</v>
      </c>
      <c r="N59">
        <f t="shared" si="4"/>
        <v>0</v>
      </c>
      <c r="O59" t="s">
        <v>38</v>
      </c>
      <c r="P59">
        <f t="shared" si="5"/>
        <v>1</v>
      </c>
      <c r="Q59">
        <f t="shared" si="6"/>
        <v>0</v>
      </c>
      <c r="R59">
        <f t="shared" si="7"/>
        <v>0</v>
      </c>
      <c r="S59">
        <f t="shared" si="8"/>
        <v>0</v>
      </c>
      <c r="T59">
        <f t="shared" si="9"/>
        <v>0</v>
      </c>
      <c r="U59">
        <f t="shared" si="10"/>
        <v>0</v>
      </c>
      <c r="V59">
        <f t="shared" si="11"/>
        <v>0</v>
      </c>
      <c r="W59" t="s">
        <v>58</v>
      </c>
      <c r="X59">
        <f t="shared" si="12"/>
        <v>0</v>
      </c>
      <c r="Y59">
        <f t="shared" si="13"/>
        <v>1</v>
      </c>
      <c r="Z59">
        <v>1</v>
      </c>
      <c r="AA59">
        <f t="shared" si="14"/>
        <v>0</v>
      </c>
      <c r="AB59" t="s">
        <v>40</v>
      </c>
      <c r="AC59">
        <f t="shared" si="15"/>
        <v>0</v>
      </c>
      <c r="AD59">
        <f t="shared" si="16"/>
        <v>0</v>
      </c>
      <c r="AE59" t="s">
        <v>41</v>
      </c>
      <c r="AF59">
        <f>IF(AE59="website",1,0)</f>
        <v>1</v>
      </c>
    </row>
    <row r="60" spans="1:32">
      <c r="A60" t="s">
        <v>230</v>
      </c>
      <c r="B60" t="s">
        <v>33</v>
      </c>
      <c r="C60" s="3">
        <f t="shared" si="17"/>
        <v>0</v>
      </c>
      <c r="D60">
        <f t="shared" si="0"/>
        <v>1</v>
      </c>
      <c r="E60" t="s">
        <v>231</v>
      </c>
      <c r="F60" t="s">
        <v>232</v>
      </c>
      <c r="G60" s="1">
        <v>22083</v>
      </c>
      <c r="H60" s="2">
        <f t="shared" ca="1" si="18"/>
        <v>66</v>
      </c>
      <c r="I60" s="2">
        <f t="shared" ca="1" si="1"/>
        <v>0.58571428571428574</v>
      </c>
      <c r="J60" t="s">
        <v>45</v>
      </c>
      <c r="K60" t="s">
        <v>37</v>
      </c>
      <c r="L60">
        <f t="shared" si="2"/>
        <v>1</v>
      </c>
      <c r="M60">
        <f t="shared" si="3"/>
        <v>0</v>
      </c>
      <c r="N60">
        <f t="shared" si="4"/>
        <v>0</v>
      </c>
      <c r="O60" t="s">
        <v>38</v>
      </c>
      <c r="P60">
        <f t="shared" si="5"/>
        <v>1</v>
      </c>
      <c r="Q60">
        <f t="shared" si="6"/>
        <v>0</v>
      </c>
      <c r="R60">
        <f t="shared" si="7"/>
        <v>0</v>
      </c>
      <c r="S60">
        <f t="shared" si="8"/>
        <v>0</v>
      </c>
      <c r="T60">
        <f t="shared" si="9"/>
        <v>0</v>
      </c>
      <c r="U60">
        <f t="shared" si="10"/>
        <v>0</v>
      </c>
      <c r="V60">
        <f t="shared" si="11"/>
        <v>0</v>
      </c>
      <c r="W60" t="s">
        <v>39</v>
      </c>
      <c r="X60">
        <f t="shared" si="12"/>
        <v>1</v>
      </c>
      <c r="Y60">
        <f t="shared" si="13"/>
        <v>0</v>
      </c>
      <c r="Z60">
        <v>2</v>
      </c>
      <c r="AA60">
        <f t="shared" si="14"/>
        <v>0.25</v>
      </c>
      <c r="AB60" t="s">
        <v>46</v>
      </c>
      <c r="AC60">
        <f t="shared" si="15"/>
        <v>0</v>
      </c>
      <c r="AD60">
        <f t="shared" si="16"/>
        <v>0</v>
      </c>
      <c r="AE60" t="s">
        <v>41</v>
      </c>
      <c r="AF60">
        <f>IF(AE60="website",1,0)</f>
        <v>1</v>
      </c>
    </row>
    <row r="61" spans="1:32">
      <c r="A61" t="s">
        <v>233</v>
      </c>
      <c r="B61" t="s">
        <v>33</v>
      </c>
      <c r="C61" s="3">
        <f t="shared" si="17"/>
        <v>0</v>
      </c>
      <c r="D61">
        <f t="shared" si="0"/>
        <v>1</v>
      </c>
      <c r="E61" t="s">
        <v>234</v>
      </c>
      <c r="F61" t="s">
        <v>235</v>
      </c>
      <c r="G61" s="1">
        <v>26426</v>
      </c>
      <c r="H61" s="2">
        <f t="shared" ca="1" si="18"/>
        <v>54</v>
      </c>
      <c r="I61" s="2">
        <f t="shared" ca="1" si="1"/>
        <v>0.41428571428571431</v>
      </c>
      <c r="J61" t="s">
        <v>36</v>
      </c>
      <c r="K61" t="s">
        <v>37</v>
      </c>
      <c r="L61">
        <f t="shared" si="2"/>
        <v>1</v>
      </c>
      <c r="M61">
        <f t="shared" si="3"/>
        <v>0</v>
      </c>
      <c r="N61">
        <f t="shared" si="4"/>
        <v>0</v>
      </c>
      <c r="O61" t="s">
        <v>38</v>
      </c>
      <c r="P61">
        <f t="shared" si="5"/>
        <v>1</v>
      </c>
      <c r="Q61">
        <f t="shared" si="6"/>
        <v>0</v>
      </c>
      <c r="R61">
        <f t="shared" si="7"/>
        <v>0</v>
      </c>
      <c r="S61">
        <f t="shared" si="8"/>
        <v>0</v>
      </c>
      <c r="T61">
        <f t="shared" si="9"/>
        <v>0</v>
      </c>
      <c r="U61">
        <f t="shared" si="10"/>
        <v>0</v>
      </c>
      <c r="V61">
        <f t="shared" si="11"/>
        <v>0</v>
      </c>
      <c r="W61" t="s">
        <v>39</v>
      </c>
      <c r="X61">
        <f t="shared" si="12"/>
        <v>1</v>
      </c>
      <c r="Y61">
        <f t="shared" si="13"/>
        <v>0</v>
      </c>
      <c r="Z61">
        <v>5</v>
      </c>
      <c r="AA61">
        <f t="shared" si="14"/>
        <v>1</v>
      </c>
      <c r="AB61" t="s">
        <v>46</v>
      </c>
      <c r="AC61">
        <f t="shared" si="15"/>
        <v>0</v>
      </c>
      <c r="AD61">
        <f t="shared" si="16"/>
        <v>0</v>
      </c>
      <c r="AE61" t="s">
        <v>41</v>
      </c>
      <c r="AF61">
        <f>IF(AE61="website",1,0)</f>
        <v>1</v>
      </c>
    </row>
    <row r="62" spans="1:32">
      <c r="A62" t="s">
        <v>236</v>
      </c>
      <c r="B62" t="s">
        <v>33</v>
      </c>
      <c r="C62" s="3">
        <f t="shared" si="17"/>
        <v>0</v>
      </c>
      <c r="D62">
        <f t="shared" si="0"/>
        <v>1</v>
      </c>
      <c r="E62" t="s">
        <v>237</v>
      </c>
      <c r="F62" t="s">
        <v>238</v>
      </c>
      <c r="G62" s="1">
        <v>24604</v>
      </c>
      <c r="H62" s="2">
        <f t="shared" ca="1" si="18"/>
        <v>59</v>
      </c>
      <c r="I62" s="2">
        <f t="shared" ca="1" si="1"/>
        <v>0.48571428571428571</v>
      </c>
      <c r="J62" t="s">
        <v>45</v>
      </c>
      <c r="K62" t="s">
        <v>37</v>
      </c>
      <c r="L62">
        <f t="shared" si="2"/>
        <v>1</v>
      </c>
      <c r="M62">
        <f t="shared" si="3"/>
        <v>0</v>
      </c>
      <c r="N62">
        <f t="shared" si="4"/>
        <v>0</v>
      </c>
      <c r="O62" t="s">
        <v>183</v>
      </c>
      <c r="P62">
        <f t="shared" si="5"/>
        <v>0</v>
      </c>
      <c r="Q62">
        <f t="shared" si="6"/>
        <v>0</v>
      </c>
      <c r="R62">
        <f t="shared" si="7"/>
        <v>0</v>
      </c>
      <c r="S62">
        <f t="shared" si="8"/>
        <v>0</v>
      </c>
      <c r="T62">
        <f t="shared" si="9"/>
        <v>0</v>
      </c>
      <c r="U62">
        <f t="shared" si="10"/>
        <v>0</v>
      </c>
      <c r="V62">
        <f t="shared" si="11"/>
        <v>0</v>
      </c>
      <c r="W62" t="s">
        <v>39</v>
      </c>
      <c r="X62">
        <f t="shared" si="12"/>
        <v>1</v>
      </c>
      <c r="Y62">
        <f t="shared" si="13"/>
        <v>0</v>
      </c>
      <c r="Z62">
        <v>5</v>
      </c>
      <c r="AA62">
        <f t="shared" si="14"/>
        <v>1</v>
      </c>
      <c r="AB62" t="s">
        <v>46</v>
      </c>
      <c r="AC62">
        <f t="shared" si="15"/>
        <v>1</v>
      </c>
      <c r="AD62">
        <f t="shared" si="16"/>
        <v>0</v>
      </c>
      <c r="AE62" t="s">
        <v>50</v>
      </c>
      <c r="AF62">
        <f>IF(AE62="website",1,0)</f>
        <v>0</v>
      </c>
    </row>
    <row r="63" spans="1:32">
      <c r="A63" t="s">
        <v>239</v>
      </c>
      <c r="B63" t="s">
        <v>33</v>
      </c>
      <c r="C63" s="3">
        <f t="shared" si="17"/>
        <v>0</v>
      </c>
      <c r="D63">
        <f t="shared" si="0"/>
        <v>1</v>
      </c>
      <c r="E63" t="s">
        <v>240</v>
      </c>
      <c r="F63" t="s">
        <v>241</v>
      </c>
      <c r="G63" s="1">
        <v>27115</v>
      </c>
      <c r="H63" s="2">
        <f t="shared" ca="1" si="18"/>
        <v>52</v>
      </c>
      <c r="I63" s="2">
        <f t="shared" ca="1" si="1"/>
        <v>0.38571428571428573</v>
      </c>
      <c r="J63" t="s">
        <v>45</v>
      </c>
      <c r="K63" t="s">
        <v>37</v>
      </c>
      <c r="L63">
        <f t="shared" si="2"/>
        <v>1</v>
      </c>
      <c r="M63">
        <f t="shared" si="3"/>
        <v>0</v>
      </c>
      <c r="N63">
        <f t="shared" si="4"/>
        <v>0</v>
      </c>
      <c r="O63" t="s">
        <v>38</v>
      </c>
      <c r="P63">
        <f t="shared" si="5"/>
        <v>1</v>
      </c>
      <c r="Q63">
        <f t="shared" si="6"/>
        <v>0</v>
      </c>
      <c r="R63">
        <f t="shared" si="7"/>
        <v>0</v>
      </c>
      <c r="S63">
        <f t="shared" si="8"/>
        <v>0</v>
      </c>
      <c r="T63">
        <f t="shared" si="9"/>
        <v>0</v>
      </c>
      <c r="U63">
        <f t="shared" si="10"/>
        <v>0</v>
      </c>
      <c r="V63">
        <f t="shared" si="11"/>
        <v>0</v>
      </c>
      <c r="W63" t="s">
        <v>39</v>
      </c>
      <c r="X63">
        <f t="shared" si="12"/>
        <v>1</v>
      </c>
      <c r="Y63">
        <f t="shared" si="13"/>
        <v>0</v>
      </c>
      <c r="Z63">
        <v>5</v>
      </c>
      <c r="AA63">
        <f t="shared" si="14"/>
        <v>1</v>
      </c>
      <c r="AB63" t="s">
        <v>40</v>
      </c>
      <c r="AC63">
        <f t="shared" si="15"/>
        <v>0</v>
      </c>
      <c r="AD63">
        <f t="shared" si="16"/>
        <v>1</v>
      </c>
      <c r="AE63" t="s">
        <v>90</v>
      </c>
      <c r="AF63">
        <f>IF(AE63="website",1,0)</f>
        <v>0</v>
      </c>
    </row>
    <row r="64" spans="1:32">
      <c r="A64" t="s">
        <v>242</v>
      </c>
      <c r="B64" t="s">
        <v>33</v>
      </c>
      <c r="C64" s="3">
        <f t="shared" si="17"/>
        <v>0</v>
      </c>
      <c r="D64">
        <f t="shared" si="0"/>
        <v>1</v>
      </c>
      <c r="E64" t="s">
        <v>243</v>
      </c>
      <c r="F64" t="s">
        <v>244</v>
      </c>
      <c r="G64" s="1">
        <v>15545</v>
      </c>
      <c r="H64" s="2">
        <f t="shared" ca="1" si="18"/>
        <v>84</v>
      </c>
      <c r="I64" s="2">
        <f t="shared" ca="1" si="1"/>
        <v>0.84285714285714286</v>
      </c>
      <c r="J64" t="s">
        <v>36</v>
      </c>
      <c r="K64" t="s">
        <v>37</v>
      </c>
      <c r="L64">
        <f t="shared" si="2"/>
        <v>1</v>
      </c>
      <c r="M64">
        <f t="shared" si="3"/>
        <v>0</v>
      </c>
      <c r="N64">
        <f t="shared" si="4"/>
        <v>0</v>
      </c>
      <c r="O64" t="s">
        <v>97</v>
      </c>
      <c r="P64">
        <f t="shared" si="5"/>
        <v>0</v>
      </c>
      <c r="Q64">
        <f t="shared" si="6"/>
        <v>0</v>
      </c>
      <c r="R64">
        <f t="shared" si="7"/>
        <v>0</v>
      </c>
      <c r="S64">
        <f t="shared" si="8"/>
        <v>0</v>
      </c>
      <c r="T64">
        <f t="shared" si="9"/>
        <v>1</v>
      </c>
      <c r="U64">
        <f t="shared" si="10"/>
        <v>0</v>
      </c>
      <c r="V64">
        <f t="shared" si="11"/>
        <v>0</v>
      </c>
      <c r="W64" t="s">
        <v>39</v>
      </c>
      <c r="X64">
        <f t="shared" si="12"/>
        <v>1</v>
      </c>
      <c r="Y64">
        <f t="shared" si="13"/>
        <v>0</v>
      </c>
      <c r="Z64">
        <v>4</v>
      </c>
      <c r="AA64">
        <f t="shared" si="14"/>
        <v>0.75</v>
      </c>
      <c r="AB64" t="s">
        <v>46</v>
      </c>
      <c r="AC64">
        <f t="shared" si="15"/>
        <v>0</v>
      </c>
      <c r="AD64">
        <f t="shared" si="16"/>
        <v>0</v>
      </c>
      <c r="AE64" t="s">
        <v>41</v>
      </c>
      <c r="AF64">
        <f>IF(AE64="website",1,0)</f>
        <v>1</v>
      </c>
    </row>
    <row r="65" spans="1:32">
      <c r="A65" t="s">
        <v>245</v>
      </c>
      <c r="B65" t="s">
        <v>33</v>
      </c>
      <c r="C65" s="3">
        <f t="shared" si="17"/>
        <v>0</v>
      </c>
      <c r="D65">
        <f t="shared" si="0"/>
        <v>1</v>
      </c>
      <c r="E65" t="s">
        <v>246</v>
      </c>
      <c r="F65" t="s">
        <v>247</v>
      </c>
      <c r="G65" s="1">
        <v>27070</v>
      </c>
      <c r="H65" s="2">
        <f t="shared" ca="1" si="18"/>
        <v>52</v>
      </c>
      <c r="I65" s="2">
        <f t="shared" ca="1" si="1"/>
        <v>0.38571428571428573</v>
      </c>
      <c r="J65" t="s">
        <v>45</v>
      </c>
      <c r="K65" t="s">
        <v>248</v>
      </c>
      <c r="L65">
        <f t="shared" si="2"/>
        <v>0</v>
      </c>
      <c r="M65">
        <f t="shared" si="3"/>
        <v>0</v>
      </c>
      <c r="N65">
        <f t="shared" si="4"/>
        <v>0</v>
      </c>
      <c r="O65" t="s">
        <v>249</v>
      </c>
      <c r="P65">
        <f t="shared" si="5"/>
        <v>0</v>
      </c>
      <c r="Q65">
        <f t="shared" si="6"/>
        <v>0</v>
      </c>
      <c r="R65">
        <f t="shared" si="7"/>
        <v>0</v>
      </c>
      <c r="S65">
        <f t="shared" si="8"/>
        <v>0</v>
      </c>
      <c r="T65">
        <f t="shared" si="9"/>
        <v>0</v>
      </c>
      <c r="U65">
        <f t="shared" si="10"/>
        <v>0</v>
      </c>
      <c r="V65">
        <f t="shared" si="11"/>
        <v>0</v>
      </c>
      <c r="W65" t="s">
        <v>58</v>
      </c>
      <c r="X65">
        <f t="shared" si="12"/>
        <v>0</v>
      </c>
      <c r="Y65">
        <f t="shared" si="13"/>
        <v>1</v>
      </c>
      <c r="Z65">
        <v>4</v>
      </c>
      <c r="AA65">
        <f t="shared" si="14"/>
        <v>0.75</v>
      </c>
      <c r="AB65" t="s">
        <v>46</v>
      </c>
      <c r="AC65">
        <f t="shared" si="15"/>
        <v>1</v>
      </c>
      <c r="AD65">
        <f t="shared" si="16"/>
        <v>0</v>
      </c>
      <c r="AE65" t="s">
        <v>50</v>
      </c>
      <c r="AF65">
        <f>IF(AE65="website",1,0)</f>
        <v>0</v>
      </c>
    </row>
    <row r="66" spans="1:32">
      <c r="A66" t="s">
        <v>250</v>
      </c>
      <c r="B66" t="s">
        <v>33</v>
      </c>
      <c r="C66" s="3">
        <f t="shared" ref="C66:C129" si="19">IF(B66="company",1,0)</f>
        <v>0</v>
      </c>
      <c r="D66">
        <f t="shared" ref="D66:D129" si="20">IF(B66="individual",1,0)</f>
        <v>1</v>
      </c>
      <c r="E66" t="s">
        <v>145</v>
      </c>
      <c r="F66" t="s">
        <v>251</v>
      </c>
      <c r="G66" s="1">
        <v>26384</v>
      </c>
      <c r="H66" s="2">
        <f t="shared" ref="H66:H129" ca="1" si="21">DATEDIF(G66,TODAY(),"Y")</f>
        <v>54</v>
      </c>
      <c r="I66" s="2">
        <f t="shared" ref="I66:I129" ca="1" si="22">(H66-MIN(H:H))/(MAX(H:H)-MIN(H:H))</f>
        <v>0.41428571428571431</v>
      </c>
      <c r="J66" t="s">
        <v>45</v>
      </c>
      <c r="K66" t="s">
        <v>37</v>
      </c>
      <c r="L66">
        <f t="shared" ref="L66:L129" si="23">IF(K66="usa",1,0)</f>
        <v>1</v>
      </c>
      <c r="M66">
        <f t="shared" ref="M66:M129" si="24">IF(K66="canada",1,0)</f>
        <v>0</v>
      </c>
      <c r="N66">
        <f t="shared" ref="N66:N129" si="25">IF(K66="germany",1,0)</f>
        <v>0</v>
      </c>
      <c r="O66" t="s">
        <v>38</v>
      </c>
      <c r="P66">
        <f t="shared" ref="P66:P129" si="26">IF(O66="california",1,0)</f>
        <v>1</v>
      </c>
      <c r="Q66">
        <f t="shared" ref="Q66:Q129" si="27">IF(O66="oregon",1,0)</f>
        <v>0</v>
      </c>
      <c r="R66">
        <f t="shared" ref="R66:R129" si="28">IF(O66="quebec",1,0)</f>
        <v>0</v>
      </c>
      <c r="S66">
        <f t="shared" ref="S66:S129" si="29">IF(O66="berlin",1,0)</f>
        <v>0</v>
      </c>
      <c r="T66">
        <f t="shared" ref="T66:T129" si="30">IF(O66="arizona",1,0)</f>
        <v>0</v>
      </c>
      <c r="U66">
        <f t="shared" ref="U66:U129" si="31">IF(O66="nevada",1,0)</f>
        <v>0</v>
      </c>
      <c r="V66">
        <f t="shared" ref="V66:V129" si="32">IF(O66="colardo",1,0)</f>
        <v>0</v>
      </c>
      <c r="W66" t="s">
        <v>39</v>
      </c>
      <c r="X66">
        <f t="shared" ref="X66:X129" si="33">IF(W66="home",1,0)</f>
        <v>1</v>
      </c>
      <c r="Y66">
        <f t="shared" ref="Y66:Y129" si="34">IF(W66="investment",1,0)</f>
        <v>0</v>
      </c>
      <c r="Z66">
        <v>1</v>
      </c>
      <c r="AA66">
        <f t="shared" ref="AA66:AA129" si="35">(Z66-1)/4</f>
        <v>0</v>
      </c>
      <c r="AB66" t="s">
        <v>46</v>
      </c>
      <c r="AC66">
        <f t="shared" ref="AC66:AC129" si="36">IF(AE66="agency",1,0)</f>
        <v>1</v>
      </c>
      <c r="AD66">
        <f t="shared" ref="AD66:AD129" si="37">IF(AE66="client",1,0)</f>
        <v>0</v>
      </c>
      <c r="AE66" t="s">
        <v>50</v>
      </c>
      <c r="AF66">
        <f>IF(AE66="website",1,0)</f>
        <v>0</v>
      </c>
    </row>
    <row r="67" spans="1:32">
      <c r="A67" t="s">
        <v>252</v>
      </c>
      <c r="B67" t="s">
        <v>33</v>
      </c>
      <c r="C67" s="3">
        <f t="shared" si="19"/>
        <v>0</v>
      </c>
      <c r="D67">
        <f t="shared" si="20"/>
        <v>1</v>
      </c>
      <c r="E67" t="s">
        <v>253</v>
      </c>
      <c r="F67" t="s">
        <v>254</v>
      </c>
      <c r="G67" s="1">
        <v>27388</v>
      </c>
      <c r="H67" s="2">
        <f t="shared" ca="1" si="21"/>
        <v>51</v>
      </c>
      <c r="I67" s="2">
        <f t="shared" ca="1" si="22"/>
        <v>0.37142857142857144</v>
      </c>
      <c r="J67" t="s">
        <v>36</v>
      </c>
      <c r="K67" t="s">
        <v>37</v>
      </c>
      <c r="L67">
        <f t="shared" si="23"/>
        <v>1</v>
      </c>
      <c r="M67">
        <f t="shared" si="24"/>
        <v>0</v>
      </c>
      <c r="N67">
        <f t="shared" si="25"/>
        <v>0</v>
      </c>
      <c r="O67" t="s">
        <v>38</v>
      </c>
      <c r="P67">
        <f t="shared" si="26"/>
        <v>1</v>
      </c>
      <c r="Q67">
        <f t="shared" si="27"/>
        <v>0</v>
      </c>
      <c r="R67">
        <f t="shared" si="28"/>
        <v>0</v>
      </c>
      <c r="S67">
        <f t="shared" si="29"/>
        <v>0</v>
      </c>
      <c r="T67">
        <f t="shared" si="30"/>
        <v>0</v>
      </c>
      <c r="U67">
        <f t="shared" si="31"/>
        <v>0</v>
      </c>
      <c r="V67">
        <f t="shared" si="32"/>
        <v>0</v>
      </c>
      <c r="W67" t="s">
        <v>58</v>
      </c>
      <c r="X67">
        <f t="shared" si="33"/>
        <v>0</v>
      </c>
      <c r="Y67">
        <f t="shared" si="34"/>
        <v>1</v>
      </c>
      <c r="Z67">
        <v>3</v>
      </c>
      <c r="AA67">
        <f t="shared" si="35"/>
        <v>0.5</v>
      </c>
      <c r="AB67" t="s">
        <v>46</v>
      </c>
      <c r="AC67">
        <f t="shared" si="36"/>
        <v>0</v>
      </c>
      <c r="AD67">
        <f t="shared" si="37"/>
        <v>1</v>
      </c>
      <c r="AE67" t="s">
        <v>90</v>
      </c>
      <c r="AF67">
        <f>IF(AE67="website",1,0)</f>
        <v>0</v>
      </c>
    </row>
    <row r="68" spans="1:32">
      <c r="A68" t="s">
        <v>255</v>
      </c>
      <c r="B68" t="s">
        <v>33</v>
      </c>
      <c r="C68" s="3">
        <f t="shared" si="19"/>
        <v>0</v>
      </c>
      <c r="D68">
        <f t="shared" si="20"/>
        <v>1</v>
      </c>
      <c r="E68" t="s">
        <v>256</v>
      </c>
      <c r="F68" t="s">
        <v>257</v>
      </c>
      <c r="G68" s="1">
        <v>28286</v>
      </c>
      <c r="H68" s="2">
        <f t="shared" ca="1" si="21"/>
        <v>49</v>
      </c>
      <c r="I68" s="2">
        <f t="shared" ca="1" si="22"/>
        <v>0.34285714285714286</v>
      </c>
      <c r="J68" t="s">
        <v>45</v>
      </c>
      <c r="K68" t="s">
        <v>37</v>
      </c>
      <c r="L68">
        <f t="shared" si="23"/>
        <v>1</v>
      </c>
      <c r="M68">
        <f t="shared" si="24"/>
        <v>0</v>
      </c>
      <c r="N68">
        <f t="shared" si="25"/>
        <v>0</v>
      </c>
      <c r="O68" t="s">
        <v>38</v>
      </c>
      <c r="P68">
        <f t="shared" si="26"/>
        <v>1</v>
      </c>
      <c r="Q68">
        <f t="shared" si="27"/>
        <v>0</v>
      </c>
      <c r="R68">
        <f t="shared" si="28"/>
        <v>0</v>
      </c>
      <c r="S68">
        <f t="shared" si="29"/>
        <v>0</v>
      </c>
      <c r="T68">
        <f t="shared" si="30"/>
        <v>0</v>
      </c>
      <c r="U68">
        <f t="shared" si="31"/>
        <v>0</v>
      </c>
      <c r="V68">
        <f t="shared" si="32"/>
        <v>0</v>
      </c>
      <c r="W68" t="s">
        <v>39</v>
      </c>
      <c r="X68">
        <f t="shared" si="33"/>
        <v>1</v>
      </c>
      <c r="Y68">
        <f t="shared" si="34"/>
        <v>0</v>
      </c>
      <c r="Z68">
        <v>2</v>
      </c>
      <c r="AA68">
        <f t="shared" si="35"/>
        <v>0.25</v>
      </c>
      <c r="AB68" t="s">
        <v>46</v>
      </c>
      <c r="AC68">
        <f t="shared" si="36"/>
        <v>0</v>
      </c>
      <c r="AD68">
        <f t="shared" si="37"/>
        <v>0</v>
      </c>
      <c r="AE68" t="s">
        <v>41</v>
      </c>
      <c r="AF68">
        <f>IF(AE68="website",1,0)</f>
        <v>1</v>
      </c>
    </row>
    <row r="69" spans="1:32">
      <c r="A69" t="s">
        <v>258</v>
      </c>
      <c r="B69" t="s">
        <v>33</v>
      </c>
      <c r="C69" s="3">
        <f t="shared" si="19"/>
        <v>0</v>
      </c>
      <c r="D69">
        <f t="shared" si="20"/>
        <v>1</v>
      </c>
      <c r="E69" t="s">
        <v>259</v>
      </c>
      <c r="F69" t="s">
        <v>260</v>
      </c>
      <c r="G69" s="1">
        <v>24164</v>
      </c>
      <c r="H69" s="2">
        <f t="shared" ca="1" si="21"/>
        <v>60</v>
      </c>
      <c r="I69" s="2">
        <f t="shared" ca="1" si="22"/>
        <v>0.5</v>
      </c>
      <c r="J69" t="s">
        <v>36</v>
      </c>
      <c r="K69" t="s">
        <v>37</v>
      </c>
      <c r="L69">
        <f t="shared" si="23"/>
        <v>1</v>
      </c>
      <c r="M69">
        <f t="shared" si="24"/>
        <v>0</v>
      </c>
      <c r="N69">
        <f t="shared" si="25"/>
        <v>0</v>
      </c>
      <c r="O69" t="s">
        <v>137</v>
      </c>
      <c r="P69">
        <f t="shared" si="26"/>
        <v>0</v>
      </c>
      <c r="Q69">
        <f t="shared" si="27"/>
        <v>0</v>
      </c>
      <c r="R69">
        <f t="shared" si="28"/>
        <v>0</v>
      </c>
      <c r="S69">
        <f t="shared" si="29"/>
        <v>0</v>
      </c>
      <c r="T69">
        <f t="shared" si="30"/>
        <v>0</v>
      </c>
      <c r="U69">
        <f t="shared" si="31"/>
        <v>0</v>
      </c>
      <c r="V69">
        <f t="shared" si="32"/>
        <v>0</v>
      </c>
      <c r="W69" t="s">
        <v>39</v>
      </c>
      <c r="X69">
        <f t="shared" si="33"/>
        <v>1</v>
      </c>
      <c r="Y69">
        <f t="shared" si="34"/>
        <v>0</v>
      </c>
      <c r="Z69">
        <v>5</v>
      </c>
      <c r="AA69">
        <f t="shared" si="35"/>
        <v>1</v>
      </c>
      <c r="AB69" t="s">
        <v>40</v>
      </c>
      <c r="AC69">
        <f t="shared" si="36"/>
        <v>1</v>
      </c>
      <c r="AD69">
        <f t="shared" si="37"/>
        <v>0</v>
      </c>
      <c r="AE69" t="s">
        <v>50</v>
      </c>
      <c r="AF69">
        <f>IF(AE69="website",1,0)</f>
        <v>0</v>
      </c>
    </row>
    <row r="70" spans="1:32">
      <c r="A70" t="s">
        <v>261</v>
      </c>
      <c r="B70" t="s">
        <v>33</v>
      </c>
      <c r="C70" s="3">
        <f t="shared" si="19"/>
        <v>0</v>
      </c>
      <c r="D70">
        <f t="shared" si="20"/>
        <v>1</v>
      </c>
      <c r="E70" t="s">
        <v>262</v>
      </c>
      <c r="F70" t="s">
        <v>263</v>
      </c>
      <c r="G70" s="1">
        <v>25659</v>
      </c>
      <c r="H70" s="2">
        <f t="shared" ca="1" si="21"/>
        <v>56</v>
      </c>
      <c r="I70" s="2">
        <f t="shared" ca="1" si="22"/>
        <v>0.44285714285714284</v>
      </c>
      <c r="J70" t="s">
        <v>45</v>
      </c>
      <c r="K70" t="s">
        <v>37</v>
      </c>
      <c r="L70">
        <f t="shared" si="23"/>
        <v>1</v>
      </c>
      <c r="M70">
        <f t="shared" si="24"/>
        <v>0</v>
      </c>
      <c r="N70">
        <f t="shared" si="25"/>
        <v>0</v>
      </c>
      <c r="O70" t="s">
        <v>38</v>
      </c>
      <c r="P70">
        <f t="shared" si="26"/>
        <v>1</v>
      </c>
      <c r="Q70">
        <f t="shared" si="27"/>
        <v>0</v>
      </c>
      <c r="R70">
        <f t="shared" si="28"/>
        <v>0</v>
      </c>
      <c r="S70">
        <f t="shared" si="29"/>
        <v>0</v>
      </c>
      <c r="T70">
        <f t="shared" si="30"/>
        <v>0</v>
      </c>
      <c r="U70">
        <f t="shared" si="31"/>
        <v>0</v>
      </c>
      <c r="V70">
        <f t="shared" si="32"/>
        <v>0</v>
      </c>
      <c r="W70" t="s">
        <v>58</v>
      </c>
      <c r="X70">
        <f t="shared" si="33"/>
        <v>0</v>
      </c>
      <c r="Y70">
        <f t="shared" si="34"/>
        <v>1</v>
      </c>
      <c r="Z70">
        <v>4</v>
      </c>
      <c r="AA70">
        <f t="shared" si="35"/>
        <v>0.75</v>
      </c>
      <c r="AB70" t="s">
        <v>46</v>
      </c>
      <c r="AC70">
        <f t="shared" si="36"/>
        <v>0</v>
      </c>
      <c r="AD70">
        <f t="shared" si="37"/>
        <v>0</v>
      </c>
      <c r="AE70" t="s">
        <v>41</v>
      </c>
      <c r="AF70">
        <f>IF(AE70="website",1,0)</f>
        <v>1</v>
      </c>
    </row>
    <row r="71" spans="1:32">
      <c r="A71" t="s">
        <v>264</v>
      </c>
      <c r="B71" t="s">
        <v>33</v>
      </c>
      <c r="C71" s="3">
        <f t="shared" si="19"/>
        <v>0</v>
      </c>
      <c r="D71">
        <f t="shared" si="20"/>
        <v>1</v>
      </c>
      <c r="E71" t="s">
        <v>265</v>
      </c>
      <c r="F71" t="s">
        <v>266</v>
      </c>
      <c r="G71" s="1">
        <v>17284</v>
      </c>
      <c r="H71" s="2">
        <f t="shared" ca="1" si="21"/>
        <v>79</v>
      </c>
      <c r="I71" s="2">
        <f t="shared" ca="1" si="22"/>
        <v>0.77142857142857146</v>
      </c>
      <c r="J71" t="s">
        <v>36</v>
      </c>
      <c r="K71" t="s">
        <v>37</v>
      </c>
      <c r="L71">
        <f t="shared" si="23"/>
        <v>1</v>
      </c>
      <c r="M71">
        <f t="shared" si="24"/>
        <v>0</v>
      </c>
      <c r="N71">
        <f t="shared" si="25"/>
        <v>0</v>
      </c>
      <c r="O71" t="s">
        <v>97</v>
      </c>
      <c r="P71">
        <f t="shared" si="26"/>
        <v>0</v>
      </c>
      <c r="Q71">
        <f t="shared" si="27"/>
        <v>0</v>
      </c>
      <c r="R71">
        <f t="shared" si="28"/>
        <v>0</v>
      </c>
      <c r="S71">
        <f t="shared" si="29"/>
        <v>0</v>
      </c>
      <c r="T71">
        <f t="shared" si="30"/>
        <v>1</v>
      </c>
      <c r="U71">
        <f t="shared" si="31"/>
        <v>0</v>
      </c>
      <c r="V71">
        <f t="shared" si="32"/>
        <v>0</v>
      </c>
      <c r="W71" t="s">
        <v>39</v>
      </c>
      <c r="X71">
        <f t="shared" si="33"/>
        <v>1</v>
      </c>
      <c r="Y71">
        <f t="shared" si="34"/>
        <v>0</v>
      </c>
      <c r="Z71">
        <v>4</v>
      </c>
      <c r="AA71">
        <f t="shared" si="35"/>
        <v>0.75</v>
      </c>
      <c r="AB71" t="s">
        <v>40</v>
      </c>
      <c r="AC71">
        <f t="shared" si="36"/>
        <v>0</v>
      </c>
      <c r="AD71">
        <f t="shared" si="37"/>
        <v>0</v>
      </c>
      <c r="AE71" t="s">
        <v>41</v>
      </c>
      <c r="AF71">
        <f>IF(AE71="website",1,0)</f>
        <v>1</v>
      </c>
    </row>
    <row r="72" spans="1:32">
      <c r="A72" t="s">
        <v>267</v>
      </c>
      <c r="B72" t="s">
        <v>33</v>
      </c>
      <c r="C72" s="3">
        <f t="shared" si="19"/>
        <v>0</v>
      </c>
      <c r="D72">
        <f t="shared" si="20"/>
        <v>1</v>
      </c>
      <c r="E72" t="s">
        <v>268</v>
      </c>
      <c r="F72" t="s">
        <v>269</v>
      </c>
      <c r="G72" s="1">
        <v>31408</v>
      </c>
      <c r="H72" s="2">
        <f t="shared" ca="1" si="21"/>
        <v>40</v>
      </c>
      <c r="I72" s="2">
        <f t="shared" ca="1" si="22"/>
        <v>0.21428571428571427</v>
      </c>
      <c r="J72" t="s">
        <v>45</v>
      </c>
      <c r="K72" t="s">
        <v>37</v>
      </c>
      <c r="L72">
        <f t="shared" si="23"/>
        <v>1</v>
      </c>
      <c r="M72">
        <f t="shared" si="24"/>
        <v>0</v>
      </c>
      <c r="N72">
        <f t="shared" si="25"/>
        <v>0</v>
      </c>
      <c r="O72" t="s">
        <v>38</v>
      </c>
      <c r="P72">
        <f t="shared" si="26"/>
        <v>1</v>
      </c>
      <c r="Q72">
        <f t="shared" si="27"/>
        <v>0</v>
      </c>
      <c r="R72">
        <f t="shared" si="28"/>
        <v>0</v>
      </c>
      <c r="S72">
        <f t="shared" si="29"/>
        <v>0</v>
      </c>
      <c r="T72">
        <f t="shared" si="30"/>
        <v>0</v>
      </c>
      <c r="U72">
        <f t="shared" si="31"/>
        <v>0</v>
      </c>
      <c r="V72">
        <f t="shared" si="32"/>
        <v>0</v>
      </c>
      <c r="W72" t="s">
        <v>39</v>
      </c>
      <c r="X72">
        <f t="shared" si="33"/>
        <v>1</v>
      </c>
      <c r="Y72">
        <f t="shared" si="34"/>
        <v>0</v>
      </c>
      <c r="Z72">
        <v>1</v>
      </c>
      <c r="AA72">
        <f t="shared" si="35"/>
        <v>0</v>
      </c>
      <c r="AB72" t="s">
        <v>40</v>
      </c>
      <c r="AC72">
        <f t="shared" si="36"/>
        <v>0</v>
      </c>
      <c r="AD72">
        <f t="shared" si="37"/>
        <v>1</v>
      </c>
      <c r="AE72" t="s">
        <v>90</v>
      </c>
      <c r="AF72">
        <f>IF(AE72="website",1,0)</f>
        <v>0</v>
      </c>
    </row>
    <row r="73" spans="1:32">
      <c r="A73" t="s">
        <v>270</v>
      </c>
      <c r="B73" t="s">
        <v>33</v>
      </c>
      <c r="C73" s="3">
        <f t="shared" si="19"/>
        <v>0</v>
      </c>
      <c r="D73">
        <f t="shared" si="20"/>
        <v>1</v>
      </c>
      <c r="E73" t="s">
        <v>271</v>
      </c>
      <c r="F73" t="s">
        <v>272</v>
      </c>
      <c r="G73" s="1">
        <v>19393</v>
      </c>
      <c r="H73" s="2">
        <f t="shared" ca="1" si="21"/>
        <v>73</v>
      </c>
      <c r="I73" s="2">
        <f t="shared" ca="1" si="22"/>
        <v>0.68571428571428572</v>
      </c>
      <c r="J73" t="s">
        <v>45</v>
      </c>
      <c r="K73" t="s">
        <v>37</v>
      </c>
      <c r="L73">
        <f t="shared" si="23"/>
        <v>1</v>
      </c>
      <c r="M73">
        <f t="shared" si="24"/>
        <v>0</v>
      </c>
      <c r="N73">
        <f t="shared" si="25"/>
        <v>0</v>
      </c>
      <c r="O73" t="s">
        <v>124</v>
      </c>
      <c r="P73">
        <f t="shared" si="26"/>
        <v>0</v>
      </c>
      <c r="Q73">
        <f t="shared" si="27"/>
        <v>0</v>
      </c>
      <c r="R73">
        <f t="shared" si="28"/>
        <v>0</v>
      </c>
      <c r="S73">
        <f t="shared" si="29"/>
        <v>0</v>
      </c>
      <c r="T73">
        <f t="shared" si="30"/>
        <v>0</v>
      </c>
      <c r="U73">
        <f t="shared" si="31"/>
        <v>1</v>
      </c>
      <c r="V73">
        <f t="shared" si="32"/>
        <v>0</v>
      </c>
      <c r="W73" t="s">
        <v>58</v>
      </c>
      <c r="X73">
        <f t="shared" si="33"/>
        <v>0</v>
      </c>
      <c r="Y73">
        <f t="shared" si="34"/>
        <v>1</v>
      </c>
      <c r="Z73">
        <v>2</v>
      </c>
      <c r="AA73">
        <f t="shared" si="35"/>
        <v>0.25</v>
      </c>
      <c r="AB73" t="s">
        <v>46</v>
      </c>
      <c r="AC73">
        <f t="shared" si="36"/>
        <v>0</v>
      </c>
      <c r="AD73">
        <f t="shared" si="37"/>
        <v>0</v>
      </c>
      <c r="AE73" t="s">
        <v>41</v>
      </c>
      <c r="AF73">
        <f>IF(AE73="website",1,0)</f>
        <v>1</v>
      </c>
    </row>
    <row r="74" spans="1:32">
      <c r="A74" t="s">
        <v>273</v>
      </c>
      <c r="B74" t="s">
        <v>33</v>
      </c>
      <c r="C74" s="3">
        <f t="shared" si="19"/>
        <v>0</v>
      </c>
      <c r="D74">
        <f t="shared" si="20"/>
        <v>1</v>
      </c>
      <c r="E74" t="s">
        <v>274</v>
      </c>
      <c r="F74" t="s">
        <v>275</v>
      </c>
      <c r="G74" s="1">
        <v>23753</v>
      </c>
      <c r="H74" s="2">
        <f t="shared" ca="1" si="21"/>
        <v>61</v>
      </c>
      <c r="I74" s="2">
        <f t="shared" ca="1" si="22"/>
        <v>0.51428571428571423</v>
      </c>
      <c r="J74" t="s">
        <v>36</v>
      </c>
      <c r="K74" t="s">
        <v>276</v>
      </c>
      <c r="L74">
        <f t="shared" si="23"/>
        <v>0</v>
      </c>
      <c r="M74">
        <f t="shared" si="24"/>
        <v>0</v>
      </c>
      <c r="N74">
        <f t="shared" si="25"/>
        <v>0</v>
      </c>
      <c r="O74" t="s">
        <v>277</v>
      </c>
      <c r="P74">
        <f t="shared" si="26"/>
        <v>0</v>
      </c>
      <c r="Q74">
        <f t="shared" si="27"/>
        <v>0</v>
      </c>
      <c r="R74">
        <f t="shared" si="28"/>
        <v>0</v>
      </c>
      <c r="S74">
        <f t="shared" si="29"/>
        <v>0</v>
      </c>
      <c r="T74">
        <f t="shared" si="30"/>
        <v>0</v>
      </c>
      <c r="U74">
        <f t="shared" si="31"/>
        <v>0</v>
      </c>
      <c r="V74">
        <f t="shared" si="32"/>
        <v>0</v>
      </c>
      <c r="W74" t="s">
        <v>58</v>
      </c>
      <c r="X74">
        <f t="shared" si="33"/>
        <v>0</v>
      </c>
      <c r="Y74">
        <f t="shared" si="34"/>
        <v>1</v>
      </c>
      <c r="Z74">
        <v>1</v>
      </c>
      <c r="AA74">
        <f t="shared" si="35"/>
        <v>0</v>
      </c>
      <c r="AB74" t="s">
        <v>46</v>
      </c>
      <c r="AC74">
        <f t="shared" si="36"/>
        <v>1</v>
      </c>
      <c r="AD74">
        <f t="shared" si="37"/>
        <v>0</v>
      </c>
      <c r="AE74" t="s">
        <v>50</v>
      </c>
      <c r="AF74">
        <f>IF(AE74="website",1,0)</f>
        <v>0</v>
      </c>
    </row>
    <row r="75" spans="1:32">
      <c r="A75" t="s">
        <v>278</v>
      </c>
      <c r="B75" t="s">
        <v>33</v>
      </c>
      <c r="C75" s="3">
        <f t="shared" si="19"/>
        <v>0</v>
      </c>
      <c r="D75">
        <f t="shared" si="20"/>
        <v>1</v>
      </c>
      <c r="E75" t="s">
        <v>279</v>
      </c>
      <c r="F75" t="s">
        <v>280</v>
      </c>
      <c r="G75" s="1">
        <v>21551</v>
      </c>
      <c r="H75" s="2">
        <f t="shared" ca="1" si="21"/>
        <v>67</v>
      </c>
      <c r="I75" s="2">
        <f t="shared" ca="1" si="22"/>
        <v>0.6</v>
      </c>
      <c r="J75" t="s">
        <v>36</v>
      </c>
      <c r="K75" t="s">
        <v>37</v>
      </c>
      <c r="L75">
        <f t="shared" si="23"/>
        <v>1</v>
      </c>
      <c r="M75">
        <f t="shared" si="24"/>
        <v>0</v>
      </c>
      <c r="N75">
        <f t="shared" si="25"/>
        <v>0</v>
      </c>
      <c r="O75" t="s">
        <v>76</v>
      </c>
      <c r="P75">
        <f t="shared" si="26"/>
        <v>0</v>
      </c>
      <c r="Q75">
        <f t="shared" si="27"/>
        <v>1</v>
      </c>
      <c r="R75">
        <f t="shared" si="28"/>
        <v>0</v>
      </c>
      <c r="S75">
        <f t="shared" si="29"/>
        <v>0</v>
      </c>
      <c r="T75">
        <f t="shared" si="30"/>
        <v>0</v>
      </c>
      <c r="U75">
        <f t="shared" si="31"/>
        <v>0</v>
      </c>
      <c r="V75">
        <f t="shared" si="32"/>
        <v>0</v>
      </c>
      <c r="W75" t="s">
        <v>58</v>
      </c>
      <c r="X75">
        <f t="shared" si="33"/>
        <v>0</v>
      </c>
      <c r="Y75">
        <f t="shared" si="34"/>
        <v>1</v>
      </c>
      <c r="Z75">
        <v>5</v>
      </c>
      <c r="AA75">
        <f t="shared" si="35"/>
        <v>1</v>
      </c>
      <c r="AB75" t="s">
        <v>46</v>
      </c>
      <c r="AC75">
        <f t="shared" si="36"/>
        <v>0</v>
      </c>
      <c r="AD75">
        <f t="shared" si="37"/>
        <v>1</v>
      </c>
      <c r="AE75" t="s">
        <v>90</v>
      </c>
      <c r="AF75">
        <f>IF(AE75="website",1,0)</f>
        <v>0</v>
      </c>
    </row>
    <row r="76" spans="1:32">
      <c r="A76" t="s">
        <v>281</v>
      </c>
      <c r="B76" t="s">
        <v>33</v>
      </c>
      <c r="C76" s="3">
        <f t="shared" si="19"/>
        <v>0</v>
      </c>
      <c r="D76">
        <f t="shared" si="20"/>
        <v>1</v>
      </c>
      <c r="E76" t="s">
        <v>282</v>
      </c>
      <c r="F76" t="s">
        <v>283</v>
      </c>
      <c r="G76" s="1">
        <v>25693</v>
      </c>
      <c r="H76" s="2">
        <f t="shared" ca="1" si="21"/>
        <v>56</v>
      </c>
      <c r="I76" s="2">
        <f t="shared" ca="1" si="22"/>
        <v>0.44285714285714284</v>
      </c>
      <c r="J76" t="s">
        <v>36</v>
      </c>
      <c r="K76" t="s">
        <v>37</v>
      </c>
      <c r="L76">
        <f t="shared" si="23"/>
        <v>1</v>
      </c>
      <c r="M76">
        <f t="shared" si="24"/>
        <v>0</v>
      </c>
      <c r="N76">
        <f t="shared" si="25"/>
        <v>0</v>
      </c>
      <c r="O76" t="s">
        <v>38</v>
      </c>
      <c r="P76">
        <f t="shared" si="26"/>
        <v>1</v>
      </c>
      <c r="Q76">
        <f t="shared" si="27"/>
        <v>0</v>
      </c>
      <c r="R76">
        <f t="shared" si="28"/>
        <v>0</v>
      </c>
      <c r="S76">
        <f t="shared" si="29"/>
        <v>0</v>
      </c>
      <c r="T76">
        <f t="shared" si="30"/>
        <v>0</v>
      </c>
      <c r="U76">
        <f t="shared" si="31"/>
        <v>0</v>
      </c>
      <c r="V76">
        <f t="shared" si="32"/>
        <v>0</v>
      </c>
      <c r="W76" t="s">
        <v>39</v>
      </c>
      <c r="X76">
        <f t="shared" si="33"/>
        <v>1</v>
      </c>
      <c r="Y76">
        <f t="shared" si="34"/>
        <v>0</v>
      </c>
      <c r="Z76">
        <v>3</v>
      </c>
      <c r="AA76">
        <f t="shared" si="35"/>
        <v>0.5</v>
      </c>
      <c r="AB76" t="s">
        <v>46</v>
      </c>
      <c r="AC76">
        <f t="shared" si="36"/>
        <v>0</v>
      </c>
      <c r="AD76">
        <f t="shared" si="37"/>
        <v>0</v>
      </c>
      <c r="AE76" t="s">
        <v>41</v>
      </c>
      <c r="AF76">
        <f>IF(AE76="website",1,0)</f>
        <v>1</v>
      </c>
    </row>
    <row r="77" spans="1:32">
      <c r="A77" t="s">
        <v>284</v>
      </c>
      <c r="B77" t="s">
        <v>33</v>
      </c>
      <c r="C77" s="3">
        <f t="shared" si="19"/>
        <v>0</v>
      </c>
      <c r="D77">
        <f t="shared" si="20"/>
        <v>1</v>
      </c>
      <c r="E77" t="s">
        <v>285</v>
      </c>
      <c r="F77" t="s">
        <v>286</v>
      </c>
      <c r="G77" s="1">
        <v>20527</v>
      </c>
      <c r="H77" s="2">
        <f t="shared" ca="1" si="21"/>
        <v>70</v>
      </c>
      <c r="I77" s="2">
        <f t="shared" ca="1" si="22"/>
        <v>0.6428571428571429</v>
      </c>
      <c r="J77" t="s">
        <v>45</v>
      </c>
      <c r="K77" t="s">
        <v>37</v>
      </c>
      <c r="L77">
        <f t="shared" si="23"/>
        <v>1</v>
      </c>
      <c r="M77">
        <f t="shared" si="24"/>
        <v>0</v>
      </c>
      <c r="N77">
        <f t="shared" si="25"/>
        <v>0</v>
      </c>
      <c r="O77" t="s">
        <v>38</v>
      </c>
      <c r="P77">
        <f t="shared" si="26"/>
        <v>1</v>
      </c>
      <c r="Q77">
        <f t="shared" si="27"/>
        <v>0</v>
      </c>
      <c r="R77">
        <f t="shared" si="28"/>
        <v>0</v>
      </c>
      <c r="S77">
        <f t="shared" si="29"/>
        <v>0</v>
      </c>
      <c r="T77">
        <f t="shared" si="30"/>
        <v>0</v>
      </c>
      <c r="U77">
        <f t="shared" si="31"/>
        <v>0</v>
      </c>
      <c r="V77">
        <f t="shared" si="32"/>
        <v>0</v>
      </c>
      <c r="W77" t="s">
        <v>39</v>
      </c>
      <c r="X77">
        <f t="shared" si="33"/>
        <v>1</v>
      </c>
      <c r="Y77">
        <f t="shared" si="34"/>
        <v>0</v>
      </c>
      <c r="Z77">
        <v>5</v>
      </c>
      <c r="AA77">
        <f t="shared" si="35"/>
        <v>1</v>
      </c>
      <c r="AB77" t="s">
        <v>46</v>
      </c>
      <c r="AC77">
        <f t="shared" si="36"/>
        <v>1</v>
      </c>
      <c r="AD77">
        <f t="shared" si="37"/>
        <v>0</v>
      </c>
      <c r="AE77" t="s">
        <v>50</v>
      </c>
      <c r="AF77">
        <f>IF(AE77="website",1,0)</f>
        <v>0</v>
      </c>
    </row>
    <row r="78" spans="1:32">
      <c r="A78" t="s">
        <v>287</v>
      </c>
      <c r="B78" t="s">
        <v>33</v>
      </c>
      <c r="C78" s="3">
        <f t="shared" si="19"/>
        <v>0</v>
      </c>
      <c r="D78">
        <f t="shared" si="20"/>
        <v>1</v>
      </c>
      <c r="E78" t="s">
        <v>288</v>
      </c>
      <c r="F78" t="s">
        <v>289</v>
      </c>
      <c r="G78" s="1">
        <v>29478</v>
      </c>
      <c r="H78" s="2">
        <f t="shared" ca="1" si="21"/>
        <v>46</v>
      </c>
      <c r="I78" s="2">
        <f t="shared" ca="1" si="22"/>
        <v>0.3</v>
      </c>
      <c r="J78" t="s">
        <v>45</v>
      </c>
      <c r="K78" t="s">
        <v>37</v>
      </c>
      <c r="L78">
        <f t="shared" si="23"/>
        <v>1</v>
      </c>
      <c r="M78">
        <f t="shared" si="24"/>
        <v>0</v>
      </c>
      <c r="N78">
        <f t="shared" si="25"/>
        <v>0</v>
      </c>
      <c r="O78" t="s">
        <v>38</v>
      </c>
      <c r="P78">
        <f t="shared" si="26"/>
        <v>1</v>
      </c>
      <c r="Q78">
        <f t="shared" si="27"/>
        <v>0</v>
      </c>
      <c r="R78">
        <f t="shared" si="28"/>
        <v>0</v>
      </c>
      <c r="S78">
        <f t="shared" si="29"/>
        <v>0</v>
      </c>
      <c r="T78">
        <f t="shared" si="30"/>
        <v>0</v>
      </c>
      <c r="U78">
        <f t="shared" si="31"/>
        <v>0</v>
      </c>
      <c r="V78">
        <f t="shared" si="32"/>
        <v>0</v>
      </c>
      <c r="W78" t="s">
        <v>39</v>
      </c>
      <c r="X78">
        <f t="shared" si="33"/>
        <v>1</v>
      </c>
      <c r="Y78">
        <f t="shared" si="34"/>
        <v>0</v>
      </c>
      <c r="Z78">
        <v>5</v>
      </c>
      <c r="AA78">
        <f t="shared" si="35"/>
        <v>1</v>
      </c>
      <c r="AB78" t="s">
        <v>46</v>
      </c>
      <c r="AC78">
        <f t="shared" si="36"/>
        <v>0</v>
      </c>
      <c r="AD78">
        <f t="shared" si="37"/>
        <v>0</v>
      </c>
      <c r="AE78" t="s">
        <v>41</v>
      </c>
      <c r="AF78">
        <f>IF(AE78="website",1,0)</f>
        <v>1</v>
      </c>
    </row>
    <row r="79" spans="1:32">
      <c r="A79" t="s">
        <v>290</v>
      </c>
      <c r="B79" t="s">
        <v>33</v>
      </c>
      <c r="C79" s="3">
        <f t="shared" si="19"/>
        <v>0</v>
      </c>
      <c r="D79">
        <f t="shared" si="20"/>
        <v>1</v>
      </c>
      <c r="E79" t="s">
        <v>291</v>
      </c>
      <c r="F79" t="s">
        <v>292</v>
      </c>
      <c r="G79" s="1">
        <v>17646</v>
      </c>
      <c r="H79" s="2">
        <f t="shared" ca="1" si="21"/>
        <v>78</v>
      </c>
      <c r="I79" s="2">
        <f t="shared" ca="1" si="22"/>
        <v>0.75714285714285712</v>
      </c>
      <c r="J79" t="s">
        <v>36</v>
      </c>
      <c r="K79" t="s">
        <v>37</v>
      </c>
      <c r="L79">
        <f t="shared" si="23"/>
        <v>1</v>
      </c>
      <c r="M79">
        <f t="shared" si="24"/>
        <v>0</v>
      </c>
      <c r="N79">
        <f t="shared" si="25"/>
        <v>0</v>
      </c>
      <c r="O79" t="s">
        <v>38</v>
      </c>
      <c r="P79">
        <f t="shared" si="26"/>
        <v>1</v>
      </c>
      <c r="Q79">
        <f t="shared" si="27"/>
        <v>0</v>
      </c>
      <c r="R79">
        <f t="shared" si="28"/>
        <v>0</v>
      </c>
      <c r="S79">
        <f t="shared" si="29"/>
        <v>0</v>
      </c>
      <c r="T79">
        <f t="shared" si="30"/>
        <v>0</v>
      </c>
      <c r="U79">
        <f t="shared" si="31"/>
        <v>0</v>
      </c>
      <c r="V79">
        <f t="shared" si="32"/>
        <v>0</v>
      </c>
      <c r="W79" t="s">
        <v>39</v>
      </c>
      <c r="X79">
        <f t="shared" si="33"/>
        <v>1</v>
      </c>
      <c r="Y79">
        <f t="shared" si="34"/>
        <v>0</v>
      </c>
      <c r="Z79">
        <v>5</v>
      </c>
      <c r="AA79">
        <f t="shared" si="35"/>
        <v>1</v>
      </c>
      <c r="AB79" t="s">
        <v>46</v>
      </c>
      <c r="AC79">
        <f t="shared" si="36"/>
        <v>0</v>
      </c>
      <c r="AD79">
        <f t="shared" si="37"/>
        <v>0</v>
      </c>
      <c r="AE79" t="s">
        <v>41</v>
      </c>
      <c r="AF79">
        <f>IF(AE79="website",1,0)</f>
        <v>1</v>
      </c>
    </row>
    <row r="80" spans="1:32">
      <c r="A80" t="s">
        <v>293</v>
      </c>
      <c r="B80" t="s">
        <v>33</v>
      </c>
      <c r="C80" s="3">
        <f t="shared" si="19"/>
        <v>0</v>
      </c>
      <c r="D80">
        <f t="shared" si="20"/>
        <v>1</v>
      </c>
      <c r="E80" t="s">
        <v>294</v>
      </c>
      <c r="F80" t="s">
        <v>295</v>
      </c>
      <c r="G80" s="1">
        <v>19782</v>
      </c>
      <c r="H80" s="2">
        <f t="shared" ca="1" si="21"/>
        <v>72</v>
      </c>
      <c r="I80" s="2">
        <f t="shared" ca="1" si="22"/>
        <v>0.67142857142857137</v>
      </c>
      <c r="J80" t="s">
        <v>45</v>
      </c>
      <c r="K80" t="s">
        <v>153</v>
      </c>
      <c r="L80">
        <f t="shared" si="23"/>
        <v>0</v>
      </c>
      <c r="M80">
        <f t="shared" si="24"/>
        <v>0</v>
      </c>
      <c r="N80">
        <f t="shared" si="25"/>
        <v>0</v>
      </c>
      <c r="O80" t="s">
        <v>154</v>
      </c>
      <c r="P80">
        <f t="shared" si="26"/>
        <v>0</v>
      </c>
      <c r="Q80">
        <f t="shared" si="27"/>
        <v>0</v>
      </c>
      <c r="R80">
        <f t="shared" si="28"/>
        <v>0</v>
      </c>
      <c r="S80">
        <f t="shared" si="29"/>
        <v>0</v>
      </c>
      <c r="T80">
        <f t="shared" si="30"/>
        <v>0</v>
      </c>
      <c r="U80">
        <f t="shared" si="31"/>
        <v>0</v>
      </c>
      <c r="V80">
        <f t="shared" si="32"/>
        <v>0</v>
      </c>
      <c r="W80" t="s">
        <v>58</v>
      </c>
      <c r="X80">
        <f t="shared" si="33"/>
        <v>0</v>
      </c>
      <c r="Y80">
        <f t="shared" si="34"/>
        <v>1</v>
      </c>
      <c r="Z80">
        <v>4</v>
      </c>
      <c r="AA80">
        <f t="shared" si="35"/>
        <v>0.75</v>
      </c>
      <c r="AB80" t="s">
        <v>46</v>
      </c>
      <c r="AC80">
        <f t="shared" si="36"/>
        <v>0</v>
      </c>
      <c r="AD80">
        <f t="shared" si="37"/>
        <v>0</v>
      </c>
      <c r="AE80" t="s">
        <v>41</v>
      </c>
      <c r="AF80">
        <f>IF(AE80="website",1,0)</f>
        <v>1</v>
      </c>
    </row>
    <row r="81" spans="1:32">
      <c r="A81" t="s">
        <v>296</v>
      </c>
      <c r="B81" t="s">
        <v>33</v>
      </c>
      <c r="C81" s="3">
        <f t="shared" si="19"/>
        <v>0</v>
      </c>
      <c r="D81">
        <f t="shared" si="20"/>
        <v>1</v>
      </c>
      <c r="E81" t="s">
        <v>297</v>
      </c>
      <c r="F81" t="s">
        <v>298</v>
      </c>
      <c r="G81" s="1">
        <v>17914</v>
      </c>
      <c r="H81" s="2">
        <f t="shared" ca="1" si="21"/>
        <v>77</v>
      </c>
      <c r="I81" s="2">
        <f t="shared" ca="1" si="22"/>
        <v>0.74285714285714288</v>
      </c>
      <c r="J81" t="s">
        <v>36</v>
      </c>
      <c r="K81" t="s">
        <v>37</v>
      </c>
      <c r="L81">
        <f t="shared" si="23"/>
        <v>1</v>
      </c>
      <c r="M81">
        <f t="shared" si="24"/>
        <v>0</v>
      </c>
      <c r="N81">
        <f t="shared" si="25"/>
        <v>0</v>
      </c>
      <c r="O81" t="s">
        <v>38</v>
      </c>
      <c r="P81">
        <f t="shared" si="26"/>
        <v>1</v>
      </c>
      <c r="Q81">
        <f t="shared" si="27"/>
        <v>0</v>
      </c>
      <c r="R81">
        <f t="shared" si="28"/>
        <v>0</v>
      </c>
      <c r="S81">
        <f t="shared" si="29"/>
        <v>0</v>
      </c>
      <c r="T81">
        <f t="shared" si="30"/>
        <v>0</v>
      </c>
      <c r="U81">
        <f t="shared" si="31"/>
        <v>0</v>
      </c>
      <c r="V81">
        <f t="shared" si="32"/>
        <v>0</v>
      </c>
      <c r="W81" t="s">
        <v>58</v>
      </c>
      <c r="X81">
        <f t="shared" si="33"/>
        <v>0</v>
      </c>
      <c r="Y81">
        <f t="shared" si="34"/>
        <v>1</v>
      </c>
      <c r="Z81">
        <v>3</v>
      </c>
      <c r="AA81">
        <f t="shared" si="35"/>
        <v>0.5</v>
      </c>
      <c r="AB81" t="s">
        <v>46</v>
      </c>
      <c r="AC81">
        <f t="shared" si="36"/>
        <v>0</v>
      </c>
      <c r="AD81">
        <f t="shared" si="37"/>
        <v>0</v>
      </c>
      <c r="AE81" t="s">
        <v>41</v>
      </c>
      <c r="AF81">
        <f>IF(AE81="website",1,0)</f>
        <v>1</v>
      </c>
    </row>
    <row r="82" spans="1:32">
      <c r="A82" t="s">
        <v>299</v>
      </c>
      <c r="B82" t="s">
        <v>33</v>
      </c>
      <c r="C82" s="3">
        <f t="shared" si="19"/>
        <v>0</v>
      </c>
      <c r="D82">
        <f t="shared" si="20"/>
        <v>1</v>
      </c>
      <c r="E82" t="s">
        <v>300</v>
      </c>
      <c r="F82" t="s">
        <v>301</v>
      </c>
      <c r="G82" s="1">
        <v>15911</v>
      </c>
      <c r="H82" s="2">
        <f t="shared" ca="1" si="21"/>
        <v>83</v>
      </c>
      <c r="I82" s="2">
        <f t="shared" ca="1" si="22"/>
        <v>0.82857142857142863</v>
      </c>
      <c r="J82" t="s">
        <v>36</v>
      </c>
      <c r="K82" t="s">
        <v>37</v>
      </c>
      <c r="L82">
        <f t="shared" si="23"/>
        <v>1</v>
      </c>
      <c r="M82">
        <f t="shared" si="24"/>
        <v>0</v>
      </c>
      <c r="N82">
        <f t="shared" si="25"/>
        <v>0</v>
      </c>
      <c r="O82" t="s">
        <v>38</v>
      </c>
      <c r="P82">
        <f t="shared" si="26"/>
        <v>1</v>
      </c>
      <c r="Q82">
        <f t="shared" si="27"/>
        <v>0</v>
      </c>
      <c r="R82">
        <f t="shared" si="28"/>
        <v>0</v>
      </c>
      <c r="S82">
        <f t="shared" si="29"/>
        <v>0</v>
      </c>
      <c r="T82">
        <f t="shared" si="30"/>
        <v>0</v>
      </c>
      <c r="U82">
        <f t="shared" si="31"/>
        <v>0</v>
      </c>
      <c r="V82">
        <f t="shared" si="32"/>
        <v>0</v>
      </c>
      <c r="W82" t="s">
        <v>39</v>
      </c>
      <c r="X82">
        <f t="shared" si="33"/>
        <v>1</v>
      </c>
      <c r="Y82">
        <f t="shared" si="34"/>
        <v>0</v>
      </c>
      <c r="Z82">
        <v>4</v>
      </c>
      <c r="AA82">
        <f t="shared" si="35"/>
        <v>0.75</v>
      </c>
      <c r="AB82" t="s">
        <v>40</v>
      </c>
      <c r="AC82">
        <f t="shared" si="36"/>
        <v>0</v>
      </c>
      <c r="AD82">
        <f t="shared" si="37"/>
        <v>0</v>
      </c>
      <c r="AE82" t="s">
        <v>41</v>
      </c>
      <c r="AF82">
        <f>IF(AE82="website",1,0)</f>
        <v>1</v>
      </c>
    </row>
    <row r="83" spans="1:32">
      <c r="A83" t="s">
        <v>302</v>
      </c>
      <c r="B83" t="s">
        <v>33</v>
      </c>
      <c r="C83" s="3">
        <f t="shared" si="19"/>
        <v>0</v>
      </c>
      <c r="D83">
        <f t="shared" si="20"/>
        <v>1</v>
      </c>
      <c r="E83" t="s">
        <v>303</v>
      </c>
      <c r="F83" t="s">
        <v>304</v>
      </c>
      <c r="G83" s="1">
        <v>29946</v>
      </c>
      <c r="H83" s="2">
        <f t="shared" ca="1" si="21"/>
        <v>44</v>
      </c>
      <c r="I83" s="2">
        <f t="shared" ca="1" si="22"/>
        <v>0.27142857142857141</v>
      </c>
      <c r="J83" t="s">
        <v>36</v>
      </c>
      <c r="K83" t="s">
        <v>37</v>
      </c>
      <c r="L83">
        <f t="shared" si="23"/>
        <v>1</v>
      </c>
      <c r="M83">
        <f t="shared" si="24"/>
        <v>0</v>
      </c>
      <c r="N83">
        <f t="shared" si="25"/>
        <v>0</v>
      </c>
      <c r="O83" t="s">
        <v>305</v>
      </c>
      <c r="P83">
        <f t="shared" si="26"/>
        <v>0</v>
      </c>
      <c r="Q83">
        <f t="shared" si="27"/>
        <v>0</v>
      </c>
      <c r="R83">
        <f t="shared" si="28"/>
        <v>0</v>
      </c>
      <c r="S83">
        <f t="shared" si="29"/>
        <v>0</v>
      </c>
      <c r="T83">
        <f t="shared" si="30"/>
        <v>0</v>
      </c>
      <c r="U83">
        <f t="shared" si="31"/>
        <v>0</v>
      </c>
      <c r="V83">
        <f t="shared" si="32"/>
        <v>0</v>
      </c>
      <c r="W83" t="s">
        <v>58</v>
      </c>
      <c r="X83">
        <f t="shared" si="33"/>
        <v>0</v>
      </c>
      <c r="Y83">
        <f t="shared" si="34"/>
        <v>1</v>
      </c>
      <c r="Z83">
        <v>5</v>
      </c>
      <c r="AA83">
        <f t="shared" si="35"/>
        <v>1</v>
      </c>
      <c r="AB83" t="s">
        <v>46</v>
      </c>
      <c r="AC83">
        <f t="shared" si="36"/>
        <v>0</v>
      </c>
      <c r="AD83">
        <f t="shared" si="37"/>
        <v>1</v>
      </c>
      <c r="AE83" t="s">
        <v>90</v>
      </c>
      <c r="AF83">
        <f>IF(AE83="website",1,0)</f>
        <v>0</v>
      </c>
    </row>
    <row r="84" spans="1:32">
      <c r="A84" t="s">
        <v>306</v>
      </c>
      <c r="B84" t="s">
        <v>33</v>
      </c>
      <c r="C84" s="3">
        <f t="shared" si="19"/>
        <v>0</v>
      </c>
      <c r="D84">
        <f t="shared" si="20"/>
        <v>1</v>
      </c>
      <c r="E84" t="s">
        <v>307</v>
      </c>
      <c r="F84" t="s">
        <v>308</v>
      </c>
      <c r="G84" s="1">
        <v>14182</v>
      </c>
      <c r="H84" s="2">
        <f t="shared" ca="1" si="21"/>
        <v>87</v>
      </c>
      <c r="I84" s="2">
        <f t="shared" ca="1" si="22"/>
        <v>0.88571428571428568</v>
      </c>
      <c r="J84" t="s">
        <v>45</v>
      </c>
      <c r="K84" t="s">
        <v>37</v>
      </c>
      <c r="L84">
        <f t="shared" si="23"/>
        <v>1</v>
      </c>
      <c r="M84">
        <f t="shared" si="24"/>
        <v>0</v>
      </c>
      <c r="N84">
        <f t="shared" si="25"/>
        <v>0</v>
      </c>
      <c r="O84" t="s">
        <v>38</v>
      </c>
      <c r="P84">
        <f t="shared" si="26"/>
        <v>1</v>
      </c>
      <c r="Q84">
        <f t="shared" si="27"/>
        <v>0</v>
      </c>
      <c r="R84">
        <f t="shared" si="28"/>
        <v>0</v>
      </c>
      <c r="S84">
        <f t="shared" si="29"/>
        <v>0</v>
      </c>
      <c r="T84">
        <f t="shared" si="30"/>
        <v>0</v>
      </c>
      <c r="U84">
        <f t="shared" si="31"/>
        <v>0</v>
      </c>
      <c r="V84">
        <f t="shared" si="32"/>
        <v>0</v>
      </c>
      <c r="W84" t="s">
        <v>39</v>
      </c>
      <c r="X84">
        <f t="shared" si="33"/>
        <v>1</v>
      </c>
      <c r="Y84">
        <f t="shared" si="34"/>
        <v>0</v>
      </c>
      <c r="Z84">
        <v>5</v>
      </c>
      <c r="AA84">
        <f t="shared" si="35"/>
        <v>1</v>
      </c>
      <c r="AB84" t="s">
        <v>46</v>
      </c>
      <c r="AC84">
        <f t="shared" si="36"/>
        <v>0</v>
      </c>
      <c r="AD84">
        <f t="shared" si="37"/>
        <v>0</v>
      </c>
      <c r="AE84" t="s">
        <v>41</v>
      </c>
      <c r="AF84">
        <f>IF(AE84="website",1,0)</f>
        <v>1</v>
      </c>
    </row>
    <row r="85" spans="1:32">
      <c r="A85" t="s">
        <v>309</v>
      </c>
      <c r="B85" t="s">
        <v>33</v>
      </c>
      <c r="C85" s="3">
        <f t="shared" si="19"/>
        <v>0</v>
      </c>
      <c r="D85">
        <f t="shared" si="20"/>
        <v>1</v>
      </c>
      <c r="E85" t="s">
        <v>310</v>
      </c>
      <c r="F85" t="s">
        <v>311</v>
      </c>
      <c r="G85" s="1">
        <v>17586</v>
      </c>
      <c r="H85" s="2">
        <f t="shared" ca="1" si="21"/>
        <v>78</v>
      </c>
      <c r="I85" s="2">
        <f t="shared" ca="1" si="22"/>
        <v>0.75714285714285712</v>
      </c>
      <c r="J85" t="s">
        <v>45</v>
      </c>
      <c r="K85" t="s">
        <v>37</v>
      </c>
      <c r="L85">
        <f t="shared" si="23"/>
        <v>1</v>
      </c>
      <c r="M85">
        <f t="shared" si="24"/>
        <v>0</v>
      </c>
      <c r="N85">
        <f t="shared" si="25"/>
        <v>0</v>
      </c>
      <c r="O85" t="s">
        <v>312</v>
      </c>
      <c r="P85">
        <f t="shared" si="26"/>
        <v>0</v>
      </c>
      <c r="Q85">
        <f t="shared" si="27"/>
        <v>0</v>
      </c>
      <c r="R85">
        <f t="shared" si="28"/>
        <v>0</v>
      </c>
      <c r="S85">
        <f t="shared" si="29"/>
        <v>0</v>
      </c>
      <c r="T85">
        <f t="shared" si="30"/>
        <v>0</v>
      </c>
      <c r="U85">
        <f t="shared" si="31"/>
        <v>0</v>
      </c>
      <c r="V85">
        <f t="shared" si="32"/>
        <v>0</v>
      </c>
      <c r="W85" t="s">
        <v>39</v>
      </c>
      <c r="X85">
        <f t="shared" si="33"/>
        <v>1</v>
      </c>
      <c r="Y85">
        <f t="shared" si="34"/>
        <v>0</v>
      </c>
      <c r="Z85">
        <v>3</v>
      </c>
      <c r="AA85">
        <f t="shared" si="35"/>
        <v>0.5</v>
      </c>
      <c r="AB85" t="s">
        <v>46</v>
      </c>
      <c r="AC85">
        <f t="shared" si="36"/>
        <v>1</v>
      </c>
      <c r="AD85">
        <f t="shared" si="37"/>
        <v>0</v>
      </c>
      <c r="AE85" t="s">
        <v>50</v>
      </c>
      <c r="AF85">
        <f>IF(AE85="website",1,0)</f>
        <v>0</v>
      </c>
    </row>
    <row r="86" spans="1:32">
      <c r="A86" t="s">
        <v>313</v>
      </c>
      <c r="B86" t="s">
        <v>33</v>
      </c>
      <c r="C86" s="3">
        <f t="shared" si="19"/>
        <v>0</v>
      </c>
      <c r="D86">
        <f t="shared" si="20"/>
        <v>1</v>
      </c>
      <c r="E86" t="s">
        <v>314</v>
      </c>
      <c r="F86" t="s">
        <v>315</v>
      </c>
      <c r="G86" s="1">
        <v>24364</v>
      </c>
      <c r="H86" s="2">
        <f t="shared" ca="1" si="21"/>
        <v>60</v>
      </c>
      <c r="I86" s="2">
        <f t="shared" ca="1" si="22"/>
        <v>0.5</v>
      </c>
      <c r="J86" t="s">
        <v>45</v>
      </c>
      <c r="K86" t="s">
        <v>37</v>
      </c>
      <c r="L86">
        <f t="shared" si="23"/>
        <v>1</v>
      </c>
      <c r="M86">
        <f t="shared" si="24"/>
        <v>0</v>
      </c>
      <c r="N86">
        <f t="shared" si="25"/>
        <v>0</v>
      </c>
      <c r="O86" t="s">
        <v>38</v>
      </c>
      <c r="P86">
        <f t="shared" si="26"/>
        <v>1</v>
      </c>
      <c r="Q86">
        <f t="shared" si="27"/>
        <v>0</v>
      </c>
      <c r="R86">
        <f t="shared" si="28"/>
        <v>0</v>
      </c>
      <c r="S86">
        <f t="shared" si="29"/>
        <v>0</v>
      </c>
      <c r="T86">
        <f t="shared" si="30"/>
        <v>0</v>
      </c>
      <c r="U86">
        <f t="shared" si="31"/>
        <v>0</v>
      </c>
      <c r="V86">
        <f t="shared" si="32"/>
        <v>0</v>
      </c>
      <c r="W86" t="s">
        <v>39</v>
      </c>
      <c r="X86">
        <f t="shared" si="33"/>
        <v>1</v>
      </c>
      <c r="Y86">
        <f t="shared" si="34"/>
        <v>0</v>
      </c>
      <c r="Z86">
        <v>4</v>
      </c>
      <c r="AA86">
        <f t="shared" si="35"/>
        <v>0.75</v>
      </c>
      <c r="AB86" t="s">
        <v>40</v>
      </c>
      <c r="AC86">
        <f t="shared" si="36"/>
        <v>1</v>
      </c>
      <c r="AD86">
        <f t="shared" si="37"/>
        <v>0</v>
      </c>
      <c r="AE86" t="s">
        <v>50</v>
      </c>
      <c r="AF86">
        <f>IF(AE86="website",1,0)</f>
        <v>0</v>
      </c>
    </row>
    <row r="87" spans="1:32">
      <c r="A87" t="s">
        <v>316</v>
      </c>
      <c r="B87" t="s">
        <v>33</v>
      </c>
      <c r="C87" s="3">
        <f t="shared" si="19"/>
        <v>0</v>
      </c>
      <c r="D87">
        <f t="shared" si="20"/>
        <v>1</v>
      </c>
      <c r="E87" t="s">
        <v>317</v>
      </c>
      <c r="F87" t="s">
        <v>318</v>
      </c>
      <c r="G87" s="1">
        <v>25192</v>
      </c>
      <c r="H87" s="2">
        <f t="shared" ca="1" si="21"/>
        <v>57</v>
      </c>
      <c r="I87" s="2">
        <f t="shared" ca="1" si="22"/>
        <v>0.45714285714285713</v>
      </c>
      <c r="J87" t="s">
        <v>36</v>
      </c>
      <c r="K87" t="s">
        <v>37</v>
      </c>
      <c r="L87">
        <f t="shared" si="23"/>
        <v>1</v>
      </c>
      <c r="M87">
        <f t="shared" si="24"/>
        <v>0</v>
      </c>
      <c r="N87">
        <f t="shared" si="25"/>
        <v>0</v>
      </c>
      <c r="O87" t="s">
        <v>38</v>
      </c>
      <c r="P87">
        <f t="shared" si="26"/>
        <v>1</v>
      </c>
      <c r="Q87">
        <f t="shared" si="27"/>
        <v>0</v>
      </c>
      <c r="R87">
        <f t="shared" si="28"/>
        <v>0</v>
      </c>
      <c r="S87">
        <f t="shared" si="29"/>
        <v>0</v>
      </c>
      <c r="T87">
        <f t="shared" si="30"/>
        <v>0</v>
      </c>
      <c r="U87">
        <f t="shared" si="31"/>
        <v>0</v>
      </c>
      <c r="V87">
        <f t="shared" si="32"/>
        <v>0</v>
      </c>
      <c r="W87" t="s">
        <v>39</v>
      </c>
      <c r="X87">
        <f t="shared" si="33"/>
        <v>1</v>
      </c>
      <c r="Y87">
        <f t="shared" si="34"/>
        <v>0</v>
      </c>
      <c r="Z87">
        <v>3</v>
      </c>
      <c r="AA87">
        <f t="shared" si="35"/>
        <v>0.5</v>
      </c>
      <c r="AB87" t="s">
        <v>40</v>
      </c>
      <c r="AC87">
        <f t="shared" si="36"/>
        <v>0</v>
      </c>
      <c r="AD87">
        <f t="shared" si="37"/>
        <v>0</v>
      </c>
      <c r="AE87" t="s">
        <v>41</v>
      </c>
      <c r="AF87">
        <f>IF(AE87="website",1,0)</f>
        <v>1</v>
      </c>
    </row>
    <row r="88" spans="1:32">
      <c r="A88" t="s">
        <v>319</v>
      </c>
      <c r="B88" t="s">
        <v>33</v>
      </c>
      <c r="C88" s="3">
        <f t="shared" si="19"/>
        <v>0</v>
      </c>
      <c r="D88">
        <f t="shared" si="20"/>
        <v>1</v>
      </c>
      <c r="E88" t="s">
        <v>320</v>
      </c>
      <c r="F88" t="s">
        <v>321</v>
      </c>
      <c r="G88" s="1">
        <v>28990</v>
      </c>
      <c r="H88" s="2">
        <f t="shared" ca="1" si="21"/>
        <v>47</v>
      </c>
      <c r="I88" s="2">
        <f t="shared" ca="1" si="22"/>
        <v>0.31428571428571428</v>
      </c>
      <c r="J88" t="s">
        <v>36</v>
      </c>
      <c r="K88" t="s">
        <v>37</v>
      </c>
      <c r="L88">
        <f t="shared" si="23"/>
        <v>1</v>
      </c>
      <c r="M88">
        <f t="shared" si="24"/>
        <v>0</v>
      </c>
      <c r="N88">
        <f t="shared" si="25"/>
        <v>0</v>
      </c>
      <c r="O88" t="s">
        <v>38</v>
      </c>
      <c r="P88">
        <f t="shared" si="26"/>
        <v>1</v>
      </c>
      <c r="Q88">
        <f t="shared" si="27"/>
        <v>0</v>
      </c>
      <c r="R88">
        <f t="shared" si="28"/>
        <v>0</v>
      </c>
      <c r="S88">
        <f t="shared" si="29"/>
        <v>0</v>
      </c>
      <c r="T88">
        <f t="shared" si="30"/>
        <v>0</v>
      </c>
      <c r="U88">
        <f t="shared" si="31"/>
        <v>0</v>
      </c>
      <c r="V88">
        <f t="shared" si="32"/>
        <v>0</v>
      </c>
      <c r="W88" t="s">
        <v>39</v>
      </c>
      <c r="X88">
        <f t="shared" si="33"/>
        <v>1</v>
      </c>
      <c r="Y88">
        <f t="shared" si="34"/>
        <v>0</v>
      </c>
      <c r="Z88">
        <v>4</v>
      </c>
      <c r="AA88">
        <f t="shared" si="35"/>
        <v>0.75</v>
      </c>
      <c r="AB88" t="s">
        <v>46</v>
      </c>
      <c r="AC88">
        <f t="shared" si="36"/>
        <v>1</v>
      </c>
      <c r="AD88">
        <f t="shared" si="37"/>
        <v>0</v>
      </c>
      <c r="AE88" t="s">
        <v>50</v>
      </c>
      <c r="AF88">
        <f>IF(AE88="website",1,0)</f>
        <v>0</v>
      </c>
    </row>
    <row r="89" spans="1:32">
      <c r="A89" t="s">
        <v>322</v>
      </c>
      <c r="B89" t="s">
        <v>33</v>
      </c>
      <c r="C89" s="3">
        <f t="shared" si="19"/>
        <v>0</v>
      </c>
      <c r="D89">
        <f t="shared" si="20"/>
        <v>1</v>
      </c>
      <c r="E89" t="s">
        <v>323</v>
      </c>
      <c r="F89" t="s">
        <v>324</v>
      </c>
      <c r="G89" s="1">
        <v>13375</v>
      </c>
      <c r="H89" s="2">
        <f t="shared" ca="1" si="21"/>
        <v>90</v>
      </c>
      <c r="I89" s="2">
        <f t="shared" ca="1" si="22"/>
        <v>0.9285714285714286</v>
      </c>
      <c r="J89" t="s">
        <v>45</v>
      </c>
      <c r="K89" t="s">
        <v>37</v>
      </c>
      <c r="L89">
        <f t="shared" si="23"/>
        <v>1</v>
      </c>
      <c r="M89">
        <f t="shared" si="24"/>
        <v>0</v>
      </c>
      <c r="N89">
        <f t="shared" si="25"/>
        <v>0</v>
      </c>
      <c r="O89" t="s">
        <v>76</v>
      </c>
      <c r="P89">
        <f t="shared" si="26"/>
        <v>0</v>
      </c>
      <c r="Q89">
        <f t="shared" si="27"/>
        <v>1</v>
      </c>
      <c r="R89">
        <f t="shared" si="28"/>
        <v>0</v>
      </c>
      <c r="S89">
        <f t="shared" si="29"/>
        <v>0</v>
      </c>
      <c r="T89">
        <f t="shared" si="30"/>
        <v>0</v>
      </c>
      <c r="U89">
        <f t="shared" si="31"/>
        <v>0</v>
      </c>
      <c r="V89">
        <f t="shared" si="32"/>
        <v>0</v>
      </c>
      <c r="W89" t="s">
        <v>58</v>
      </c>
      <c r="X89">
        <f t="shared" si="33"/>
        <v>0</v>
      </c>
      <c r="Y89">
        <f t="shared" si="34"/>
        <v>1</v>
      </c>
      <c r="Z89">
        <v>2</v>
      </c>
      <c r="AA89">
        <f t="shared" si="35"/>
        <v>0.25</v>
      </c>
      <c r="AB89" t="s">
        <v>46</v>
      </c>
      <c r="AC89">
        <f t="shared" si="36"/>
        <v>0</v>
      </c>
      <c r="AD89">
        <f t="shared" si="37"/>
        <v>0</v>
      </c>
      <c r="AE89" t="s">
        <v>41</v>
      </c>
      <c r="AF89">
        <f>IF(AE89="website",1,0)</f>
        <v>1</v>
      </c>
    </row>
    <row r="90" spans="1:32">
      <c r="A90" t="s">
        <v>325</v>
      </c>
      <c r="B90" t="s">
        <v>33</v>
      </c>
      <c r="C90" s="3">
        <f t="shared" si="19"/>
        <v>0</v>
      </c>
      <c r="D90">
        <f t="shared" si="20"/>
        <v>1</v>
      </c>
      <c r="E90" t="s">
        <v>326</v>
      </c>
      <c r="F90" t="s">
        <v>327</v>
      </c>
      <c r="G90" s="1">
        <v>18216</v>
      </c>
      <c r="H90" s="2">
        <f t="shared" ca="1" si="21"/>
        <v>76</v>
      </c>
      <c r="I90" s="2">
        <f t="shared" ca="1" si="22"/>
        <v>0.72857142857142854</v>
      </c>
      <c r="J90" t="s">
        <v>45</v>
      </c>
      <c r="K90" t="s">
        <v>37</v>
      </c>
      <c r="L90">
        <f t="shared" si="23"/>
        <v>1</v>
      </c>
      <c r="M90">
        <f t="shared" si="24"/>
        <v>0</v>
      </c>
      <c r="N90">
        <f t="shared" si="25"/>
        <v>0</v>
      </c>
      <c r="O90" t="s">
        <v>38</v>
      </c>
      <c r="P90">
        <f t="shared" si="26"/>
        <v>1</v>
      </c>
      <c r="Q90">
        <f t="shared" si="27"/>
        <v>0</v>
      </c>
      <c r="R90">
        <f t="shared" si="28"/>
        <v>0</v>
      </c>
      <c r="S90">
        <f t="shared" si="29"/>
        <v>0</v>
      </c>
      <c r="T90">
        <f t="shared" si="30"/>
        <v>0</v>
      </c>
      <c r="U90">
        <f t="shared" si="31"/>
        <v>0</v>
      </c>
      <c r="V90">
        <f t="shared" si="32"/>
        <v>0</v>
      </c>
      <c r="W90" t="s">
        <v>39</v>
      </c>
      <c r="X90">
        <f t="shared" si="33"/>
        <v>1</v>
      </c>
      <c r="Y90">
        <f t="shared" si="34"/>
        <v>0</v>
      </c>
      <c r="Z90">
        <v>3</v>
      </c>
      <c r="AA90">
        <f t="shared" si="35"/>
        <v>0.5</v>
      </c>
      <c r="AB90" t="s">
        <v>46</v>
      </c>
      <c r="AC90">
        <f t="shared" si="36"/>
        <v>1</v>
      </c>
      <c r="AD90">
        <f t="shared" si="37"/>
        <v>0</v>
      </c>
      <c r="AE90" t="s">
        <v>50</v>
      </c>
      <c r="AF90">
        <f>IF(AE90="website",1,0)</f>
        <v>0</v>
      </c>
    </row>
    <row r="91" spans="1:32">
      <c r="A91" t="s">
        <v>328</v>
      </c>
      <c r="B91" t="s">
        <v>33</v>
      </c>
      <c r="C91" s="3">
        <f t="shared" si="19"/>
        <v>0</v>
      </c>
      <c r="D91">
        <f t="shared" si="20"/>
        <v>1</v>
      </c>
      <c r="E91" t="s">
        <v>329</v>
      </c>
      <c r="F91" t="s">
        <v>330</v>
      </c>
      <c r="G91" s="1">
        <v>30098</v>
      </c>
      <c r="H91" s="2">
        <f t="shared" ca="1" si="21"/>
        <v>44</v>
      </c>
      <c r="I91" s="2">
        <f t="shared" ca="1" si="22"/>
        <v>0.27142857142857141</v>
      </c>
      <c r="J91" t="s">
        <v>45</v>
      </c>
      <c r="K91" t="s">
        <v>37</v>
      </c>
      <c r="L91">
        <f t="shared" si="23"/>
        <v>1</v>
      </c>
      <c r="M91">
        <f t="shared" si="24"/>
        <v>0</v>
      </c>
      <c r="N91">
        <f t="shared" si="25"/>
        <v>0</v>
      </c>
      <c r="O91" t="s">
        <v>38</v>
      </c>
      <c r="P91">
        <f t="shared" si="26"/>
        <v>1</v>
      </c>
      <c r="Q91">
        <f t="shared" si="27"/>
        <v>0</v>
      </c>
      <c r="R91">
        <f t="shared" si="28"/>
        <v>0</v>
      </c>
      <c r="S91">
        <f t="shared" si="29"/>
        <v>0</v>
      </c>
      <c r="T91">
        <f t="shared" si="30"/>
        <v>0</v>
      </c>
      <c r="U91">
        <f t="shared" si="31"/>
        <v>0</v>
      </c>
      <c r="V91">
        <f t="shared" si="32"/>
        <v>0</v>
      </c>
      <c r="W91" t="s">
        <v>39</v>
      </c>
      <c r="X91">
        <f t="shared" si="33"/>
        <v>1</v>
      </c>
      <c r="Y91">
        <f t="shared" si="34"/>
        <v>0</v>
      </c>
      <c r="Z91">
        <v>5</v>
      </c>
      <c r="AA91">
        <f t="shared" si="35"/>
        <v>1</v>
      </c>
      <c r="AB91" t="s">
        <v>46</v>
      </c>
      <c r="AC91">
        <f t="shared" si="36"/>
        <v>0</v>
      </c>
      <c r="AD91">
        <f t="shared" si="37"/>
        <v>1</v>
      </c>
      <c r="AE91" t="s">
        <v>90</v>
      </c>
      <c r="AF91">
        <f>IF(AE91="website",1,0)</f>
        <v>0</v>
      </c>
    </row>
    <row r="92" spans="1:32">
      <c r="A92" t="s">
        <v>331</v>
      </c>
      <c r="B92" t="s">
        <v>33</v>
      </c>
      <c r="C92" s="3">
        <f t="shared" si="19"/>
        <v>0</v>
      </c>
      <c r="D92">
        <f t="shared" si="20"/>
        <v>1</v>
      </c>
      <c r="E92" t="s">
        <v>332</v>
      </c>
      <c r="F92" t="s">
        <v>129</v>
      </c>
      <c r="G92" s="1">
        <v>21867</v>
      </c>
      <c r="H92" s="2">
        <f t="shared" ca="1" si="21"/>
        <v>66</v>
      </c>
      <c r="I92" s="2">
        <f t="shared" ca="1" si="22"/>
        <v>0.58571428571428574</v>
      </c>
      <c r="J92" t="s">
        <v>36</v>
      </c>
      <c r="K92" t="s">
        <v>37</v>
      </c>
      <c r="L92">
        <f t="shared" si="23"/>
        <v>1</v>
      </c>
      <c r="M92">
        <f t="shared" si="24"/>
        <v>0</v>
      </c>
      <c r="N92">
        <f t="shared" si="25"/>
        <v>0</v>
      </c>
      <c r="O92" t="s">
        <v>38</v>
      </c>
      <c r="P92">
        <f t="shared" si="26"/>
        <v>1</v>
      </c>
      <c r="Q92">
        <f t="shared" si="27"/>
        <v>0</v>
      </c>
      <c r="R92">
        <f t="shared" si="28"/>
        <v>0</v>
      </c>
      <c r="S92">
        <f t="shared" si="29"/>
        <v>0</v>
      </c>
      <c r="T92">
        <f t="shared" si="30"/>
        <v>0</v>
      </c>
      <c r="U92">
        <f t="shared" si="31"/>
        <v>0</v>
      </c>
      <c r="V92">
        <f t="shared" si="32"/>
        <v>0</v>
      </c>
      <c r="W92" t="s">
        <v>39</v>
      </c>
      <c r="X92">
        <f t="shared" si="33"/>
        <v>1</v>
      </c>
      <c r="Y92">
        <f t="shared" si="34"/>
        <v>0</v>
      </c>
      <c r="Z92">
        <v>4</v>
      </c>
      <c r="AA92">
        <f t="shared" si="35"/>
        <v>0.75</v>
      </c>
      <c r="AB92" t="s">
        <v>46</v>
      </c>
      <c r="AC92">
        <f t="shared" si="36"/>
        <v>0</v>
      </c>
      <c r="AD92">
        <f t="shared" si="37"/>
        <v>0</v>
      </c>
      <c r="AE92" t="s">
        <v>41</v>
      </c>
      <c r="AF92">
        <f>IF(AE92="website",1,0)</f>
        <v>1</v>
      </c>
    </row>
    <row r="93" spans="1:32">
      <c r="A93" t="s">
        <v>333</v>
      </c>
      <c r="B93" t="s">
        <v>33</v>
      </c>
      <c r="C93" s="3">
        <f t="shared" si="19"/>
        <v>0</v>
      </c>
      <c r="D93">
        <f t="shared" si="20"/>
        <v>1</v>
      </c>
      <c r="E93" t="s">
        <v>334</v>
      </c>
      <c r="F93" t="s">
        <v>335</v>
      </c>
      <c r="G93" s="1">
        <v>26082</v>
      </c>
      <c r="H93" s="2">
        <f t="shared" ca="1" si="21"/>
        <v>55</v>
      </c>
      <c r="I93" s="2">
        <f t="shared" ca="1" si="22"/>
        <v>0.42857142857142855</v>
      </c>
      <c r="J93" t="s">
        <v>45</v>
      </c>
      <c r="K93" t="s">
        <v>37</v>
      </c>
      <c r="L93">
        <f t="shared" si="23"/>
        <v>1</v>
      </c>
      <c r="M93">
        <f t="shared" si="24"/>
        <v>0</v>
      </c>
      <c r="N93">
        <f t="shared" si="25"/>
        <v>0</v>
      </c>
      <c r="O93" t="s">
        <v>336</v>
      </c>
      <c r="P93">
        <f t="shared" si="26"/>
        <v>0</v>
      </c>
      <c r="Q93">
        <f t="shared" si="27"/>
        <v>0</v>
      </c>
      <c r="R93">
        <f t="shared" si="28"/>
        <v>0</v>
      </c>
      <c r="S93">
        <f t="shared" si="29"/>
        <v>0</v>
      </c>
      <c r="T93">
        <f t="shared" si="30"/>
        <v>0</v>
      </c>
      <c r="U93">
        <f t="shared" si="31"/>
        <v>0</v>
      </c>
      <c r="V93">
        <f t="shared" si="32"/>
        <v>0</v>
      </c>
      <c r="W93" t="s">
        <v>39</v>
      </c>
      <c r="X93">
        <f t="shared" si="33"/>
        <v>1</v>
      </c>
      <c r="Y93">
        <f t="shared" si="34"/>
        <v>0</v>
      </c>
      <c r="Z93">
        <v>3</v>
      </c>
      <c r="AA93">
        <f t="shared" si="35"/>
        <v>0.5</v>
      </c>
      <c r="AB93" t="s">
        <v>46</v>
      </c>
      <c r="AC93">
        <f t="shared" si="36"/>
        <v>0</v>
      </c>
      <c r="AD93">
        <f t="shared" si="37"/>
        <v>0</v>
      </c>
      <c r="AE93" t="s">
        <v>41</v>
      </c>
      <c r="AF93">
        <f>IF(AE93="website",1,0)</f>
        <v>1</v>
      </c>
    </row>
    <row r="94" spans="1:32">
      <c r="A94" t="s">
        <v>337</v>
      </c>
      <c r="B94" t="s">
        <v>33</v>
      </c>
      <c r="C94" s="3">
        <f t="shared" si="19"/>
        <v>0</v>
      </c>
      <c r="D94">
        <f t="shared" si="20"/>
        <v>1</v>
      </c>
      <c r="E94" t="s">
        <v>338</v>
      </c>
      <c r="F94" t="s">
        <v>339</v>
      </c>
      <c r="G94" s="1">
        <v>22900</v>
      </c>
      <c r="H94" s="2">
        <f t="shared" ca="1" si="21"/>
        <v>64</v>
      </c>
      <c r="I94" s="2">
        <f t="shared" ca="1" si="22"/>
        <v>0.55714285714285716</v>
      </c>
      <c r="J94" t="s">
        <v>45</v>
      </c>
      <c r="K94" t="s">
        <v>37</v>
      </c>
      <c r="L94">
        <f t="shared" si="23"/>
        <v>1</v>
      </c>
      <c r="M94">
        <f t="shared" si="24"/>
        <v>0</v>
      </c>
      <c r="N94">
        <f t="shared" si="25"/>
        <v>0</v>
      </c>
      <c r="O94" t="s">
        <v>38</v>
      </c>
      <c r="P94">
        <f t="shared" si="26"/>
        <v>1</v>
      </c>
      <c r="Q94">
        <f t="shared" si="27"/>
        <v>0</v>
      </c>
      <c r="R94">
        <f t="shared" si="28"/>
        <v>0</v>
      </c>
      <c r="S94">
        <f t="shared" si="29"/>
        <v>0</v>
      </c>
      <c r="T94">
        <f t="shared" si="30"/>
        <v>0</v>
      </c>
      <c r="U94">
        <f t="shared" si="31"/>
        <v>0</v>
      </c>
      <c r="V94">
        <f t="shared" si="32"/>
        <v>0</v>
      </c>
      <c r="W94" t="s">
        <v>39</v>
      </c>
      <c r="X94">
        <f t="shared" si="33"/>
        <v>1</v>
      </c>
      <c r="Y94">
        <f t="shared" si="34"/>
        <v>0</v>
      </c>
      <c r="Z94">
        <v>2</v>
      </c>
      <c r="AA94">
        <f t="shared" si="35"/>
        <v>0.25</v>
      </c>
      <c r="AB94" t="s">
        <v>46</v>
      </c>
      <c r="AC94">
        <f t="shared" si="36"/>
        <v>1</v>
      </c>
      <c r="AD94">
        <f t="shared" si="37"/>
        <v>0</v>
      </c>
      <c r="AE94" t="s">
        <v>50</v>
      </c>
      <c r="AF94">
        <f>IF(AE94="website",1,0)</f>
        <v>0</v>
      </c>
    </row>
    <row r="95" spans="1:32">
      <c r="A95" t="s">
        <v>340</v>
      </c>
      <c r="B95" t="s">
        <v>33</v>
      </c>
      <c r="C95" s="3">
        <f t="shared" si="19"/>
        <v>0</v>
      </c>
      <c r="D95">
        <f t="shared" si="20"/>
        <v>1</v>
      </c>
      <c r="E95" t="s">
        <v>341</v>
      </c>
      <c r="F95" t="s">
        <v>342</v>
      </c>
      <c r="G95" s="1">
        <v>17646</v>
      </c>
      <c r="H95" s="2">
        <f t="shared" ca="1" si="21"/>
        <v>78</v>
      </c>
      <c r="I95" s="2">
        <f t="shared" ca="1" si="22"/>
        <v>0.75714285714285712</v>
      </c>
      <c r="J95" t="s">
        <v>36</v>
      </c>
      <c r="K95" t="s">
        <v>37</v>
      </c>
      <c r="L95">
        <f t="shared" si="23"/>
        <v>1</v>
      </c>
      <c r="M95">
        <f t="shared" si="24"/>
        <v>0</v>
      </c>
      <c r="N95">
        <f t="shared" si="25"/>
        <v>0</v>
      </c>
      <c r="O95" t="s">
        <v>38</v>
      </c>
      <c r="P95">
        <f t="shared" si="26"/>
        <v>1</v>
      </c>
      <c r="Q95">
        <f t="shared" si="27"/>
        <v>0</v>
      </c>
      <c r="R95">
        <f t="shared" si="28"/>
        <v>0</v>
      </c>
      <c r="S95">
        <f t="shared" si="29"/>
        <v>0</v>
      </c>
      <c r="T95">
        <f t="shared" si="30"/>
        <v>0</v>
      </c>
      <c r="U95">
        <f t="shared" si="31"/>
        <v>0</v>
      </c>
      <c r="V95">
        <f t="shared" si="32"/>
        <v>0</v>
      </c>
      <c r="W95" t="s">
        <v>39</v>
      </c>
      <c r="X95">
        <f t="shared" si="33"/>
        <v>1</v>
      </c>
      <c r="Y95">
        <f t="shared" si="34"/>
        <v>0</v>
      </c>
      <c r="Z95">
        <v>5</v>
      </c>
      <c r="AA95">
        <f t="shared" si="35"/>
        <v>1</v>
      </c>
      <c r="AB95" t="s">
        <v>46</v>
      </c>
      <c r="AC95">
        <f t="shared" si="36"/>
        <v>0</v>
      </c>
      <c r="AD95">
        <f t="shared" si="37"/>
        <v>0</v>
      </c>
      <c r="AE95" t="s">
        <v>41</v>
      </c>
      <c r="AF95">
        <f>IF(AE95="website",1,0)</f>
        <v>1</v>
      </c>
    </row>
    <row r="96" spans="1:32">
      <c r="A96" t="s">
        <v>343</v>
      </c>
      <c r="B96" t="s">
        <v>33</v>
      </c>
      <c r="C96" s="3">
        <f t="shared" si="19"/>
        <v>0</v>
      </c>
      <c r="D96">
        <f t="shared" si="20"/>
        <v>1</v>
      </c>
      <c r="E96" t="s">
        <v>344</v>
      </c>
      <c r="F96" t="s">
        <v>345</v>
      </c>
      <c r="G96" s="1">
        <v>23452</v>
      </c>
      <c r="H96" s="2">
        <f t="shared" ca="1" si="21"/>
        <v>62</v>
      </c>
      <c r="I96" s="2">
        <f t="shared" ca="1" si="22"/>
        <v>0.52857142857142858</v>
      </c>
      <c r="J96" t="s">
        <v>45</v>
      </c>
      <c r="K96" t="s">
        <v>37</v>
      </c>
      <c r="L96">
        <f t="shared" si="23"/>
        <v>1</v>
      </c>
      <c r="M96">
        <f t="shared" si="24"/>
        <v>0</v>
      </c>
      <c r="N96">
        <f t="shared" si="25"/>
        <v>0</v>
      </c>
      <c r="O96" t="s">
        <v>38</v>
      </c>
      <c r="P96">
        <f t="shared" si="26"/>
        <v>1</v>
      </c>
      <c r="Q96">
        <f t="shared" si="27"/>
        <v>0</v>
      </c>
      <c r="R96">
        <f t="shared" si="28"/>
        <v>0</v>
      </c>
      <c r="S96">
        <f t="shared" si="29"/>
        <v>0</v>
      </c>
      <c r="T96">
        <f t="shared" si="30"/>
        <v>0</v>
      </c>
      <c r="U96">
        <f t="shared" si="31"/>
        <v>0</v>
      </c>
      <c r="V96">
        <f t="shared" si="32"/>
        <v>0</v>
      </c>
      <c r="W96" t="s">
        <v>39</v>
      </c>
      <c r="X96">
        <f t="shared" si="33"/>
        <v>1</v>
      </c>
      <c r="Y96">
        <f t="shared" si="34"/>
        <v>0</v>
      </c>
      <c r="Z96">
        <v>3</v>
      </c>
      <c r="AA96">
        <f t="shared" si="35"/>
        <v>0.5</v>
      </c>
      <c r="AB96" t="s">
        <v>40</v>
      </c>
      <c r="AC96">
        <f t="shared" si="36"/>
        <v>1</v>
      </c>
      <c r="AD96">
        <f t="shared" si="37"/>
        <v>0</v>
      </c>
      <c r="AE96" t="s">
        <v>50</v>
      </c>
      <c r="AF96">
        <f>IF(AE96="website",1,0)</f>
        <v>0</v>
      </c>
    </row>
    <row r="97" spans="1:32">
      <c r="A97" t="s">
        <v>346</v>
      </c>
      <c r="B97" t="s">
        <v>33</v>
      </c>
      <c r="C97" s="3">
        <f t="shared" si="19"/>
        <v>0</v>
      </c>
      <c r="D97">
        <f t="shared" si="20"/>
        <v>1</v>
      </c>
      <c r="E97" t="s">
        <v>347</v>
      </c>
      <c r="F97" t="s">
        <v>348</v>
      </c>
      <c r="G97" s="1">
        <v>31408</v>
      </c>
      <c r="H97" s="2">
        <f t="shared" ca="1" si="21"/>
        <v>40</v>
      </c>
      <c r="I97" s="2">
        <f t="shared" ca="1" si="22"/>
        <v>0.21428571428571427</v>
      </c>
      <c r="J97" t="s">
        <v>45</v>
      </c>
      <c r="K97" t="s">
        <v>37</v>
      </c>
      <c r="L97">
        <f t="shared" si="23"/>
        <v>1</v>
      </c>
      <c r="M97">
        <f t="shared" si="24"/>
        <v>0</v>
      </c>
      <c r="N97">
        <f t="shared" si="25"/>
        <v>0</v>
      </c>
      <c r="O97" t="s">
        <v>38</v>
      </c>
      <c r="P97">
        <f t="shared" si="26"/>
        <v>1</v>
      </c>
      <c r="Q97">
        <f t="shared" si="27"/>
        <v>0</v>
      </c>
      <c r="R97">
        <f t="shared" si="28"/>
        <v>0</v>
      </c>
      <c r="S97">
        <f t="shared" si="29"/>
        <v>0</v>
      </c>
      <c r="T97">
        <f t="shared" si="30"/>
        <v>0</v>
      </c>
      <c r="U97">
        <f t="shared" si="31"/>
        <v>0</v>
      </c>
      <c r="V97">
        <f t="shared" si="32"/>
        <v>0</v>
      </c>
      <c r="W97" t="s">
        <v>58</v>
      </c>
      <c r="X97">
        <f t="shared" si="33"/>
        <v>0</v>
      </c>
      <c r="Y97">
        <f t="shared" si="34"/>
        <v>1</v>
      </c>
      <c r="Z97">
        <v>3</v>
      </c>
      <c r="AA97">
        <f t="shared" si="35"/>
        <v>0.5</v>
      </c>
      <c r="AB97" t="s">
        <v>40</v>
      </c>
      <c r="AC97">
        <f t="shared" si="36"/>
        <v>0</v>
      </c>
      <c r="AD97">
        <f t="shared" si="37"/>
        <v>0</v>
      </c>
      <c r="AE97" t="s">
        <v>41</v>
      </c>
      <c r="AF97">
        <f>IF(AE97="website",1,0)</f>
        <v>1</v>
      </c>
    </row>
    <row r="98" spans="1:32">
      <c r="A98" t="s">
        <v>349</v>
      </c>
      <c r="B98" t="s">
        <v>33</v>
      </c>
      <c r="C98" s="3">
        <f t="shared" si="19"/>
        <v>0</v>
      </c>
      <c r="D98">
        <f t="shared" si="20"/>
        <v>1</v>
      </c>
      <c r="E98" t="s">
        <v>350</v>
      </c>
      <c r="F98" t="s">
        <v>351</v>
      </c>
      <c r="G98" s="1">
        <v>15875</v>
      </c>
      <c r="H98" s="2">
        <f t="shared" ca="1" si="21"/>
        <v>83</v>
      </c>
      <c r="I98" s="2">
        <f t="shared" ca="1" si="22"/>
        <v>0.82857142857142863</v>
      </c>
      <c r="J98" t="s">
        <v>45</v>
      </c>
      <c r="K98" t="s">
        <v>37</v>
      </c>
      <c r="L98">
        <f t="shared" si="23"/>
        <v>1</v>
      </c>
      <c r="M98">
        <f t="shared" si="24"/>
        <v>0</v>
      </c>
      <c r="N98">
        <f t="shared" si="25"/>
        <v>0</v>
      </c>
      <c r="O98" t="s">
        <v>305</v>
      </c>
      <c r="P98">
        <f t="shared" si="26"/>
        <v>0</v>
      </c>
      <c r="Q98">
        <f t="shared" si="27"/>
        <v>0</v>
      </c>
      <c r="R98">
        <f t="shared" si="28"/>
        <v>0</v>
      </c>
      <c r="S98">
        <f t="shared" si="29"/>
        <v>0</v>
      </c>
      <c r="T98">
        <f t="shared" si="30"/>
        <v>0</v>
      </c>
      <c r="U98">
        <f t="shared" si="31"/>
        <v>0</v>
      </c>
      <c r="V98">
        <f t="shared" si="32"/>
        <v>0</v>
      </c>
      <c r="W98" t="s">
        <v>39</v>
      </c>
      <c r="X98">
        <f t="shared" si="33"/>
        <v>1</v>
      </c>
      <c r="Y98">
        <f t="shared" si="34"/>
        <v>0</v>
      </c>
      <c r="Z98">
        <v>5</v>
      </c>
      <c r="AA98">
        <f t="shared" si="35"/>
        <v>1</v>
      </c>
      <c r="AB98" t="s">
        <v>40</v>
      </c>
      <c r="AC98">
        <f t="shared" si="36"/>
        <v>0</v>
      </c>
      <c r="AD98">
        <f t="shared" si="37"/>
        <v>0</v>
      </c>
      <c r="AE98" t="s">
        <v>41</v>
      </c>
      <c r="AF98">
        <f>IF(AE98="website",1,0)</f>
        <v>1</v>
      </c>
    </row>
    <row r="99" spans="1:32">
      <c r="A99" t="s">
        <v>352</v>
      </c>
      <c r="B99" t="s">
        <v>33</v>
      </c>
      <c r="C99" s="3">
        <f t="shared" si="19"/>
        <v>0</v>
      </c>
      <c r="D99">
        <f t="shared" si="20"/>
        <v>1</v>
      </c>
      <c r="E99" t="s">
        <v>353</v>
      </c>
      <c r="F99" t="s">
        <v>354</v>
      </c>
      <c r="G99" s="1">
        <v>18071</v>
      </c>
      <c r="H99" s="2">
        <f t="shared" ca="1" si="21"/>
        <v>77</v>
      </c>
      <c r="I99" s="2">
        <f t="shared" ca="1" si="22"/>
        <v>0.74285714285714288</v>
      </c>
      <c r="J99" t="s">
        <v>36</v>
      </c>
      <c r="K99" t="s">
        <v>172</v>
      </c>
      <c r="L99">
        <f t="shared" si="23"/>
        <v>0</v>
      </c>
      <c r="M99">
        <f t="shared" si="24"/>
        <v>0</v>
      </c>
      <c r="N99">
        <f t="shared" si="25"/>
        <v>0</v>
      </c>
      <c r="O99" t="s">
        <v>355</v>
      </c>
      <c r="P99">
        <f t="shared" si="26"/>
        <v>0</v>
      </c>
      <c r="Q99">
        <f t="shared" si="27"/>
        <v>0</v>
      </c>
      <c r="R99">
        <f t="shared" si="28"/>
        <v>0</v>
      </c>
      <c r="S99">
        <f t="shared" si="29"/>
        <v>0</v>
      </c>
      <c r="T99">
        <f t="shared" si="30"/>
        <v>0</v>
      </c>
      <c r="U99">
        <f t="shared" si="31"/>
        <v>0</v>
      </c>
      <c r="V99">
        <f t="shared" si="32"/>
        <v>0</v>
      </c>
      <c r="W99" t="s">
        <v>39</v>
      </c>
      <c r="X99">
        <f t="shared" si="33"/>
        <v>1</v>
      </c>
      <c r="Y99">
        <f t="shared" si="34"/>
        <v>0</v>
      </c>
      <c r="Z99">
        <v>3</v>
      </c>
      <c r="AA99">
        <f t="shared" si="35"/>
        <v>0.5</v>
      </c>
      <c r="AB99" t="s">
        <v>40</v>
      </c>
      <c r="AC99">
        <f t="shared" si="36"/>
        <v>1</v>
      </c>
      <c r="AD99">
        <f t="shared" si="37"/>
        <v>0</v>
      </c>
      <c r="AE99" t="s">
        <v>50</v>
      </c>
      <c r="AF99">
        <f>IF(AE99="website",1,0)</f>
        <v>0</v>
      </c>
    </row>
    <row r="100" spans="1:32">
      <c r="A100" t="s">
        <v>356</v>
      </c>
      <c r="B100" t="s">
        <v>33</v>
      </c>
      <c r="C100" s="3">
        <f t="shared" si="19"/>
        <v>0</v>
      </c>
      <c r="D100">
        <f t="shared" si="20"/>
        <v>1</v>
      </c>
      <c r="E100" t="s">
        <v>357</v>
      </c>
      <c r="F100" t="s">
        <v>358</v>
      </c>
      <c r="G100" s="1">
        <v>15311</v>
      </c>
      <c r="H100" s="2">
        <f t="shared" ca="1" si="21"/>
        <v>84</v>
      </c>
      <c r="I100" s="2">
        <f t="shared" ca="1" si="22"/>
        <v>0.84285714285714286</v>
      </c>
      <c r="J100" t="s">
        <v>45</v>
      </c>
      <c r="K100" t="s">
        <v>37</v>
      </c>
      <c r="L100">
        <f t="shared" si="23"/>
        <v>1</v>
      </c>
      <c r="M100">
        <f t="shared" si="24"/>
        <v>0</v>
      </c>
      <c r="N100">
        <f t="shared" si="25"/>
        <v>0</v>
      </c>
      <c r="O100" t="s">
        <v>38</v>
      </c>
      <c r="P100">
        <f t="shared" si="26"/>
        <v>1</v>
      </c>
      <c r="Q100">
        <f t="shared" si="27"/>
        <v>0</v>
      </c>
      <c r="R100">
        <f t="shared" si="28"/>
        <v>0</v>
      </c>
      <c r="S100">
        <f t="shared" si="29"/>
        <v>0</v>
      </c>
      <c r="T100">
        <f t="shared" si="30"/>
        <v>0</v>
      </c>
      <c r="U100">
        <f t="shared" si="31"/>
        <v>0</v>
      </c>
      <c r="V100">
        <f t="shared" si="32"/>
        <v>0</v>
      </c>
      <c r="W100" t="s">
        <v>58</v>
      </c>
      <c r="X100">
        <f t="shared" si="33"/>
        <v>0</v>
      </c>
      <c r="Y100">
        <f t="shared" si="34"/>
        <v>1</v>
      </c>
      <c r="Z100">
        <v>4</v>
      </c>
      <c r="AA100">
        <f t="shared" si="35"/>
        <v>0.75</v>
      </c>
      <c r="AB100" t="s">
        <v>46</v>
      </c>
      <c r="AC100">
        <f t="shared" si="36"/>
        <v>0</v>
      </c>
      <c r="AD100">
        <f t="shared" si="37"/>
        <v>0</v>
      </c>
      <c r="AE100" t="s">
        <v>41</v>
      </c>
      <c r="AF100">
        <f>IF(AE100="website",1,0)</f>
        <v>1</v>
      </c>
    </row>
    <row r="101" spans="1:32">
      <c r="A101" t="s">
        <v>359</v>
      </c>
      <c r="B101" t="s">
        <v>33</v>
      </c>
      <c r="C101" s="3">
        <f t="shared" si="19"/>
        <v>0</v>
      </c>
      <c r="D101">
        <f t="shared" si="20"/>
        <v>1</v>
      </c>
      <c r="E101" t="s">
        <v>360</v>
      </c>
      <c r="F101" t="s">
        <v>361</v>
      </c>
      <c r="G101" s="1">
        <v>25359</v>
      </c>
      <c r="H101" s="2">
        <f t="shared" ca="1" si="21"/>
        <v>57</v>
      </c>
      <c r="I101" s="2">
        <f t="shared" ca="1" si="22"/>
        <v>0.45714285714285713</v>
      </c>
      <c r="J101" t="s">
        <v>45</v>
      </c>
      <c r="K101" t="s">
        <v>37</v>
      </c>
      <c r="L101">
        <f t="shared" si="23"/>
        <v>1</v>
      </c>
      <c r="M101">
        <f t="shared" si="24"/>
        <v>0</v>
      </c>
      <c r="N101">
        <f t="shared" si="25"/>
        <v>0</v>
      </c>
      <c r="O101" t="s">
        <v>38</v>
      </c>
      <c r="P101">
        <f t="shared" si="26"/>
        <v>1</v>
      </c>
      <c r="Q101">
        <f t="shared" si="27"/>
        <v>0</v>
      </c>
      <c r="R101">
        <f t="shared" si="28"/>
        <v>0</v>
      </c>
      <c r="S101">
        <f t="shared" si="29"/>
        <v>0</v>
      </c>
      <c r="T101">
        <f t="shared" si="30"/>
        <v>0</v>
      </c>
      <c r="U101">
        <f t="shared" si="31"/>
        <v>0</v>
      </c>
      <c r="V101">
        <f t="shared" si="32"/>
        <v>0</v>
      </c>
      <c r="W101" t="s">
        <v>39</v>
      </c>
      <c r="X101">
        <f t="shared" si="33"/>
        <v>1</v>
      </c>
      <c r="Y101">
        <f t="shared" si="34"/>
        <v>0</v>
      </c>
      <c r="Z101">
        <v>3</v>
      </c>
      <c r="AA101">
        <f t="shared" si="35"/>
        <v>0.5</v>
      </c>
      <c r="AB101" t="s">
        <v>46</v>
      </c>
      <c r="AC101">
        <f t="shared" si="36"/>
        <v>0</v>
      </c>
      <c r="AD101">
        <f t="shared" si="37"/>
        <v>0</v>
      </c>
      <c r="AE101" t="s">
        <v>41</v>
      </c>
      <c r="AF101">
        <f>IF(AE101="website",1,0)</f>
        <v>1</v>
      </c>
    </row>
    <row r="102" spans="1:32">
      <c r="A102" t="s">
        <v>362</v>
      </c>
      <c r="B102" t="s">
        <v>33</v>
      </c>
      <c r="C102" s="3">
        <f t="shared" si="19"/>
        <v>0</v>
      </c>
      <c r="D102">
        <f t="shared" si="20"/>
        <v>1</v>
      </c>
      <c r="E102" t="s">
        <v>363</v>
      </c>
      <c r="F102" t="s">
        <v>364</v>
      </c>
      <c r="G102" s="1">
        <v>18689</v>
      </c>
      <c r="H102" s="2">
        <f t="shared" ca="1" si="21"/>
        <v>75</v>
      </c>
      <c r="I102" s="2">
        <f t="shared" ca="1" si="22"/>
        <v>0.7142857142857143</v>
      </c>
      <c r="J102" t="s">
        <v>36</v>
      </c>
      <c r="K102" t="s">
        <v>37</v>
      </c>
      <c r="L102">
        <f t="shared" si="23"/>
        <v>1</v>
      </c>
      <c r="M102">
        <f t="shared" si="24"/>
        <v>0</v>
      </c>
      <c r="N102">
        <f t="shared" si="25"/>
        <v>0</v>
      </c>
      <c r="O102" t="s">
        <v>124</v>
      </c>
      <c r="P102">
        <f t="shared" si="26"/>
        <v>0</v>
      </c>
      <c r="Q102">
        <f t="shared" si="27"/>
        <v>0</v>
      </c>
      <c r="R102">
        <f t="shared" si="28"/>
        <v>0</v>
      </c>
      <c r="S102">
        <f t="shared" si="29"/>
        <v>0</v>
      </c>
      <c r="T102">
        <f t="shared" si="30"/>
        <v>0</v>
      </c>
      <c r="U102">
        <f t="shared" si="31"/>
        <v>1</v>
      </c>
      <c r="V102">
        <f t="shared" si="32"/>
        <v>0</v>
      </c>
      <c r="W102" t="s">
        <v>39</v>
      </c>
      <c r="X102">
        <f t="shared" si="33"/>
        <v>1</v>
      </c>
      <c r="Y102">
        <f t="shared" si="34"/>
        <v>0</v>
      </c>
      <c r="Z102">
        <v>3</v>
      </c>
      <c r="AA102">
        <f t="shared" si="35"/>
        <v>0.5</v>
      </c>
      <c r="AB102" t="s">
        <v>46</v>
      </c>
      <c r="AC102">
        <f t="shared" si="36"/>
        <v>0</v>
      </c>
      <c r="AD102">
        <f t="shared" si="37"/>
        <v>0</v>
      </c>
      <c r="AE102" t="s">
        <v>41</v>
      </c>
      <c r="AF102">
        <f>IF(AE102="website",1,0)</f>
        <v>1</v>
      </c>
    </row>
    <row r="103" spans="1:32">
      <c r="A103" t="s">
        <v>365</v>
      </c>
      <c r="B103" t="s">
        <v>33</v>
      </c>
      <c r="C103" s="3">
        <f t="shared" si="19"/>
        <v>0</v>
      </c>
      <c r="D103">
        <f t="shared" si="20"/>
        <v>1</v>
      </c>
      <c r="E103" t="s">
        <v>357</v>
      </c>
      <c r="F103" t="s">
        <v>366</v>
      </c>
      <c r="G103" s="1">
        <v>17211</v>
      </c>
      <c r="H103" s="2">
        <f t="shared" ca="1" si="21"/>
        <v>79</v>
      </c>
      <c r="I103" s="2">
        <f t="shared" ca="1" si="22"/>
        <v>0.77142857142857146</v>
      </c>
      <c r="J103" t="s">
        <v>45</v>
      </c>
      <c r="K103" t="s">
        <v>37</v>
      </c>
      <c r="L103">
        <f t="shared" si="23"/>
        <v>1</v>
      </c>
      <c r="M103">
        <f t="shared" si="24"/>
        <v>0</v>
      </c>
      <c r="N103">
        <f t="shared" si="25"/>
        <v>0</v>
      </c>
      <c r="O103" t="s">
        <v>38</v>
      </c>
      <c r="P103">
        <f t="shared" si="26"/>
        <v>1</v>
      </c>
      <c r="Q103">
        <f t="shared" si="27"/>
        <v>0</v>
      </c>
      <c r="R103">
        <f t="shared" si="28"/>
        <v>0</v>
      </c>
      <c r="S103">
        <f t="shared" si="29"/>
        <v>0</v>
      </c>
      <c r="T103">
        <f t="shared" si="30"/>
        <v>0</v>
      </c>
      <c r="U103">
        <f t="shared" si="31"/>
        <v>0</v>
      </c>
      <c r="V103">
        <f t="shared" si="32"/>
        <v>0</v>
      </c>
      <c r="W103" t="s">
        <v>58</v>
      </c>
      <c r="X103">
        <f t="shared" si="33"/>
        <v>0</v>
      </c>
      <c r="Y103">
        <f t="shared" si="34"/>
        <v>1</v>
      </c>
      <c r="Z103">
        <v>5</v>
      </c>
      <c r="AA103">
        <f t="shared" si="35"/>
        <v>1</v>
      </c>
      <c r="AB103" t="s">
        <v>40</v>
      </c>
      <c r="AC103">
        <f t="shared" si="36"/>
        <v>0</v>
      </c>
      <c r="AD103">
        <f t="shared" si="37"/>
        <v>0</v>
      </c>
      <c r="AE103" t="s">
        <v>41</v>
      </c>
      <c r="AF103">
        <f>IF(AE103="website",1,0)</f>
        <v>1</v>
      </c>
    </row>
    <row r="104" spans="1:32">
      <c r="A104" t="s">
        <v>367</v>
      </c>
      <c r="B104" t="s">
        <v>33</v>
      </c>
      <c r="C104" s="3">
        <f t="shared" si="19"/>
        <v>0</v>
      </c>
      <c r="D104">
        <f t="shared" si="20"/>
        <v>1</v>
      </c>
      <c r="E104" t="s">
        <v>368</v>
      </c>
      <c r="F104" t="s">
        <v>369</v>
      </c>
      <c r="G104" s="1">
        <v>27013</v>
      </c>
      <c r="H104" s="2">
        <f t="shared" ca="1" si="21"/>
        <v>52</v>
      </c>
      <c r="I104" s="2">
        <f t="shared" ca="1" si="22"/>
        <v>0.38571428571428573</v>
      </c>
      <c r="J104" t="s">
        <v>45</v>
      </c>
      <c r="K104" t="s">
        <v>37</v>
      </c>
      <c r="L104">
        <f t="shared" si="23"/>
        <v>1</v>
      </c>
      <c r="M104">
        <f t="shared" si="24"/>
        <v>0</v>
      </c>
      <c r="N104">
        <f t="shared" si="25"/>
        <v>0</v>
      </c>
      <c r="O104" t="s">
        <v>137</v>
      </c>
      <c r="P104">
        <f t="shared" si="26"/>
        <v>0</v>
      </c>
      <c r="Q104">
        <f t="shared" si="27"/>
        <v>0</v>
      </c>
      <c r="R104">
        <f t="shared" si="28"/>
        <v>0</v>
      </c>
      <c r="S104">
        <f t="shared" si="29"/>
        <v>0</v>
      </c>
      <c r="T104">
        <f t="shared" si="30"/>
        <v>0</v>
      </c>
      <c r="U104">
        <f t="shared" si="31"/>
        <v>0</v>
      </c>
      <c r="V104">
        <f t="shared" si="32"/>
        <v>0</v>
      </c>
      <c r="W104" t="s">
        <v>39</v>
      </c>
      <c r="X104">
        <f t="shared" si="33"/>
        <v>1</v>
      </c>
      <c r="Y104">
        <f t="shared" si="34"/>
        <v>0</v>
      </c>
      <c r="Z104">
        <v>3</v>
      </c>
      <c r="AA104">
        <f t="shared" si="35"/>
        <v>0.5</v>
      </c>
      <c r="AB104" t="s">
        <v>46</v>
      </c>
      <c r="AC104">
        <f t="shared" si="36"/>
        <v>0</v>
      </c>
      <c r="AD104">
        <f t="shared" si="37"/>
        <v>0</v>
      </c>
      <c r="AE104" t="s">
        <v>41</v>
      </c>
      <c r="AF104">
        <f>IF(AE104="website",1,0)</f>
        <v>1</v>
      </c>
    </row>
    <row r="105" spans="1:32">
      <c r="A105" t="s">
        <v>370</v>
      </c>
      <c r="B105" t="s">
        <v>33</v>
      </c>
      <c r="C105" s="3">
        <f t="shared" si="19"/>
        <v>0</v>
      </c>
      <c r="D105">
        <f t="shared" si="20"/>
        <v>1</v>
      </c>
      <c r="E105" t="s">
        <v>371</v>
      </c>
      <c r="F105" t="s">
        <v>372</v>
      </c>
      <c r="G105" s="1">
        <v>28747</v>
      </c>
      <c r="H105" s="2">
        <f t="shared" ca="1" si="21"/>
        <v>48</v>
      </c>
      <c r="I105" s="2">
        <f t="shared" ca="1" si="22"/>
        <v>0.32857142857142857</v>
      </c>
      <c r="J105" t="s">
        <v>45</v>
      </c>
      <c r="K105" t="s">
        <v>37</v>
      </c>
      <c r="L105">
        <f t="shared" si="23"/>
        <v>1</v>
      </c>
      <c r="M105">
        <f t="shared" si="24"/>
        <v>0</v>
      </c>
      <c r="N105">
        <f t="shared" si="25"/>
        <v>0</v>
      </c>
      <c r="O105" t="s">
        <v>38</v>
      </c>
      <c r="P105">
        <f t="shared" si="26"/>
        <v>1</v>
      </c>
      <c r="Q105">
        <f t="shared" si="27"/>
        <v>0</v>
      </c>
      <c r="R105">
        <f t="shared" si="28"/>
        <v>0</v>
      </c>
      <c r="S105">
        <f t="shared" si="29"/>
        <v>0</v>
      </c>
      <c r="T105">
        <f t="shared" si="30"/>
        <v>0</v>
      </c>
      <c r="U105">
        <f t="shared" si="31"/>
        <v>0</v>
      </c>
      <c r="V105">
        <f t="shared" si="32"/>
        <v>0</v>
      </c>
      <c r="W105" t="s">
        <v>39</v>
      </c>
      <c r="X105">
        <f t="shared" si="33"/>
        <v>1</v>
      </c>
      <c r="Y105">
        <f t="shared" si="34"/>
        <v>0</v>
      </c>
      <c r="Z105">
        <v>5</v>
      </c>
      <c r="AA105">
        <f t="shared" si="35"/>
        <v>1</v>
      </c>
      <c r="AB105" t="s">
        <v>46</v>
      </c>
      <c r="AC105">
        <f t="shared" si="36"/>
        <v>0</v>
      </c>
      <c r="AD105">
        <f t="shared" si="37"/>
        <v>0</v>
      </c>
      <c r="AE105" t="s">
        <v>41</v>
      </c>
      <c r="AF105">
        <f>IF(AE105="website",1,0)</f>
        <v>1</v>
      </c>
    </row>
    <row r="106" spans="1:32">
      <c r="A106" t="s">
        <v>373</v>
      </c>
      <c r="B106" t="s">
        <v>33</v>
      </c>
      <c r="C106" s="3">
        <f t="shared" si="19"/>
        <v>0</v>
      </c>
      <c r="D106">
        <f t="shared" si="20"/>
        <v>1</v>
      </c>
      <c r="E106" t="s">
        <v>374</v>
      </c>
      <c r="F106" t="s">
        <v>375</v>
      </c>
      <c r="G106" s="1">
        <v>21857</v>
      </c>
      <c r="H106" s="2">
        <f t="shared" ca="1" si="21"/>
        <v>66</v>
      </c>
      <c r="I106" s="2">
        <f t="shared" ca="1" si="22"/>
        <v>0.58571428571428574</v>
      </c>
      <c r="J106" t="s">
        <v>36</v>
      </c>
      <c r="K106" t="s">
        <v>37</v>
      </c>
      <c r="L106">
        <f t="shared" si="23"/>
        <v>1</v>
      </c>
      <c r="M106">
        <f t="shared" si="24"/>
        <v>0</v>
      </c>
      <c r="N106">
        <f t="shared" si="25"/>
        <v>0</v>
      </c>
      <c r="O106" t="s">
        <v>38</v>
      </c>
      <c r="P106">
        <f t="shared" si="26"/>
        <v>1</v>
      </c>
      <c r="Q106">
        <f t="shared" si="27"/>
        <v>0</v>
      </c>
      <c r="R106">
        <f t="shared" si="28"/>
        <v>0</v>
      </c>
      <c r="S106">
        <f t="shared" si="29"/>
        <v>0</v>
      </c>
      <c r="T106">
        <f t="shared" si="30"/>
        <v>0</v>
      </c>
      <c r="U106">
        <f t="shared" si="31"/>
        <v>0</v>
      </c>
      <c r="V106">
        <f t="shared" si="32"/>
        <v>0</v>
      </c>
      <c r="W106" t="s">
        <v>58</v>
      </c>
      <c r="X106">
        <f t="shared" si="33"/>
        <v>0</v>
      </c>
      <c r="Y106">
        <f t="shared" si="34"/>
        <v>1</v>
      </c>
      <c r="Z106">
        <v>2</v>
      </c>
      <c r="AA106">
        <f t="shared" si="35"/>
        <v>0.25</v>
      </c>
      <c r="AB106" t="s">
        <v>40</v>
      </c>
      <c r="AC106">
        <f t="shared" si="36"/>
        <v>0</v>
      </c>
      <c r="AD106">
        <f t="shared" si="37"/>
        <v>0</v>
      </c>
      <c r="AE106" t="s">
        <v>41</v>
      </c>
      <c r="AF106">
        <f>IF(AE106="website",1,0)</f>
        <v>1</v>
      </c>
    </row>
    <row r="107" spans="1:32">
      <c r="A107" t="s">
        <v>376</v>
      </c>
      <c r="B107" t="s">
        <v>33</v>
      </c>
      <c r="C107" s="3">
        <f t="shared" si="19"/>
        <v>0</v>
      </c>
      <c r="D107">
        <f t="shared" si="20"/>
        <v>1</v>
      </c>
      <c r="E107" t="s">
        <v>377</v>
      </c>
      <c r="F107" t="s">
        <v>378</v>
      </c>
      <c r="G107" s="1">
        <v>19519</v>
      </c>
      <c r="H107" s="2">
        <f t="shared" ca="1" si="21"/>
        <v>73</v>
      </c>
      <c r="I107" s="2">
        <f t="shared" ca="1" si="22"/>
        <v>0.68571428571428572</v>
      </c>
      <c r="J107" t="s">
        <v>45</v>
      </c>
      <c r="K107" t="s">
        <v>37</v>
      </c>
      <c r="L107">
        <f t="shared" si="23"/>
        <v>1</v>
      </c>
      <c r="M107">
        <f t="shared" si="24"/>
        <v>0</v>
      </c>
      <c r="N107">
        <f t="shared" si="25"/>
        <v>0</v>
      </c>
      <c r="O107" t="s">
        <v>137</v>
      </c>
      <c r="P107">
        <f t="shared" si="26"/>
        <v>0</v>
      </c>
      <c r="Q107">
        <f t="shared" si="27"/>
        <v>0</v>
      </c>
      <c r="R107">
        <f t="shared" si="28"/>
        <v>0</v>
      </c>
      <c r="S107">
        <f t="shared" si="29"/>
        <v>0</v>
      </c>
      <c r="T107">
        <f t="shared" si="30"/>
        <v>0</v>
      </c>
      <c r="U107">
        <f t="shared" si="31"/>
        <v>0</v>
      </c>
      <c r="V107">
        <f t="shared" si="32"/>
        <v>0</v>
      </c>
      <c r="W107" t="s">
        <v>39</v>
      </c>
      <c r="X107">
        <f t="shared" si="33"/>
        <v>1</v>
      </c>
      <c r="Y107">
        <f t="shared" si="34"/>
        <v>0</v>
      </c>
      <c r="Z107">
        <v>4</v>
      </c>
      <c r="AA107">
        <f t="shared" si="35"/>
        <v>0.75</v>
      </c>
      <c r="AB107" t="s">
        <v>46</v>
      </c>
      <c r="AC107">
        <f t="shared" si="36"/>
        <v>0</v>
      </c>
      <c r="AD107">
        <f t="shared" si="37"/>
        <v>0</v>
      </c>
      <c r="AE107" t="s">
        <v>41</v>
      </c>
      <c r="AF107">
        <f>IF(AE107="website",1,0)</f>
        <v>1</v>
      </c>
    </row>
    <row r="108" spans="1:32">
      <c r="A108" t="s">
        <v>379</v>
      </c>
      <c r="B108" t="s">
        <v>33</v>
      </c>
      <c r="C108" s="3">
        <f t="shared" si="19"/>
        <v>0</v>
      </c>
      <c r="D108">
        <f t="shared" si="20"/>
        <v>1</v>
      </c>
      <c r="E108" t="s">
        <v>380</v>
      </c>
      <c r="F108" t="s">
        <v>381</v>
      </c>
      <c r="G108" s="1">
        <v>21768</v>
      </c>
      <c r="H108" s="2">
        <f t="shared" ca="1" si="21"/>
        <v>67</v>
      </c>
      <c r="I108" s="2">
        <f t="shared" ca="1" si="22"/>
        <v>0.6</v>
      </c>
      <c r="J108" t="s">
        <v>45</v>
      </c>
      <c r="K108" t="s">
        <v>37</v>
      </c>
      <c r="L108">
        <f t="shared" si="23"/>
        <v>1</v>
      </c>
      <c r="M108">
        <f t="shared" si="24"/>
        <v>0</v>
      </c>
      <c r="N108">
        <f t="shared" si="25"/>
        <v>0</v>
      </c>
      <c r="O108" t="s">
        <v>38</v>
      </c>
      <c r="P108">
        <f t="shared" si="26"/>
        <v>1</v>
      </c>
      <c r="Q108">
        <f t="shared" si="27"/>
        <v>0</v>
      </c>
      <c r="R108">
        <f t="shared" si="28"/>
        <v>0</v>
      </c>
      <c r="S108">
        <f t="shared" si="29"/>
        <v>0</v>
      </c>
      <c r="T108">
        <f t="shared" si="30"/>
        <v>0</v>
      </c>
      <c r="U108">
        <f t="shared" si="31"/>
        <v>0</v>
      </c>
      <c r="V108">
        <f t="shared" si="32"/>
        <v>0</v>
      </c>
      <c r="W108" t="s">
        <v>39</v>
      </c>
      <c r="X108">
        <f t="shared" si="33"/>
        <v>1</v>
      </c>
      <c r="Y108">
        <f t="shared" si="34"/>
        <v>0</v>
      </c>
      <c r="Z108">
        <v>4</v>
      </c>
      <c r="AA108">
        <f t="shared" si="35"/>
        <v>0.75</v>
      </c>
      <c r="AB108" t="s">
        <v>40</v>
      </c>
      <c r="AC108">
        <f t="shared" si="36"/>
        <v>1</v>
      </c>
      <c r="AD108">
        <f t="shared" si="37"/>
        <v>0</v>
      </c>
      <c r="AE108" t="s">
        <v>50</v>
      </c>
      <c r="AF108">
        <f>IF(AE108="website",1,0)</f>
        <v>0</v>
      </c>
    </row>
    <row r="109" spans="1:32">
      <c r="A109" t="s">
        <v>382</v>
      </c>
      <c r="B109" t="s">
        <v>33</v>
      </c>
      <c r="C109" s="3">
        <f t="shared" si="19"/>
        <v>0</v>
      </c>
      <c r="D109">
        <f t="shared" si="20"/>
        <v>1</v>
      </c>
      <c r="E109" t="s">
        <v>383</v>
      </c>
      <c r="F109" t="s">
        <v>384</v>
      </c>
      <c r="G109" s="1">
        <v>21539</v>
      </c>
      <c r="H109" s="2">
        <f t="shared" ca="1" si="21"/>
        <v>67</v>
      </c>
      <c r="I109" s="2">
        <f t="shared" ca="1" si="22"/>
        <v>0.6</v>
      </c>
      <c r="J109" t="s">
        <v>45</v>
      </c>
      <c r="K109" t="s">
        <v>37</v>
      </c>
      <c r="L109">
        <f t="shared" si="23"/>
        <v>1</v>
      </c>
      <c r="M109">
        <f t="shared" si="24"/>
        <v>0</v>
      </c>
      <c r="N109">
        <f t="shared" si="25"/>
        <v>0</v>
      </c>
      <c r="O109" t="s">
        <v>38</v>
      </c>
      <c r="P109">
        <f t="shared" si="26"/>
        <v>1</v>
      </c>
      <c r="Q109">
        <f t="shared" si="27"/>
        <v>0</v>
      </c>
      <c r="R109">
        <f t="shared" si="28"/>
        <v>0</v>
      </c>
      <c r="S109">
        <f t="shared" si="29"/>
        <v>0</v>
      </c>
      <c r="T109">
        <f t="shared" si="30"/>
        <v>0</v>
      </c>
      <c r="U109">
        <f t="shared" si="31"/>
        <v>0</v>
      </c>
      <c r="V109">
        <f t="shared" si="32"/>
        <v>0</v>
      </c>
      <c r="W109" t="s">
        <v>39</v>
      </c>
      <c r="X109">
        <f t="shared" si="33"/>
        <v>1</v>
      </c>
      <c r="Y109">
        <f t="shared" si="34"/>
        <v>0</v>
      </c>
      <c r="Z109">
        <v>4</v>
      </c>
      <c r="AA109">
        <f t="shared" si="35"/>
        <v>0.75</v>
      </c>
      <c r="AB109" t="s">
        <v>46</v>
      </c>
      <c r="AC109">
        <f t="shared" si="36"/>
        <v>1</v>
      </c>
      <c r="AD109">
        <f t="shared" si="37"/>
        <v>0</v>
      </c>
      <c r="AE109" t="s">
        <v>50</v>
      </c>
      <c r="AF109">
        <f>IF(AE109="website",1,0)</f>
        <v>0</v>
      </c>
    </row>
    <row r="110" spans="1:32">
      <c r="A110" t="s">
        <v>385</v>
      </c>
      <c r="B110" t="s">
        <v>33</v>
      </c>
      <c r="C110" s="3">
        <f t="shared" si="19"/>
        <v>0</v>
      </c>
      <c r="D110">
        <f t="shared" si="20"/>
        <v>1</v>
      </c>
      <c r="E110" t="s">
        <v>386</v>
      </c>
      <c r="F110" t="s">
        <v>387</v>
      </c>
      <c r="G110" s="1">
        <v>12179</v>
      </c>
      <c r="H110" s="2">
        <f t="shared" ca="1" si="21"/>
        <v>93</v>
      </c>
      <c r="I110" s="2">
        <f t="shared" ca="1" si="22"/>
        <v>0.97142857142857142</v>
      </c>
      <c r="J110" t="s">
        <v>36</v>
      </c>
      <c r="K110" t="s">
        <v>37</v>
      </c>
      <c r="L110">
        <f t="shared" si="23"/>
        <v>1</v>
      </c>
      <c r="M110">
        <f t="shared" si="24"/>
        <v>0</v>
      </c>
      <c r="N110">
        <f t="shared" si="25"/>
        <v>0</v>
      </c>
      <c r="O110" t="s">
        <v>38</v>
      </c>
      <c r="P110">
        <f t="shared" si="26"/>
        <v>1</v>
      </c>
      <c r="Q110">
        <f t="shared" si="27"/>
        <v>0</v>
      </c>
      <c r="R110">
        <f t="shared" si="28"/>
        <v>0</v>
      </c>
      <c r="S110">
        <f t="shared" si="29"/>
        <v>0</v>
      </c>
      <c r="T110">
        <f t="shared" si="30"/>
        <v>0</v>
      </c>
      <c r="U110">
        <f t="shared" si="31"/>
        <v>0</v>
      </c>
      <c r="V110">
        <f t="shared" si="32"/>
        <v>0</v>
      </c>
      <c r="W110" t="s">
        <v>58</v>
      </c>
      <c r="X110">
        <f t="shared" si="33"/>
        <v>0</v>
      </c>
      <c r="Y110">
        <f t="shared" si="34"/>
        <v>1</v>
      </c>
      <c r="Z110">
        <v>5</v>
      </c>
      <c r="AA110">
        <f t="shared" si="35"/>
        <v>1</v>
      </c>
      <c r="AB110" t="s">
        <v>40</v>
      </c>
      <c r="AC110">
        <f t="shared" si="36"/>
        <v>1</v>
      </c>
      <c r="AD110">
        <f t="shared" si="37"/>
        <v>0</v>
      </c>
      <c r="AE110" t="s">
        <v>50</v>
      </c>
      <c r="AF110">
        <f>IF(AE110="website",1,0)</f>
        <v>0</v>
      </c>
    </row>
    <row r="111" spans="1:32">
      <c r="A111" t="s">
        <v>388</v>
      </c>
      <c r="B111" t="s">
        <v>33</v>
      </c>
      <c r="C111" s="3">
        <f t="shared" si="19"/>
        <v>0</v>
      </c>
      <c r="D111">
        <f t="shared" si="20"/>
        <v>1</v>
      </c>
      <c r="E111" t="s">
        <v>389</v>
      </c>
      <c r="F111" t="s">
        <v>390</v>
      </c>
      <c r="G111" s="1">
        <v>21706</v>
      </c>
      <c r="H111" s="2">
        <f t="shared" ca="1" si="21"/>
        <v>67</v>
      </c>
      <c r="I111" s="2">
        <f t="shared" ca="1" si="22"/>
        <v>0.6</v>
      </c>
      <c r="J111" t="s">
        <v>36</v>
      </c>
      <c r="K111" t="s">
        <v>37</v>
      </c>
      <c r="L111">
        <f t="shared" si="23"/>
        <v>1</v>
      </c>
      <c r="M111">
        <f t="shared" si="24"/>
        <v>0</v>
      </c>
      <c r="N111">
        <f t="shared" si="25"/>
        <v>0</v>
      </c>
      <c r="O111" t="s">
        <v>38</v>
      </c>
      <c r="P111">
        <f t="shared" si="26"/>
        <v>1</v>
      </c>
      <c r="Q111">
        <f t="shared" si="27"/>
        <v>0</v>
      </c>
      <c r="R111">
        <f t="shared" si="28"/>
        <v>0</v>
      </c>
      <c r="S111">
        <f t="shared" si="29"/>
        <v>0</v>
      </c>
      <c r="T111">
        <f t="shared" si="30"/>
        <v>0</v>
      </c>
      <c r="U111">
        <f t="shared" si="31"/>
        <v>0</v>
      </c>
      <c r="V111">
        <f t="shared" si="32"/>
        <v>0</v>
      </c>
      <c r="W111" t="s">
        <v>58</v>
      </c>
      <c r="X111">
        <f t="shared" si="33"/>
        <v>0</v>
      </c>
      <c r="Y111">
        <f t="shared" si="34"/>
        <v>1</v>
      </c>
      <c r="Z111">
        <v>5</v>
      </c>
      <c r="AA111">
        <f t="shared" si="35"/>
        <v>1</v>
      </c>
      <c r="AB111" t="s">
        <v>40</v>
      </c>
      <c r="AC111">
        <f t="shared" si="36"/>
        <v>1</v>
      </c>
      <c r="AD111">
        <f t="shared" si="37"/>
        <v>0</v>
      </c>
      <c r="AE111" t="s">
        <v>50</v>
      </c>
      <c r="AF111">
        <f>IF(AE111="website",1,0)</f>
        <v>0</v>
      </c>
    </row>
    <row r="112" spans="1:32">
      <c r="A112" t="s">
        <v>391</v>
      </c>
      <c r="B112" t="s">
        <v>33</v>
      </c>
      <c r="C112" s="3">
        <f t="shared" si="19"/>
        <v>0</v>
      </c>
      <c r="D112">
        <f t="shared" si="20"/>
        <v>1</v>
      </c>
      <c r="E112" t="s">
        <v>392</v>
      </c>
      <c r="F112" t="s">
        <v>393</v>
      </c>
      <c r="G112" s="1">
        <v>29033</v>
      </c>
      <c r="H112" s="2">
        <f t="shared" ca="1" si="21"/>
        <v>47</v>
      </c>
      <c r="I112" s="2">
        <f t="shared" ca="1" si="22"/>
        <v>0.31428571428571428</v>
      </c>
      <c r="J112" t="s">
        <v>45</v>
      </c>
      <c r="K112" t="s">
        <v>37</v>
      </c>
      <c r="L112">
        <f t="shared" si="23"/>
        <v>1</v>
      </c>
      <c r="M112">
        <f t="shared" si="24"/>
        <v>0</v>
      </c>
      <c r="N112">
        <f t="shared" si="25"/>
        <v>0</v>
      </c>
      <c r="O112" t="s">
        <v>97</v>
      </c>
      <c r="P112">
        <f t="shared" si="26"/>
        <v>0</v>
      </c>
      <c r="Q112">
        <f t="shared" si="27"/>
        <v>0</v>
      </c>
      <c r="R112">
        <f t="shared" si="28"/>
        <v>0</v>
      </c>
      <c r="S112">
        <f t="shared" si="29"/>
        <v>0</v>
      </c>
      <c r="T112">
        <f t="shared" si="30"/>
        <v>1</v>
      </c>
      <c r="U112">
        <f t="shared" si="31"/>
        <v>0</v>
      </c>
      <c r="V112">
        <f t="shared" si="32"/>
        <v>0</v>
      </c>
      <c r="W112" t="s">
        <v>39</v>
      </c>
      <c r="X112">
        <f t="shared" si="33"/>
        <v>1</v>
      </c>
      <c r="Y112">
        <f t="shared" si="34"/>
        <v>0</v>
      </c>
      <c r="Z112">
        <v>2</v>
      </c>
      <c r="AA112">
        <f t="shared" si="35"/>
        <v>0.25</v>
      </c>
      <c r="AB112" t="s">
        <v>40</v>
      </c>
      <c r="AC112">
        <f t="shared" si="36"/>
        <v>0</v>
      </c>
      <c r="AD112">
        <f t="shared" si="37"/>
        <v>0</v>
      </c>
      <c r="AE112" t="s">
        <v>41</v>
      </c>
      <c r="AF112">
        <f>IF(AE112="website",1,0)</f>
        <v>1</v>
      </c>
    </row>
    <row r="113" spans="1:32">
      <c r="A113" t="s">
        <v>394</v>
      </c>
      <c r="B113" t="s">
        <v>33</v>
      </c>
      <c r="C113" s="3">
        <f t="shared" si="19"/>
        <v>0</v>
      </c>
      <c r="D113">
        <f t="shared" si="20"/>
        <v>1</v>
      </c>
      <c r="E113" t="s">
        <v>395</v>
      </c>
      <c r="F113" t="s">
        <v>396</v>
      </c>
      <c r="G113" s="1">
        <v>22190</v>
      </c>
      <c r="H113" s="2">
        <f t="shared" ca="1" si="21"/>
        <v>66</v>
      </c>
      <c r="I113" s="2">
        <f t="shared" ca="1" si="22"/>
        <v>0.58571428571428574</v>
      </c>
      <c r="J113" t="s">
        <v>36</v>
      </c>
      <c r="K113" t="s">
        <v>37</v>
      </c>
      <c r="L113">
        <f t="shared" si="23"/>
        <v>1</v>
      </c>
      <c r="M113">
        <f t="shared" si="24"/>
        <v>0</v>
      </c>
      <c r="N113">
        <f t="shared" si="25"/>
        <v>0</v>
      </c>
      <c r="O113" t="s">
        <v>38</v>
      </c>
      <c r="P113">
        <f t="shared" si="26"/>
        <v>1</v>
      </c>
      <c r="Q113">
        <f t="shared" si="27"/>
        <v>0</v>
      </c>
      <c r="R113">
        <f t="shared" si="28"/>
        <v>0</v>
      </c>
      <c r="S113">
        <f t="shared" si="29"/>
        <v>0</v>
      </c>
      <c r="T113">
        <f t="shared" si="30"/>
        <v>0</v>
      </c>
      <c r="U113">
        <f t="shared" si="31"/>
        <v>0</v>
      </c>
      <c r="V113">
        <f t="shared" si="32"/>
        <v>0</v>
      </c>
      <c r="W113" t="s">
        <v>58</v>
      </c>
      <c r="X113">
        <f t="shared" si="33"/>
        <v>0</v>
      </c>
      <c r="Y113">
        <f t="shared" si="34"/>
        <v>1</v>
      </c>
      <c r="Z113">
        <v>1</v>
      </c>
      <c r="AA113">
        <f t="shared" si="35"/>
        <v>0</v>
      </c>
      <c r="AB113" t="s">
        <v>40</v>
      </c>
      <c r="AC113">
        <f t="shared" si="36"/>
        <v>1</v>
      </c>
      <c r="AD113">
        <f t="shared" si="37"/>
        <v>0</v>
      </c>
      <c r="AE113" t="s">
        <v>50</v>
      </c>
      <c r="AF113">
        <f>IF(AE113="website",1,0)</f>
        <v>0</v>
      </c>
    </row>
    <row r="114" spans="1:32">
      <c r="A114" t="s">
        <v>397</v>
      </c>
      <c r="B114" t="s">
        <v>33</v>
      </c>
      <c r="C114" s="3">
        <f t="shared" si="19"/>
        <v>0</v>
      </c>
      <c r="D114">
        <f t="shared" si="20"/>
        <v>1</v>
      </c>
      <c r="E114" t="s">
        <v>398</v>
      </c>
      <c r="F114" t="s">
        <v>399</v>
      </c>
      <c r="G114" s="1">
        <v>18093</v>
      </c>
      <c r="H114" s="2">
        <f t="shared" ca="1" si="21"/>
        <v>77</v>
      </c>
      <c r="I114" s="2">
        <f t="shared" ca="1" si="22"/>
        <v>0.74285714285714288</v>
      </c>
      <c r="J114" t="s">
        <v>45</v>
      </c>
      <c r="K114" t="s">
        <v>37</v>
      </c>
      <c r="L114">
        <f t="shared" si="23"/>
        <v>1</v>
      </c>
      <c r="M114">
        <f t="shared" si="24"/>
        <v>0</v>
      </c>
      <c r="N114">
        <f t="shared" si="25"/>
        <v>0</v>
      </c>
      <c r="O114" t="s">
        <v>183</v>
      </c>
      <c r="P114">
        <f t="shared" si="26"/>
        <v>0</v>
      </c>
      <c r="Q114">
        <f t="shared" si="27"/>
        <v>0</v>
      </c>
      <c r="R114">
        <f t="shared" si="28"/>
        <v>0</v>
      </c>
      <c r="S114">
        <f t="shared" si="29"/>
        <v>0</v>
      </c>
      <c r="T114">
        <f t="shared" si="30"/>
        <v>0</v>
      </c>
      <c r="U114">
        <f t="shared" si="31"/>
        <v>0</v>
      </c>
      <c r="V114">
        <f t="shared" si="32"/>
        <v>0</v>
      </c>
      <c r="W114" t="s">
        <v>58</v>
      </c>
      <c r="X114">
        <f t="shared" si="33"/>
        <v>0</v>
      </c>
      <c r="Y114">
        <f t="shared" si="34"/>
        <v>1</v>
      </c>
      <c r="Z114">
        <v>4</v>
      </c>
      <c r="AA114">
        <f t="shared" si="35"/>
        <v>0.75</v>
      </c>
      <c r="AB114" t="s">
        <v>46</v>
      </c>
      <c r="AC114">
        <f t="shared" si="36"/>
        <v>1</v>
      </c>
      <c r="AD114">
        <f t="shared" si="37"/>
        <v>0</v>
      </c>
      <c r="AE114" t="s">
        <v>50</v>
      </c>
      <c r="AF114">
        <f>IF(AE114="website",1,0)</f>
        <v>0</v>
      </c>
    </row>
    <row r="115" spans="1:32">
      <c r="A115" t="s">
        <v>400</v>
      </c>
      <c r="B115" t="s">
        <v>33</v>
      </c>
      <c r="C115" s="3">
        <f t="shared" si="19"/>
        <v>0</v>
      </c>
      <c r="D115">
        <f t="shared" si="20"/>
        <v>1</v>
      </c>
      <c r="E115" t="s">
        <v>401</v>
      </c>
      <c r="F115" t="s">
        <v>402</v>
      </c>
      <c r="G115" s="1">
        <v>22667</v>
      </c>
      <c r="H115" s="2">
        <f t="shared" ca="1" si="21"/>
        <v>64</v>
      </c>
      <c r="I115" s="2">
        <f t="shared" ca="1" si="22"/>
        <v>0.55714285714285716</v>
      </c>
      <c r="J115" t="s">
        <v>36</v>
      </c>
      <c r="K115" t="s">
        <v>37</v>
      </c>
      <c r="L115">
        <f t="shared" si="23"/>
        <v>1</v>
      </c>
      <c r="M115">
        <f t="shared" si="24"/>
        <v>0</v>
      </c>
      <c r="N115">
        <f t="shared" si="25"/>
        <v>0</v>
      </c>
      <c r="O115" t="s">
        <v>38</v>
      </c>
      <c r="P115">
        <f t="shared" si="26"/>
        <v>1</v>
      </c>
      <c r="Q115">
        <f t="shared" si="27"/>
        <v>0</v>
      </c>
      <c r="R115">
        <f t="shared" si="28"/>
        <v>0</v>
      </c>
      <c r="S115">
        <f t="shared" si="29"/>
        <v>0</v>
      </c>
      <c r="T115">
        <f t="shared" si="30"/>
        <v>0</v>
      </c>
      <c r="U115">
        <f t="shared" si="31"/>
        <v>0</v>
      </c>
      <c r="V115">
        <f t="shared" si="32"/>
        <v>0</v>
      </c>
      <c r="W115" t="s">
        <v>39</v>
      </c>
      <c r="X115">
        <f t="shared" si="33"/>
        <v>1</v>
      </c>
      <c r="Y115">
        <f t="shared" si="34"/>
        <v>0</v>
      </c>
      <c r="Z115">
        <v>1</v>
      </c>
      <c r="AA115">
        <f t="shared" si="35"/>
        <v>0</v>
      </c>
      <c r="AB115" t="s">
        <v>40</v>
      </c>
      <c r="AC115">
        <f t="shared" si="36"/>
        <v>0</v>
      </c>
      <c r="AD115">
        <f t="shared" si="37"/>
        <v>0</v>
      </c>
      <c r="AE115" t="s">
        <v>41</v>
      </c>
      <c r="AF115">
        <f>IF(AE115="website",1,0)</f>
        <v>1</v>
      </c>
    </row>
    <row r="116" spans="1:32">
      <c r="A116" t="s">
        <v>403</v>
      </c>
      <c r="B116" t="s">
        <v>33</v>
      </c>
      <c r="C116" s="3">
        <f t="shared" si="19"/>
        <v>0</v>
      </c>
      <c r="D116">
        <f t="shared" si="20"/>
        <v>1</v>
      </c>
      <c r="E116" t="s">
        <v>404</v>
      </c>
      <c r="F116" t="s">
        <v>377</v>
      </c>
      <c r="G116" s="1">
        <v>28827</v>
      </c>
      <c r="H116" s="2">
        <f t="shared" ca="1" si="21"/>
        <v>47</v>
      </c>
      <c r="I116" s="2">
        <f t="shared" ca="1" si="22"/>
        <v>0.31428571428571428</v>
      </c>
      <c r="J116" t="s">
        <v>36</v>
      </c>
      <c r="K116" t="s">
        <v>37</v>
      </c>
      <c r="L116">
        <f t="shared" si="23"/>
        <v>1</v>
      </c>
      <c r="M116">
        <f t="shared" si="24"/>
        <v>0</v>
      </c>
      <c r="N116">
        <f t="shared" si="25"/>
        <v>0</v>
      </c>
      <c r="O116" t="s">
        <v>38</v>
      </c>
      <c r="P116">
        <f t="shared" si="26"/>
        <v>1</v>
      </c>
      <c r="Q116">
        <f t="shared" si="27"/>
        <v>0</v>
      </c>
      <c r="R116">
        <f t="shared" si="28"/>
        <v>0</v>
      </c>
      <c r="S116">
        <f t="shared" si="29"/>
        <v>0</v>
      </c>
      <c r="T116">
        <f t="shared" si="30"/>
        <v>0</v>
      </c>
      <c r="U116">
        <f t="shared" si="31"/>
        <v>0</v>
      </c>
      <c r="V116">
        <f t="shared" si="32"/>
        <v>0</v>
      </c>
      <c r="W116" t="s">
        <v>39</v>
      </c>
      <c r="X116">
        <f t="shared" si="33"/>
        <v>1</v>
      </c>
      <c r="Y116">
        <f t="shared" si="34"/>
        <v>0</v>
      </c>
      <c r="Z116">
        <v>5</v>
      </c>
      <c r="AA116">
        <f t="shared" si="35"/>
        <v>1</v>
      </c>
      <c r="AB116" t="s">
        <v>46</v>
      </c>
      <c r="AC116">
        <f t="shared" si="36"/>
        <v>1</v>
      </c>
      <c r="AD116">
        <f t="shared" si="37"/>
        <v>0</v>
      </c>
      <c r="AE116" t="s">
        <v>50</v>
      </c>
      <c r="AF116">
        <f>IF(AE116="website",1,0)</f>
        <v>0</v>
      </c>
    </row>
    <row r="117" spans="1:32">
      <c r="A117" t="s">
        <v>405</v>
      </c>
      <c r="B117" t="s">
        <v>33</v>
      </c>
      <c r="C117" s="3">
        <f t="shared" si="19"/>
        <v>0</v>
      </c>
      <c r="D117">
        <f t="shared" si="20"/>
        <v>1</v>
      </c>
      <c r="E117" t="s">
        <v>406</v>
      </c>
      <c r="F117" t="s">
        <v>407</v>
      </c>
      <c r="G117" s="1">
        <v>20308</v>
      </c>
      <c r="H117" s="2">
        <f t="shared" ca="1" si="21"/>
        <v>71</v>
      </c>
      <c r="I117" s="2">
        <f t="shared" ca="1" si="22"/>
        <v>0.65714285714285714</v>
      </c>
      <c r="J117" t="s">
        <v>36</v>
      </c>
      <c r="K117" t="s">
        <v>37</v>
      </c>
      <c r="L117">
        <f t="shared" si="23"/>
        <v>1</v>
      </c>
      <c r="M117">
        <f t="shared" si="24"/>
        <v>0</v>
      </c>
      <c r="N117">
        <f t="shared" si="25"/>
        <v>0</v>
      </c>
      <c r="O117" t="s">
        <v>38</v>
      </c>
      <c r="P117">
        <f t="shared" si="26"/>
        <v>1</v>
      </c>
      <c r="Q117">
        <f t="shared" si="27"/>
        <v>0</v>
      </c>
      <c r="R117">
        <f t="shared" si="28"/>
        <v>0</v>
      </c>
      <c r="S117">
        <f t="shared" si="29"/>
        <v>0</v>
      </c>
      <c r="T117">
        <f t="shared" si="30"/>
        <v>0</v>
      </c>
      <c r="U117">
        <f t="shared" si="31"/>
        <v>0</v>
      </c>
      <c r="V117">
        <f t="shared" si="32"/>
        <v>0</v>
      </c>
      <c r="W117" t="s">
        <v>58</v>
      </c>
      <c r="X117">
        <f t="shared" si="33"/>
        <v>0</v>
      </c>
      <c r="Y117">
        <f t="shared" si="34"/>
        <v>1</v>
      </c>
      <c r="Z117">
        <v>4</v>
      </c>
      <c r="AA117">
        <f t="shared" si="35"/>
        <v>0.75</v>
      </c>
      <c r="AB117" t="s">
        <v>46</v>
      </c>
      <c r="AC117">
        <f t="shared" si="36"/>
        <v>0</v>
      </c>
      <c r="AD117">
        <f t="shared" si="37"/>
        <v>0</v>
      </c>
      <c r="AE117" t="s">
        <v>41</v>
      </c>
      <c r="AF117">
        <f>IF(AE117="website",1,0)</f>
        <v>1</v>
      </c>
    </row>
    <row r="118" spans="1:32">
      <c r="A118" t="s">
        <v>408</v>
      </c>
      <c r="B118" t="s">
        <v>33</v>
      </c>
      <c r="C118" s="3">
        <f t="shared" si="19"/>
        <v>0</v>
      </c>
      <c r="D118">
        <f t="shared" si="20"/>
        <v>1</v>
      </c>
      <c r="E118" t="s">
        <v>409</v>
      </c>
      <c r="F118" t="s">
        <v>410</v>
      </c>
      <c r="G118" s="1">
        <v>23656</v>
      </c>
      <c r="H118" s="2">
        <f t="shared" ca="1" si="21"/>
        <v>61</v>
      </c>
      <c r="I118" s="2">
        <f t="shared" ca="1" si="22"/>
        <v>0.51428571428571423</v>
      </c>
      <c r="J118" t="s">
        <v>45</v>
      </c>
      <c r="K118" t="s">
        <v>248</v>
      </c>
      <c r="L118">
        <f t="shared" si="23"/>
        <v>0</v>
      </c>
      <c r="M118">
        <f t="shared" si="24"/>
        <v>0</v>
      </c>
      <c r="N118">
        <f t="shared" si="25"/>
        <v>0</v>
      </c>
      <c r="O118" t="s">
        <v>411</v>
      </c>
      <c r="P118">
        <f t="shared" si="26"/>
        <v>0</v>
      </c>
      <c r="Q118">
        <f t="shared" si="27"/>
        <v>0</v>
      </c>
      <c r="R118">
        <f t="shared" si="28"/>
        <v>0</v>
      </c>
      <c r="S118">
        <f t="shared" si="29"/>
        <v>0</v>
      </c>
      <c r="T118">
        <f t="shared" si="30"/>
        <v>0</v>
      </c>
      <c r="U118">
        <f t="shared" si="31"/>
        <v>0</v>
      </c>
      <c r="V118">
        <f t="shared" si="32"/>
        <v>0</v>
      </c>
      <c r="W118" t="s">
        <v>58</v>
      </c>
      <c r="X118">
        <f t="shared" si="33"/>
        <v>0</v>
      </c>
      <c r="Y118">
        <f t="shared" si="34"/>
        <v>1</v>
      </c>
      <c r="Z118">
        <v>4</v>
      </c>
      <c r="AA118">
        <f t="shared" si="35"/>
        <v>0.75</v>
      </c>
      <c r="AB118" t="s">
        <v>46</v>
      </c>
      <c r="AC118">
        <f t="shared" si="36"/>
        <v>1</v>
      </c>
      <c r="AD118">
        <f t="shared" si="37"/>
        <v>0</v>
      </c>
      <c r="AE118" t="s">
        <v>50</v>
      </c>
      <c r="AF118">
        <f>IF(AE118="website",1,0)</f>
        <v>0</v>
      </c>
    </row>
    <row r="119" spans="1:32">
      <c r="A119" t="s">
        <v>412</v>
      </c>
      <c r="B119" t="s">
        <v>33</v>
      </c>
      <c r="C119" s="3">
        <f t="shared" si="19"/>
        <v>0</v>
      </c>
      <c r="D119">
        <f t="shared" si="20"/>
        <v>1</v>
      </c>
      <c r="E119" t="s">
        <v>413</v>
      </c>
      <c r="F119" t="s">
        <v>414</v>
      </c>
      <c r="G119" s="1">
        <v>17846</v>
      </c>
      <c r="H119" s="2">
        <f t="shared" ca="1" si="21"/>
        <v>77</v>
      </c>
      <c r="I119" s="2">
        <f t="shared" ca="1" si="22"/>
        <v>0.74285714285714288</v>
      </c>
      <c r="J119" t="s">
        <v>36</v>
      </c>
      <c r="K119" t="s">
        <v>37</v>
      </c>
      <c r="L119">
        <f t="shared" si="23"/>
        <v>1</v>
      </c>
      <c r="M119">
        <f t="shared" si="24"/>
        <v>0</v>
      </c>
      <c r="N119">
        <f t="shared" si="25"/>
        <v>0</v>
      </c>
      <c r="O119" t="s">
        <v>76</v>
      </c>
      <c r="P119">
        <f t="shared" si="26"/>
        <v>0</v>
      </c>
      <c r="Q119">
        <f t="shared" si="27"/>
        <v>1</v>
      </c>
      <c r="R119">
        <f t="shared" si="28"/>
        <v>0</v>
      </c>
      <c r="S119">
        <f t="shared" si="29"/>
        <v>0</v>
      </c>
      <c r="T119">
        <f t="shared" si="30"/>
        <v>0</v>
      </c>
      <c r="U119">
        <f t="shared" si="31"/>
        <v>0</v>
      </c>
      <c r="V119">
        <f t="shared" si="32"/>
        <v>0</v>
      </c>
      <c r="W119" t="s">
        <v>58</v>
      </c>
      <c r="X119">
        <f t="shared" si="33"/>
        <v>0</v>
      </c>
      <c r="Y119">
        <f t="shared" si="34"/>
        <v>1</v>
      </c>
      <c r="Z119">
        <v>5</v>
      </c>
      <c r="AA119">
        <f t="shared" si="35"/>
        <v>1</v>
      </c>
      <c r="AB119" t="s">
        <v>46</v>
      </c>
      <c r="AC119">
        <f t="shared" si="36"/>
        <v>1</v>
      </c>
      <c r="AD119">
        <f t="shared" si="37"/>
        <v>0</v>
      </c>
      <c r="AE119" t="s">
        <v>50</v>
      </c>
      <c r="AF119">
        <f>IF(AE119="website",1,0)</f>
        <v>0</v>
      </c>
    </row>
    <row r="120" spans="1:32">
      <c r="A120" t="s">
        <v>415</v>
      </c>
      <c r="B120" t="s">
        <v>33</v>
      </c>
      <c r="C120" s="3">
        <f t="shared" si="19"/>
        <v>0</v>
      </c>
      <c r="D120">
        <f t="shared" si="20"/>
        <v>1</v>
      </c>
      <c r="E120" t="s">
        <v>406</v>
      </c>
      <c r="F120" t="s">
        <v>416</v>
      </c>
      <c r="G120" s="1">
        <v>15541</v>
      </c>
      <c r="H120" s="2">
        <f t="shared" ca="1" si="21"/>
        <v>84</v>
      </c>
      <c r="I120" s="2">
        <f t="shared" ca="1" si="22"/>
        <v>0.84285714285714286</v>
      </c>
      <c r="J120" t="s">
        <v>36</v>
      </c>
      <c r="K120" t="s">
        <v>37</v>
      </c>
      <c r="L120">
        <f t="shared" si="23"/>
        <v>1</v>
      </c>
      <c r="M120">
        <f t="shared" si="24"/>
        <v>0</v>
      </c>
      <c r="N120">
        <f t="shared" si="25"/>
        <v>0</v>
      </c>
      <c r="O120" t="s">
        <v>38</v>
      </c>
      <c r="P120">
        <f t="shared" si="26"/>
        <v>1</v>
      </c>
      <c r="Q120">
        <f t="shared" si="27"/>
        <v>0</v>
      </c>
      <c r="R120">
        <f t="shared" si="28"/>
        <v>0</v>
      </c>
      <c r="S120">
        <f t="shared" si="29"/>
        <v>0</v>
      </c>
      <c r="T120">
        <f t="shared" si="30"/>
        <v>0</v>
      </c>
      <c r="U120">
        <f t="shared" si="31"/>
        <v>0</v>
      </c>
      <c r="V120">
        <f t="shared" si="32"/>
        <v>0</v>
      </c>
      <c r="W120" t="s">
        <v>39</v>
      </c>
      <c r="X120">
        <f t="shared" si="33"/>
        <v>1</v>
      </c>
      <c r="Y120">
        <f t="shared" si="34"/>
        <v>0</v>
      </c>
      <c r="Z120">
        <v>1</v>
      </c>
      <c r="AA120">
        <f t="shared" si="35"/>
        <v>0</v>
      </c>
      <c r="AB120" t="s">
        <v>40</v>
      </c>
      <c r="AC120">
        <f t="shared" si="36"/>
        <v>0</v>
      </c>
      <c r="AD120">
        <f t="shared" si="37"/>
        <v>0</v>
      </c>
      <c r="AE120" t="s">
        <v>41</v>
      </c>
      <c r="AF120">
        <f>IF(AE120="website",1,0)</f>
        <v>1</v>
      </c>
    </row>
    <row r="121" spans="1:32">
      <c r="A121" t="s">
        <v>417</v>
      </c>
      <c r="B121" t="s">
        <v>33</v>
      </c>
      <c r="C121" s="3">
        <f t="shared" si="19"/>
        <v>0</v>
      </c>
      <c r="D121">
        <f t="shared" si="20"/>
        <v>1</v>
      </c>
      <c r="E121" t="s">
        <v>418</v>
      </c>
      <c r="F121" t="s">
        <v>419</v>
      </c>
      <c r="G121" s="1">
        <v>19570</v>
      </c>
      <c r="H121" s="2">
        <f t="shared" ca="1" si="21"/>
        <v>73</v>
      </c>
      <c r="I121" s="2">
        <f t="shared" ca="1" si="22"/>
        <v>0.68571428571428572</v>
      </c>
      <c r="J121" t="s">
        <v>36</v>
      </c>
      <c r="K121" t="s">
        <v>37</v>
      </c>
      <c r="L121">
        <f t="shared" si="23"/>
        <v>1</v>
      </c>
      <c r="M121">
        <f t="shared" si="24"/>
        <v>0</v>
      </c>
      <c r="N121">
        <f t="shared" si="25"/>
        <v>0</v>
      </c>
      <c r="O121" t="s">
        <v>38</v>
      </c>
      <c r="P121">
        <f t="shared" si="26"/>
        <v>1</v>
      </c>
      <c r="Q121">
        <f t="shared" si="27"/>
        <v>0</v>
      </c>
      <c r="R121">
        <f t="shared" si="28"/>
        <v>0</v>
      </c>
      <c r="S121">
        <f t="shared" si="29"/>
        <v>0</v>
      </c>
      <c r="T121">
        <f t="shared" si="30"/>
        <v>0</v>
      </c>
      <c r="U121">
        <f t="shared" si="31"/>
        <v>0</v>
      </c>
      <c r="V121">
        <f t="shared" si="32"/>
        <v>0</v>
      </c>
      <c r="W121" t="s">
        <v>39</v>
      </c>
      <c r="X121">
        <f t="shared" si="33"/>
        <v>1</v>
      </c>
      <c r="Y121">
        <f t="shared" si="34"/>
        <v>0</v>
      </c>
      <c r="Z121">
        <v>4</v>
      </c>
      <c r="AA121">
        <f t="shared" si="35"/>
        <v>0.75</v>
      </c>
      <c r="AB121" t="s">
        <v>40</v>
      </c>
      <c r="AC121">
        <f t="shared" si="36"/>
        <v>0</v>
      </c>
      <c r="AD121">
        <f t="shared" si="37"/>
        <v>0</v>
      </c>
      <c r="AE121" t="s">
        <v>41</v>
      </c>
      <c r="AF121">
        <f>IF(AE121="website",1,0)</f>
        <v>1</v>
      </c>
    </row>
    <row r="122" spans="1:32">
      <c r="A122" t="s">
        <v>420</v>
      </c>
      <c r="B122" t="s">
        <v>33</v>
      </c>
      <c r="C122" s="3">
        <f t="shared" si="19"/>
        <v>0</v>
      </c>
      <c r="D122">
        <f t="shared" si="20"/>
        <v>1</v>
      </c>
      <c r="E122" t="s">
        <v>378</v>
      </c>
      <c r="F122" t="s">
        <v>421</v>
      </c>
      <c r="G122" s="1">
        <v>18462</v>
      </c>
      <c r="H122" s="2">
        <f t="shared" ca="1" si="21"/>
        <v>76</v>
      </c>
      <c r="I122" s="2">
        <f t="shared" ca="1" si="22"/>
        <v>0.72857142857142854</v>
      </c>
      <c r="J122" t="s">
        <v>45</v>
      </c>
      <c r="K122" t="s">
        <v>37</v>
      </c>
      <c r="L122">
        <f t="shared" si="23"/>
        <v>1</v>
      </c>
      <c r="M122">
        <f t="shared" si="24"/>
        <v>0</v>
      </c>
      <c r="N122">
        <f t="shared" si="25"/>
        <v>0</v>
      </c>
      <c r="O122" t="s">
        <v>124</v>
      </c>
      <c r="P122">
        <f t="shared" si="26"/>
        <v>0</v>
      </c>
      <c r="Q122">
        <f t="shared" si="27"/>
        <v>0</v>
      </c>
      <c r="R122">
        <f t="shared" si="28"/>
        <v>0</v>
      </c>
      <c r="S122">
        <f t="shared" si="29"/>
        <v>0</v>
      </c>
      <c r="T122">
        <f t="shared" si="30"/>
        <v>0</v>
      </c>
      <c r="U122">
        <f t="shared" si="31"/>
        <v>1</v>
      </c>
      <c r="V122">
        <f t="shared" si="32"/>
        <v>0</v>
      </c>
      <c r="W122" t="s">
        <v>39</v>
      </c>
      <c r="X122">
        <f t="shared" si="33"/>
        <v>1</v>
      </c>
      <c r="Y122">
        <f t="shared" si="34"/>
        <v>0</v>
      </c>
      <c r="Z122">
        <v>2</v>
      </c>
      <c r="AA122">
        <f t="shared" si="35"/>
        <v>0.25</v>
      </c>
      <c r="AB122" t="s">
        <v>46</v>
      </c>
      <c r="AC122">
        <f t="shared" si="36"/>
        <v>0</v>
      </c>
      <c r="AD122">
        <f t="shared" si="37"/>
        <v>0</v>
      </c>
      <c r="AE122" t="s">
        <v>41</v>
      </c>
      <c r="AF122">
        <f>IF(AE122="website",1,0)</f>
        <v>1</v>
      </c>
    </row>
    <row r="123" spans="1:32">
      <c r="A123" t="s">
        <v>422</v>
      </c>
      <c r="B123" t="s">
        <v>33</v>
      </c>
      <c r="C123" s="3">
        <f t="shared" si="19"/>
        <v>0</v>
      </c>
      <c r="D123">
        <f t="shared" si="20"/>
        <v>1</v>
      </c>
      <c r="E123" t="s">
        <v>423</v>
      </c>
      <c r="F123" t="s">
        <v>424</v>
      </c>
      <c r="G123" s="1">
        <v>26894</v>
      </c>
      <c r="H123" s="2">
        <f t="shared" ca="1" si="21"/>
        <v>53</v>
      </c>
      <c r="I123" s="2">
        <f t="shared" ca="1" si="22"/>
        <v>0.4</v>
      </c>
      <c r="J123" t="s">
        <v>36</v>
      </c>
      <c r="K123" t="s">
        <v>37</v>
      </c>
      <c r="L123">
        <f t="shared" si="23"/>
        <v>1</v>
      </c>
      <c r="M123">
        <f t="shared" si="24"/>
        <v>0</v>
      </c>
      <c r="N123">
        <f t="shared" si="25"/>
        <v>0</v>
      </c>
      <c r="O123" t="s">
        <v>38</v>
      </c>
      <c r="P123">
        <f t="shared" si="26"/>
        <v>1</v>
      </c>
      <c r="Q123">
        <f t="shared" si="27"/>
        <v>0</v>
      </c>
      <c r="R123">
        <f t="shared" si="28"/>
        <v>0</v>
      </c>
      <c r="S123">
        <f t="shared" si="29"/>
        <v>0</v>
      </c>
      <c r="T123">
        <f t="shared" si="30"/>
        <v>0</v>
      </c>
      <c r="U123">
        <f t="shared" si="31"/>
        <v>0</v>
      </c>
      <c r="V123">
        <f t="shared" si="32"/>
        <v>0</v>
      </c>
      <c r="W123" t="s">
        <v>39</v>
      </c>
      <c r="X123">
        <f t="shared" si="33"/>
        <v>1</v>
      </c>
      <c r="Y123">
        <f t="shared" si="34"/>
        <v>0</v>
      </c>
      <c r="Z123">
        <v>1</v>
      </c>
      <c r="AA123">
        <f t="shared" si="35"/>
        <v>0</v>
      </c>
      <c r="AB123" t="s">
        <v>40</v>
      </c>
      <c r="AC123">
        <f t="shared" si="36"/>
        <v>1</v>
      </c>
      <c r="AD123">
        <f t="shared" si="37"/>
        <v>0</v>
      </c>
      <c r="AE123" t="s">
        <v>50</v>
      </c>
      <c r="AF123">
        <f>IF(AE123="website",1,0)</f>
        <v>0</v>
      </c>
    </row>
    <row r="124" spans="1:32">
      <c r="A124" t="s">
        <v>425</v>
      </c>
      <c r="B124" t="s">
        <v>33</v>
      </c>
      <c r="C124" s="3">
        <f t="shared" si="19"/>
        <v>0</v>
      </c>
      <c r="D124">
        <f t="shared" si="20"/>
        <v>1</v>
      </c>
      <c r="E124" t="s">
        <v>426</v>
      </c>
      <c r="F124" t="s">
        <v>427</v>
      </c>
      <c r="G124" s="1">
        <v>22883</v>
      </c>
      <c r="H124" s="2">
        <f t="shared" ca="1" si="21"/>
        <v>64</v>
      </c>
      <c r="I124" s="2">
        <f t="shared" ca="1" si="22"/>
        <v>0.55714285714285716</v>
      </c>
      <c r="J124" t="s">
        <v>36</v>
      </c>
      <c r="K124" t="s">
        <v>37</v>
      </c>
      <c r="L124">
        <f t="shared" si="23"/>
        <v>1</v>
      </c>
      <c r="M124">
        <f t="shared" si="24"/>
        <v>0</v>
      </c>
      <c r="N124">
        <f t="shared" si="25"/>
        <v>0</v>
      </c>
      <c r="O124" t="s">
        <v>38</v>
      </c>
      <c r="P124">
        <f t="shared" si="26"/>
        <v>1</v>
      </c>
      <c r="Q124">
        <f t="shared" si="27"/>
        <v>0</v>
      </c>
      <c r="R124">
        <f t="shared" si="28"/>
        <v>0</v>
      </c>
      <c r="S124">
        <f t="shared" si="29"/>
        <v>0</v>
      </c>
      <c r="T124">
        <f t="shared" si="30"/>
        <v>0</v>
      </c>
      <c r="U124">
        <f t="shared" si="31"/>
        <v>0</v>
      </c>
      <c r="V124">
        <f t="shared" si="32"/>
        <v>0</v>
      </c>
      <c r="W124" t="s">
        <v>39</v>
      </c>
      <c r="X124">
        <f t="shared" si="33"/>
        <v>1</v>
      </c>
      <c r="Y124">
        <f t="shared" si="34"/>
        <v>0</v>
      </c>
      <c r="Z124">
        <v>4</v>
      </c>
      <c r="AA124">
        <f t="shared" si="35"/>
        <v>0.75</v>
      </c>
      <c r="AB124" t="s">
        <v>40</v>
      </c>
      <c r="AC124">
        <f t="shared" si="36"/>
        <v>0</v>
      </c>
      <c r="AD124">
        <f t="shared" si="37"/>
        <v>0</v>
      </c>
      <c r="AE124" t="s">
        <v>41</v>
      </c>
      <c r="AF124">
        <f>IF(AE124="website",1,0)</f>
        <v>1</v>
      </c>
    </row>
    <row r="125" spans="1:32">
      <c r="A125" t="s">
        <v>428</v>
      </c>
      <c r="B125" t="s">
        <v>33</v>
      </c>
      <c r="C125" s="3">
        <f t="shared" si="19"/>
        <v>0</v>
      </c>
      <c r="D125">
        <f t="shared" si="20"/>
        <v>1</v>
      </c>
      <c r="E125" t="s">
        <v>429</v>
      </c>
      <c r="F125" t="s">
        <v>430</v>
      </c>
      <c r="G125" s="1">
        <v>23207</v>
      </c>
      <c r="H125" s="2">
        <f t="shared" ca="1" si="21"/>
        <v>63</v>
      </c>
      <c r="I125" s="2">
        <f t="shared" ca="1" si="22"/>
        <v>0.54285714285714282</v>
      </c>
      <c r="J125" t="s">
        <v>36</v>
      </c>
      <c r="K125" t="s">
        <v>37</v>
      </c>
      <c r="L125">
        <f t="shared" si="23"/>
        <v>1</v>
      </c>
      <c r="M125">
        <f t="shared" si="24"/>
        <v>0</v>
      </c>
      <c r="N125">
        <f t="shared" si="25"/>
        <v>0</v>
      </c>
      <c r="O125" t="s">
        <v>38</v>
      </c>
      <c r="P125">
        <f t="shared" si="26"/>
        <v>1</v>
      </c>
      <c r="Q125">
        <f t="shared" si="27"/>
        <v>0</v>
      </c>
      <c r="R125">
        <f t="shared" si="28"/>
        <v>0</v>
      </c>
      <c r="S125">
        <f t="shared" si="29"/>
        <v>0</v>
      </c>
      <c r="T125">
        <f t="shared" si="30"/>
        <v>0</v>
      </c>
      <c r="U125">
        <f t="shared" si="31"/>
        <v>0</v>
      </c>
      <c r="V125">
        <f t="shared" si="32"/>
        <v>0</v>
      </c>
      <c r="W125" t="s">
        <v>39</v>
      </c>
      <c r="X125">
        <f t="shared" si="33"/>
        <v>1</v>
      </c>
      <c r="Y125">
        <f t="shared" si="34"/>
        <v>0</v>
      </c>
      <c r="Z125">
        <v>4</v>
      </c>
      <c r="AA125">
        <f t="shared" si="35"/>
        <v>0.75</v>
      </c>
      <c r="AB125" t="s">
        <v>46</v>
      </c>
      <c r="AC125">
        <f t="shared" si="36"/>
        <v>1</v>
      </c>
      <c r="AD125">
        <f t="shared" si="37"/>
        <v>0</v>
      </c>
      <c r="AE125" t="s">
        <v>50</v>
      </c>
      <c r="AF125">
        <f>IF(AE125="website",1,0)</f>
        <v>0</v>
      </c>
    </row>
    <row r="126" spans="1:32">
      <c r="A126" t="s">
        <v>431</v>
      </c>
      <c r="B126" t="s">
        <v>33</v>
      </c>
      <c r="C126" s="3">
        <f t="shared" si="19"/>
        <v>0</v>
      </c>
      <c r="D126">
        <f t="shared" si="20"/>
        <v>1</v>
      </c>
      <c r="E126" t="s">
        <v>419</v>
      </c>
      <c r="F126" t="s">
        <v>432</v>
      </c>
      <c r="G126" s="1">
        <v>28119</v>
      </c>
      <c r="H126" s="2">
        <f t="shared" ca="1" si="21"/>
        <v>49</v>
      </c>
      <c r="I126" s="2">
        <f t="shared" ca="1" si="22"/>
        <v>0.34285714285714286</v>
      </c>
      <c r="J126" t="s">
        <v>45</v>
      </c>
      <c r="K126" t="s">
        <v>37</v>
      </c>
      <c r="L126">
        <f t="shared" si="23"/>
        <v>1</v>
      </c>
      <c r="M126">
        <f t="shared" si="24"/>
        <v>0</v>
      </c>
      <c r="N126">
        <f t="shared" si="25"/>
        <v>0</v>
      </c>
      <c r="O126" t="s">
        <v>137</v>
      </c>
      <c r="P126">
        <f t="shared" si="26"/>
        <v>0</v>
      </c>
      <c r="Q126">
        <f t="shared" si="27"/>
        <v>0</v>
      </c>
      <c r="R126">
        <f t="shared" si="28"/>
        <v>0</v>
      </c>
      <c r="S126">
        <f t="shared" si="29"/>
        <v>0</v>
      </c>
      <c r="T126">
        <f t="shared" si="30"/>
        <v>0</v>
      </c>
      <c r="U126">
        <f t="shared" si="31"/>
        <v>0</v>
      </c>
      <c r="V126">
        <f t="shared" si="32"/>
        <v>0</v>
      </c>
      <c r="W126" t="s">
        <v>39</v>
      </c>
      <c r="X126">
        <f t="shared" si="33"/>
        <v>1</v>
      </c>
      <c r="Y126">
        <f t="shared" si="34"/>
        <v>0</v>
      </c>
      <c r="Z126">
        <v>4</v>
      </c>
      <c r="AA126">
        <f t="shared" si="35"/>
        <v>0.75</v>
      </c>
      <c r="AB126" t="s">
        <v>40</v>
      </c>
      <c r="AC126">
        <f t="shared" si="36"/>
        <v>1</v>
      </c>
      <c r="AD126">
        <f t="shared" si="37"/>
        <v>0</v>
      </c>
      <c r="AE126" t="s">
        <v>50</v>
      </c>
      <c r="AF126">
        <f>IF(AE126="website",1,0)</f>
        <v>0</v>
      </c>
    </row>
    <row r="127" spans="1:32">
      <c r="A127" t="s">
        <v>433</v>
      </c>
      <c r="B127" t="s">
        <v>33</v>
      </c>
      <c r="C127" s="3">
        <f t="shared" si="19"/>
        <v>0</v>
      </c>
      <c r="D127">
        <f t="shared" si="20"/>
        <v>1</v>
      </c>
      <c r="E127" t="s">
        <v>434</v>
      </c>
      <c r="F127" t="s">
        <v>435</v>
      </c>
      <c r="G127" s="1">
        <v>26491</v>
      </c>
      <c r="H127" s="2">
        <f t="shared" ca="1" si="21"/>
        <v>54</v>
      </c>
      <c r="I127" s="2">
        <f t="shared" ca="1" si="22"/>
        <v>0.41428571428571431</v>
      </c>
      <c r="J127" t="s">
        <v>36</v>
      </c>
      <c r="K127" t="s">
        <v>37</v>
      </c>
      <c r="L127">
        <f t="shared" si="23"/>
        <v>1</v>
      </c>
      <c r="M127">
        <f t="shared" si="24"/>
        <v>0</v>
      </c>
      <c r="N127">
        <f t="shared" si="25"/>
        <v>0</v>
      </c>
      <c r="O127" t="s">
        <v>38</v>
      </c>
      <c r="P127">
        <f t="shared" si="26"/>
        <v>1</v>
      </c>
      <c r="Q127">
        <f t="shared" si="27"/>
        <v>0</v>
      </c>
      <c r="R127">
        <f t="shared" si="28"/>
        <v>0</v>
      </c>
      <c r="S127">
        <f t="shared" si="29"/>
        <v>0</v>
      </c>
      <c r="T127">
        <f t="shared" si="30"/>
        <v>0</v>
      </c>
      <c r="U127">
        <f t="shared" si="31"/>
        <v>0</v>
      </c>
      <c r="V127">
        <f t="shared" si="32"/>
        <v>0</v>
      </c>
      <c r="W127" t="s">
        <v>58</v>
      </c>
      <c r="X127">
        <f t="shared" si="33"/>
        <v>0</v>
      </c>
      <c r="Y127">
        <f t="shared" si="34"/>
        <v>1</v>
      </c>
      <c r="Z127">
        <v>2</v>
      </c>
      <c r="AA127">
        <f t="shared" si="35"/>
        <v>0.25</v>
      </c>
      <c r="AB127" t="s">
        <v>46</v>
      </c>
      <c r="AC127">
        <f t="shared" si="36"/>
        <v>1</v>
      </c>
      <c r="AD127">
        <f t="shared" si="37"/>
        <v>0</v>
      </c>
      <c r="AE127" t="s">
        <v>50</v>
      </c>
      <c r="AF127">
        <f>IF(AE127="website",1,0)</f>
        <v>0</v>
      </c>
    </row>
    <row r="128" spans="1:32">
      <c r="A128" t="s">
        <v>436</v>
      </c>
      <c r="B128" t="s">
        <v>33</v>
      </c>
      <c r="C128" s="3">
        <f t="shared" si="19"/>
        <v>0</v>
      </c>
      <c r="D128">
        <f t="shared" si="20"/>
        <v>1</v>
      </c>
      <c r="E128" t="s">
        <v>437</v>
      </c>
      <c r="F128" t="s">
        <v>438</v>
      </c>
      <c r="G128" s="1">
        <v>27228</v>
      </c>
      <c r="H128" s="2">
        <f t="shared" ca="1" si="21"/>
        <v>52</v>
      </c>
      <c r="I128" s="2">
        <f t="shared" ca="1" si="22"/>
        <v>0.38571428571428573</v>
      </c>
      <c r="J128" t="s">
        <v>45</v>
      </c>
      <c r="K128" t="s">
        <v>37</v>
      </c>
      <c r="L128">
        <f t="shared" si="23"/>
        <v>1</v>
      </c>
      <c r="M128">
        <f t="shared" si="24"/>
        <v>0</v>
      </c>
      <c r="N128">
        <f t="shared" si="25"/>
        <v>0</v>
      </c>
      <c r="O128" t="s">
        <v>124</v>
      </c>
      <c r="P128">
        <f t="shared" si="26"/>
        <v>0</v>
      </c>
      <c r="Q128">
        <f t="shared" si="27"/>
        <v>0</v>
      </c>
      <c r="R128">
        <f t="shared" si="28"/>
        <v>0</v>
      </c>
      <c r="S128">
        <f t="shared" si="29"/>
        <v>0</v>
      </c>
      <c r="T128">
        <f t="shared" si="30"/>
        <v>0</v>
      </c>
      <c r="U128">
        <f t="shared" si="31"/>
        <v>1</v>
      </c>
      <c r="V128">
        <f t="shared" si="32"/>
        <v>0</v>
      </c>
      <c r="W128" t="s">
        <v>39</v>
      </c>
      <c r="X128">
        <f t="shared" si="33"/>
        <v>1</v>
      </c>
      <c r="Y128">
        <f t="shared" si="34"/>
        <v>0</v>
      </c>
      <c r="Z128">
        <v>2</v>
      </c>
      <c r="AA128">
        <f t="shared" si="35"/>
        <v>0.25</v>
      </c>
      <c r="AB128" t="s">
        <v>40</v>
      </c>
      <c r="AC128">
        <f t="shared" si="36"/>
        <v>0</v>
      </c>
      <c r="AD128">
        <f t="shared" si="37"/>
        <v>0</v>
      </c>
      <c r="AE128" t="s">
        <v>41</v>
      </c>
      <c r="AF128">
        <f>IF(AE128="website",1,0)</f>
        <v>1</v>
      </c>
    </row>
    <row r="129" spans="1:32">
      <c r="A129" t="s">
        <v>439</v>
      </c>
      <c r="B129" t="s">
        <v>55</v>
      </c>
      <c r="C129" s="3">
        <f t="shared" si="19"/>
        <v>1</v>
      </c>
      <c r="D129">
        <f t="shared" si="20"/>
        <v>0</v>
      </c>
      <c r="E129" t="s">
        <v>440</v>
      </c>
      <c r="F129" t="s">
        <v>57</v>
      </c>
      <c r="G129" s="1">
        <v>23153</v>
      </c>
      <c r="H129" s="2">
        <f t="shared" ca="1" si="21"/>
        <v>63</v>
      </c>
      <c r="I129" s="2">
        <f t="shared" ca="1" si="22"/>
        <v>0.54285714285714282</v>
      </c>
      <c r="J129" t="s">
        <v>45</v>
      </c>
      <c r="K129" t="s">
        <v>37</v>
      </c>
      <c r="L129">
        <f t="shared" si="23"/>
        <v>1</v>
      </c>
      <c r="M129">
        <f t="shared" si="24"/>
        <v>0</v>
      </c>
      <c r="N129">
        <f t="shared" si="25"/>
        <v>0</v>
      </c>
      <c r="O129" t="s">
        <v>124</v>
      </c>
      <c r="P129">
        <f t="shared" si="26"/>
        <v>0</v>
      </c>
      <c r="Q129">
        <f t="shared" si="27"/>
        <v>0</v>
      </c>
      <c r="R129">
        <f t="shared" si="28"/>
        <v>0</v>
      </c>
      <c r="S129">
        <f t="shared" si="29"/>
        <v>0</v>
      </c>
      <c r="T129">
        <f t="shared" si="30"/>
        <v>0</v>
      </c>
      <c r="U129">
        <f t="shared" si="31"/>
        <v>1</v>
      </c>
      <c r="V129">
        <f t="shared" si="32"/>
        <v>0</v>
      </c>
      <c r="W129" t="s">
        <v>58</v>
      </c>
      <c r="X129">
        <f t="shared" si="33"/>
        <v>0</v>
      </c>
      <c r="Y129">
        <f t="shared" si="34"/>
        <v>1</v>
      </c>
      <c r="Z129">
        <v>5</v>
      </c>
      <c r="AA129">
        <f t="shared" si="35"/>
        <v>1</v>
      </c>
      <c r="AB129" t="s">
        <v>40</v>
      </c>
      <c r="AC129">
        <f t="shared" si="36"/>
        <v>0</v>
      </c>
      <c r="AD129">
        <f t="shared" si="37"/>
        <v>0</v>
      </c>
      <c r="AE129" t="s">
        <v>41</v>
      </c>
      <c r="AF129">
        <f>IF(AE129="website",1,0)</f>
        <v>1</v>
      </c>
    </row>
    <row r="130" spans="1:32">
      <c r="A130" t="s">
        <v>441</v>
      </c>
      <c r="B130" t="s">
        <v>33</v>
      </c>
      <c r="C130" s="3">
        <f t="shared" ref="C130:C193" si="38">IF(B130="company",1,0)</f>
        <v>0</v>
      </c>
      <c r="D130">
        <f t="shared" ref="D130:D193" si="39">IF(B130="individual",1,0)</f>
        <v>1</v>
      </c>
      <c r="E130" t="s">
        <v>442</v>
      </c>
      <c r="F130" t="s">
        <v>443</v>
      </c>
      <c r="G130" s="1">
        <v>26862</v>
      </c>
      <c r="H130" s="2">
        <f t="shared" ref="H130:H193" ca="1" si="40">DATEDIF(G130,TODAY(),"Y")</f>
        <v>53</v>
      </c>
      <c r="I130" s="2">
        <f t="shared" ref="I130:I193" ca="1" si="41">(H130-MIN(H:H))/(MAX(H:H)-MIN(H:H))</f>
        <v>0.4</v>
      </c>
      <c r="J130" t="s">
        <v>45</v>
      </c>
      <c r="K130" t="s">
        <v>37</v>
      </c>
      <c r="L130">
        <f t="shared" ref="L130:L193" si="42">IF(K130="usa",1,0)</f>
        <v>1</v>
      </c>
      <c r="M130">
        <f t="shared" ref="M130:M193" si="43">IF(K130="canada",1,0)</f>
        <v>0</v>
      </c>
      <c r="N130">
        <f t="shared" ref="N130:N193" si="44">IF(K130="germany",1,0)</f>
        <v>0</v>
      </c>
      <c r="O130" t="s">
        <v>97</v>
      </c>
      <c r="P130">
        <f t="shared" ref="P130:P193" si="45">IF(O130="california",1,0)</f>
        <v>0</v>
      </c>
      <c r="Q130">
        <f t="shared" ref="Q130:Q193" si="46">IF(O130="oregon",1,0)</f>
        <v>0</v>
      </c>
      <c r="R130">
        <f t="shared" ref="R130:R193" si="47">IF(O130="quebec",1,0)</f>
        <v>0</v>
      </c>
      <c r="S130">
        <f t="shared" ref="S130:S193" si="48">IF(O130="berlin",1,0)</f>
        <v>0</v>
      </c>
      <c r="T130">
        <f t="shared" ref="T130:T193" si="49">IF(O130="arizona",1,0)</f>
        <v>1</v>
      </c>
      <c r="U130">
        <f t="shared" ref="U130:U193" si="50">IF(O130="nevada",1,0)</f>
        <v>0</v>
      </c>
      <c r="V130">
        <f t="shared" ref="V130:V193" si="51">IF(O130="colardo",1,0)</f>
        <v>0</v>
      </c>
      <c r="W130" t="s">
        <v>58</v>
      </c>
      <c r="X130">
        <f t="shared" ref="X130:X193" si="52">IF(W130="home",1,0)</f>
        <v>0</v>
      </c>
      <c r="Y130">
        <f t="shared" ref="Y130:Y193" si="53">IF(W130="investment",1,0)</f>
        <v>1</v>
      </c>
      <c r="Z130">
        <v>5</v>
      </c>
      <c r="AA130">
        <f t="shared" ref="AA130:AA193" si="54">(Z130-1)/4</f>
        <v>1</v>
      </c>
      <c r="AB130" t="s">
        <v>46</v>
      </c>
      <c r="AC130">
        <f t="shared" ref="AC130:AC193" si="55">IF(AE130="agency",1,0)</f>
        <v>0</v>
      </c>
      <c r="AD130">
        <f t="shared" ref="AD130:AD193" si="56">IF(AE130="client",1,0)</f>
        <v>0</v>
      </c>
      <c r="AE130" t="s">
        <v>41</v>
      </c>
      <c r="AF130">
        <f>IF(AE130="website",1,0)</f>
        <v>1</v>
      </c>
    </row>
    <row r="131" spans="1:32">
      <c r="A131" t="s">
        <v>444</v>
      </c>
      <c r="B131" t="s">
        <v>33</v>
      </c>
      <c r="C131" s="3">
        <f t="shared" si="38"/>
        <v>0</v>
      </c>
      <c r="D131">
        <f t="shared" si="39"/>
        <v>1</v>
      </c>
      <c r="E131" t="s">
        <v>445</v>
      </c>
      <c r="F131" t="s">
        <v>446</v>
      </c>
      <c r="G131" s="1">
        <v>21660</v>
      </c>
      <c r="H131" s="2">
        <f t="shared" ca="1" si="40"/>
        <v>67</v>
      </c>
      <c r="I131" s="2">
        <f t="shared" ca="1" si="41"/>
        <v>0.6</v>
      </c>
      <c r="J131" t="s">
        <v>45</v>
      </c>
      <c r="K131" t="s">
        <v>37</v>
      </c>
      <c r="L131">
        <f t="shared" si="42"/>
        <v>1</v>
      </c>
      <c r="M131">
        <f t="shared" si="43"/>
        <v>0</v>
      </c>
      <c r="N131">
        <f t="shared" si="44"/>
        <v>0</v>
      </c>
      <c r="O131" t="s">
        <v>124</v>
      </c>
      <c r="P131">
        <f t="shared" si="45"/>
        <v>0</v>
      </c>
      <c r="Q131">
        <f t="shared" si="46"/>
        <v>0</v>
      </c>
      <c r="R131">
        <f t="shared" si="47"/>
        <v>0</v>
      </c>
      <c r="S131">
        <f t="shared" si="48"/>
        <v>0</v>
      </c>
      <c r="T131">
        <f t="shared" si="49"/>
        <v>0</v>
      </c>
      <c r="U131">
        <f t="shared" si="50"/>
        <v>1</v>
      </c>
      <c r="V131">
        <f t="shared" si="51"/>
        <v>0</v>
      </c>
      <c r="W131" t="s">
        <v>39</v>
      </c>
      <c r="X131">
        <f t="shared" si="52"/>
        <v>1</v>
      </c>
      <c r="Y131">
        <f t="shared" si="53"/>
        <v>0</v>
      </c>
      <c r="Z131">
        <v>3</v>
      </c>
      <c r="AA131">
        <f t="shared" si="54"/>
        <v>0.5</v>
      </c>
      <c r="AB131" t="s">
        <v>40</v>
      </c>
      <c r="AC131">
        <f t="shared" si="55"/>
        <v>0</v>
      </c>
      <c r="AD131">
        <f t="shared" si="56"/>
        <v>0</v>
      </c>
      <c r="AE131" t="s">
        <v>41</v>
      </c>
      <c r="AF131">
        <f>IF(AE131="website",1,0)</f>
        <v>1</v>
      </c>
    </row>
    <row r="132" spans="1:32">
      <c r="A132" t="s">
        <v>447</v>
      </c>
      <c r="B132" t="s">
        <v>33</v>
      </c>
      <c r="C132" s="3">
        <f t="shared" si="38"/>
        <v>0</v>
      </c>
      <c r="D132">
        <f t="shared" si="39"/>
        <v>1</v>
      </c>
      <c r="E132" t="s">
        <v>448</v>
      </c>
      <c r="F132" t="s">
        <v>449</v>
      </c>
      <c r="G132" s="1">
        <v>26269</v>
      </c>
      <c r="H132" s="2">
        <f t="shared" ca="1" si="40"/>
        <v>54</v>
      </c>
      <c r="I132" s="2">
        <f t="shared" ca="1" si="41"/>
        <v>0.41428571428571431</v>
      </c>
      <c r="J132" t="s">
        <v>45</v>
      </c>
      <c r="K132" t="s">
        <v>37</v>
      </c>
      <c r="L132">
        <f t="shared" si="42"/>
        <v>1</v>
      </c>
      <c r="M132">
        <f t="shared" si="43"/>
        <v>0</v>
      </c>
      <c r="N132">
        <f t="shared" si="44"/>
        <v>0</v>
      </c>
      <c r="O132" t="s">
        <v>38</v>
      </c>
      <c r="P132">
        <f t="shared" si="45"/>
        <v>1</v>
      </c>
      <c r="Q132">
        <f t="shared" si="46"/>
        <v>0</v>
      </c>
      <c r="R132">
        <f t="shared" si="47"/>
        <v>0</v>
      </c>
      <c r="S132">
        <f t="shared" si="48"/>
        <v>0</v>
      </c>
      <c r="T132">
        <f t="shared" si="49"/>
        <v>0</v>
      </c>
      <c r="U132">
        <f t="shared" si="50"/>
        <v>0</v>
      </c>
      <c r="V132">
        <f t="shared" si="51"/>
        <v>0</v>
      </c>
      <c r="W132" t="s">
        <v>39</v>
      </c>
      <c r="X132">
        <f t="shared" si="52"/>
        <v>1</v>
      </c>
      <c r="Y132">
        <f t="shared" si="53"/>
        <v>0</v>
      </c>
      <c r="Z132">
        <v>1</v>
      </c>
      <c r="AA132">
        <f t="shared" si="54"/>
        <v>0</v>
      </c>
      <c r="AB132" t="s">
        <v>46</v>
      </c>
      <c r="AC132">
        <f t="shared" si="55"/>
        <v>0</v>
      </c>
      <c r="AD132">
        <f t="shared" si="56"/>
        <v>0</v>
      </c>
      <c r="AE132" t="s">
        <v>41</v>
      </c>
      <c r="AF132">
        <f>IF(AE132="website",1,0)</f>
        <v>1</v>
      </c>
    </row>
    <row r="133" spans="1:32">
      <c r="A133" t="s">
        <v>450</v>
      </c>
      <c r="B133" t="s">
        <v>33</v>
      </c>
      <c r="C133" s="3">
        <f t="shared" si="38"/>
        <v>0</v>
      </c>
      <c r="D133">
        <f t="shared" si="39"/>
        <v>1</v>
      </c>
      <c r="E133" t="s">
        <v>451</v>
      </c>
      <c r="F133" t="s">
        <v>452</v>
      </c>
      <c r="G133" s="1">
        <v>23943</v>
      </c>
      <c r="H133" s="2">
        <f t="shared" ca="1" si="40"/>
        <v>61</v>
      </c>
      <c r="I133" s="2">
        <f t="shared" ca="1" si="41"/>
        <v>0.51428571428571423</v>
      </c>
      <c r="J133" t="s">
        <v>45</v>
      </c>
      <c r="K133" t="s">
        <v>37</v>
      </c>
      <c r="L133">
        <f t="shared" si="42"/>
        <v>1</v>
      </c>
      <c r="M133">
        <f t="shared" si="43"/>
        <v>0</v>
      </c>
      <c r="N133">
        <f t="shared" si="44"/>
        <v>0</v>
      </c>
      <c r="O133" t="s">
        <v>124</v>
      </c>
      <c r="P133">
        <f t="shared" si="45"/>
        <v>0</v>
      </c>
      <c r="Q133">
        <f t="shared" si="46"/>
        <v>0</v>
      </c>
      <c r="R133">
        <f t="shared" si="47"/>
        <v>0</v>
      </c>
      <c r="S133">
        <f t="shared" si="48"/>
        <v>0</v>
      </c>
      <c r="T133">
        <f t="shared" si="49"/>
        <v>0</v>
      </c>
      <c r="U133">
        <f t="shared" si="50"/>
        <v>1</v>
      </c>
      <c r="V133">
        <f t="shared" si="51"/>
        <v>0</v>
      </c>
      <c r="W133" t="s">
        <v>39</v>
      </c>
      <c r="X133">
        <f t="shared" si="52"/>
        <v>1</v>
      </c>
      <c r="Y133">
        <f t="shared" si="53"/>
        <v>0</v>
      </c>
      <c r="Z133">
        <v>1</v>
      </c>
      <c r="AA133">
        <f t="shared" si="54"/>
        <v>0</v>
      </c>
      <c r="AB133" t="s">
        <v>40</v>
      </c>
      <c r="AC133">
        <f t="shared" si="55"/>
        <v>1</v>
      </c>
      <c r="AD133">
        <f t="shared" si="56"/>
        <v>0</v>
      </c>
      <c r="AE133" t="s">
        <v>50</v>
      </c>
      <c r="AF133">
        <f>IF(AE133="website",1,0)</f>
        <v>0</v>
      </c>
    </row>
    <row r="134" spans="1:32">
      <c r="A134" t="s">
        <v>453</v>
      </c>
      <c r="B134" t="s">
        <v>33</v>
      </c>
      <c r="C134" s="3">
        <f t="shared" si="38"/>
        <v>0</v>
      </c>
      <c r="D134">
        <f t="shared" si="39"/>
        <v>1</v>
      </c>
      <c r="E134" t="s">
        <v>454</v>
      </c>
      <c r="F134" t="s">
        <v>455</v>
      </c>
      <c r="G134" s="1">
        <v>17059</v>
      </c>
      <c r="H134" s="2">
        <f t="shared" ca="1" si="40"/>
        <v>80</v>
      </c>
      <c r="I134" s="2">
        <f t="shared" ca="1" si="41"/>
        <v>0.7857142857142857</v>
      </c>
      <c r="J134" t="s">
        <v>45</v>
      </c>
      <c r="K134" t="s">
        <v>37</v>
      </c>
      <c r="L134">
        <f t="shared" si="42"/>
        <v>1</v>
      </c>
      <c r="M134">
        <f t="shared" si="43"/>
        <v>0</v>
      </c>
      <c r="N134">
        <f t="shared" si="44"/>
        <v>0</v>
      </c>
      <c r="O134" t="s">
        <v>38</v>
      </c>
      <c r="P134">
        <f t="shared" si="45"/>
        <v>1</v>
      </c>
      <c r="Q134">
        <f t="shared" si="46"/>
        <v>0</v>
      </c>
      <c r="R134">
        <f t="shared" si="47"/>
        <v>0</v>
      </c>
      <c r="S134">
        <f t="shared" si="48"/>
        <v>0</v>
      </c>
      <c r="T134">
        <f t="shared" si="49"/>
        <v>0</v>
      </c>
      <c r="U134">
        <f t="shared" si="50"/>
        <v>0</v>
      </c>
      <c r="V134">
        <f t="shared" si="51"/>
        <v>0</v>
      </c>
      <c r="W134" t="s">
        <v>58</v>
      </c>
      <c r="X134">
        <f t="shared" si="52"/>
        <v>0</v>
      </c>
      <c r="Y134">
        <f t="shared" si="53"/>
        <v>1</v>
      </c>
      <c r="Z134">
        <v>4</v>
      </c>
      <c r="AA134">
        <f t="shared" si="54"/>
        <v>0.75</v>
      </c>
      <c r="AB134" t="s">
        <v>46</v>
      </c>
      <c r="AC134">
        <f t="shared" si="55"/>
        <v>1</v>
      </c>
      <c r="AD134">
        <f t="shared" si="56"/>
        <v>0</v>
      </c>
      <c r="AE134" t="s">
        <v>50</v>
      </c>
      <c r="AF134">
        <f>IF(AE134="website",1,0)</f>
        <v>0</v>
      </c>
    </row>
    <row r="135" spans="1:32">
      <c r="A135" t="s">
        <v>456</v>
      </c>
      <c r="B135" t="s">
        <v>33</v>
      </c>
      <c r="C135" s="3">
        <f t="shared" si="38"/>
        <v>0</v>
      </c>
      <c r="D135">
        <f t="shared" si="39"/>
        <v>1</v>
      </c>
      <c r="E135" t="s">
        <v>457</v>
      </c>
      <c r="F135" t="s">
        <v>458</v>
      </c>
      <c r="G135" s="1">
        <v>11853</v>
      </c>
      <c r="H135" s="2">
        <f t="shared" ca="1" si="40"/>
        <v>94</v>
      </c>
      <c r="I135" s="2">
        <f t="shared" ca="1" si="41"/>
        <v>0.98571428571428577</v>
      </c>
      <c r="J135" t="s">
        <v>36</v>
      </c>
      <c r="K135" t="s">
        <v>172</v>
      </c>
      <c r="L135">
        <f t="shared" si="42"/>
        <v>0</v>
      </c>
      <c r="M135">
        <f t="shared" si="43"/>
        <v>0</v>
      </c>
      <c r="N135">
        <f t="shared" si="44"/>
        <v>0</v>
      </c>
      <c r="O135" t="s">
        <v>459</v>
      </c>
      <c r="P135">
        <f t="shared" si="45"/>
        <v>0</v>
      </c>
      <c r="Q135">
        <f t="shared" si="46"/>
        <v>0</v>
      </c>
      <c r="R135">
        <f t="shared" si="47"/>
        <v>0</v>
      </c>
      <c r="S135">
        <f t="shared" si="48"/>
        <v>0</v>
      </c>
      <c r="T135">
        <f t="shared" si="49"/>
        <v>0</v>
      </c>
      <c r="U135">
        <f t="shared" si="50"/>
        <v>0</v>
      </c>
      <c r="V135">
        <f t="shared" si="51"/>
        <v>0</v>
      </c>
      <c r="W135" t="s">
        <v>58</v>
      </c>
      <c r="X135">
        <f t="shared" si="52"/>
        <v>0</v>
      </c>
      <c r="Y135">
        <f t="shared" si="53"/>
        <v>1</v>
      </c>
      <c r="Z135">
        <v>3</v>
      </c>
      <c r="AA135">
        <f t="shared" si="54"/>
        <v>0.5</v>
      </c>
      <c r="AB135" t="s">
        <v>46</v>
      </c>
      <c r="AC135">
        <f t="shared" si="55"/>
        <v>0</v>
      </c>
      <c r="AD135">
        <f t="shared" si="56"/>
        <v>0</v>
      </c>
      <c r="AE135" t="s">
        <v>41</v>
      </c>
      <c r="AF135">
        <f>IF(AE135="website",1,0)</f>
        <v>1</v>
      </c>
    </row>
    <row r="136" spans="1:32">
      <c r="A136" t="s">
        <v>460</v>
      </c>
      <c r="B136" t="s">
        <v>33</v>
      </c>
      <c r="C136" s="3">
        <f t="shared" si="38"/>
        <v>0</v>
      </c>
      <c r="D136">
        <f t="shared" si="39"/>
        <v>1</v>
      </c>
      <c r="E136" t="s">
        <v>461</v>
      </c>
      <c r="F136" t="s">
        <v>462</v>
      </c>
      <c r="G136" s="1">
        <v>14309</v>
      </c>
      <c r="H136" s="2">
        <f t="shared" ca="1" si="40"/>
        <v>87</v>
      </c>
      <c r="I136" s="2">
        <f t="shared" ca="1" si="41"/>
        <v>0.88571428571428568</v>
      </c>
      <c r="J136" t="s">
        <v>45</v>
      </c>
      <c r="K136" t="s">
        <v>37</v>
      </c>
      <c r="L136">
        <f t="shared" si="42"/>
        <v>1</v>
      </c>
      <c r="M136">
        <f t="shared" si="43"/>
        <v>0</v>
      </c>
      <c r="N136">
        <f t="shared" si="44"/>
        <v>0</v>
      </c>
      <c r="O136" t="s">
        <v>183</v>
      </c>
      <c r="P136">
        <f t="shared" si="45"/>
        <v>0</v>
      </c>
      <c r="Q136">
        <f t="shared" si="46"/>
        <v>0</v>
      </c>
      <c r="R136">
        <f t="shared" si="47"/>
        <v>0</v>
      </c>
      <c r="S136">
        <f t="shared" si="48"/>
        <v>0</v>
      </c>
      <c r="T136">
        <f t="shared" si="49"/>
        <v>0</v>
      </c>
      <c r="U136">
        <f t="shared" si="50"/>
        <v>0</v>
      </c>
      <c r="V136">
        <f t="shared" si="51"/>
        <v>0</v>
      </c>
      <c r="W136" t="s">
        <v>58</v>
      </c>
      <c r="X136">
        <f t="shared" si="52"/>
        <v>0</v>
      </c>
      <c r="Y136">
        <f t="shared" si="53"/>
        <v>1</v>
      </c>
      <c r="Z136">
        <v>2</v>
      </c>
      <c r="AA136">
        <f t="shared" si="54"/>
        <v>0.25</v>
      </c>
      <c r="AB136" t="s">
        <v>46</v>
      </c>
      <c r="AC136">
        <f t="shared" si="55"/>
        <v>1</v>
      </c>
      <c r="AD136">
        <f t="shared" si="56"/>
        <v>0</v>
      </c>
      <c r="AE136" t="s">
        <v>50</v>
      </c>
      <c r="AF136">
        <f>IF(AE136="website",1,0)</f>
        <v>0</v>
      </c>
    </row>
    <row r="137" spans="1:32">
      <c r="A137" t="s">
        <v>463</v>
      </c>
      <c r="B137" t="s">
        <v>33</v>
      </c>
      <c r="C137" s="3">
        <f t="shared" si="38"/>
        <v>0</v>
      </c>
      <c r="D137">
        <f t="shared" si="39"/>
        <v>1</v>
      </c>
      <c r="E137" t="s">
        <v>464</v>
      </c>
      <c r="F137" t="s">
        <v>465</v>
      </c>
      <c r="G137" s="1">
        <v>26922</v>
      </c>
      <c r="H137" s="2">
        <f t="shared" ca="1" si="40"/>
        <v>53</v>
      </c>
      <c r="I137" s="2">
        <f t="shared" ca="1" si="41"/>
        <v>0.4</v>
      </c>
      <c r="J137" t="s">
        <v>45</v>
      </c>
      <c r="K137" t="s">
        <v>37</v>
      </c>
      <c r="L137">
        <f t="shared" si="42"/>
        <v>1</v>
      </c>
      <c r="M137">
        <f t="shared" si="43"/>
        <v>0</v>
      </c>
      <c r="N137">
        <f t="shared" si="44"/>
        <v>0</v>
      </c>
      <c r="O137" t="s">
        <v>38</v>
      </c>
      <c r="P137">
        <f t="shared" si="45"/>
        <v>1</v>
      </c>
      <c r="Q137">
        <f t="shared" si="46"/>
        <v>0</v>
      </c>
      <c r="R137">
        <f t="shared" si="47"/>
        <v>0</v>
      </c>
      <c r="S137">
        <f t="shared" si="48"/>
        <v>0</v>
      </c>
      <c r="T137">
        <f t="shared" si="49"/>
        <v>0</v>
      </c>
      <c r="U137">
        <f t="shared" si="50"/>
        <v>0</v>
      </c>
      <c r="V137">
        <f t="shared" si="51"/>
        <v>0</v>
      </c>
      <c r="W137" t="s">
        <v>39</v>
      </c>
      <c r="X137">
        <f t="shared" si="52"/>
        <v>1</v>
      </c>
      <c r="Y137">
        <f t="shared" si="53"/>
        <v>0</v>
      </c>
      <c r="Z137">
        <v>3</v>
      </c>
      <c r="AA137">
        <f t="shared" si="54"/>
        <v>0.5</v>
      </c>
      <c r="AB137" t="s">
        <v>46</v>
      </c>
      <c r="AC137">
        <f t="shared" si="55"/>
        <v>0</v>
      </c>
      <c r="AD137">
        <f t="shared" si="56"/>
        <v>0</v>
      </c>
      <c r="AE137" t="s">
        <v>41</v>
      </c>
      <c r="AF137">
        <f>IF(AE137="website",1,0)</f>
        <v>1</v>
      </c>
    </row>
    <row r="138" spans="1:32">
      <c r="A138" t="s">
        <v>466</v>
      </c>
      <c r="B138" t="s">
        <v>33</v>
      </c>
      <c r="C138" s="3">
        <f t="shared" si="38"/>
        <v>0</v>
      </c>
      <c r="D138">
        <f t="shared" si="39"/>
        <v>1</v>
      </c>
      <c r="E138" t="s">
        <v>467</v>
      </c>
      <c r="F138" t="s">
        <v>468</v>
      </c>
      <c r="G138" s="1">
        <v>21122</v>
      </c>
      <c r="H138" s="2">
        <f t="shared" ca="1" si="40"/>
        <v>68</v>
      </c>
      <c r="I138" s="2">
        <f t="shared" ca="1" si="41"/>
        <v>0.61428571428571432</v>
      </c>
      <c r="J138" t="s">
        <v>36</v>
      </c>
      <c r="K138" t="s">
        <v>37</v>
      </c>
      <c r="L138">
        <f t="shared" si="42"/>
        <v>1</v>
      </c>
      <c r="M138">
        <f t="shared" si="43"/>
        <v>0</v>
      </c>
      <c r="N138">
        <f t="shared" si="44"/>
        <v>0</v>
      </c>
      <c r="O138" t="s">
        <v>38</v>
      </c>
      <c r="P138">
        <f t="shared" si="45"/>
        <v>1</v>
      </c>
      <c r="Q138">
        <f t="shared" si="46"/>
        <v>0</v>
      </c>
      <c r="R138">
        <f t="shared" si="47"/>
        <v>0</v>
      </c>
      <c r="S138">
        <f t="shared" si="48"/>
        <v>0</v>
      </c>
      <c r="T138">
        <f t="shared" si="49"/>
        <v>0</v>
      </c>
      <c r="U138">
        <f t="shared" si="50"/>
        <v>0</v>
      </c>
      <c r="V138">
        <f t="shared" si="51"/>
        <v>0</v>
      </c>
      <c r="W138" t="s">
        <v>39</v>
      </c>
      <c r="X138">
        <f t="shared" si="52"/>
        <v>1</v>
      </c>
      <c r="Y138">
        <f t="shared" si="53"/>
        <v>0</v>
      </c>
      <c r="Z138">
        <v>3</v>
      </c>
      <c r="AA138">
        <f t="shared" si="54"/>
        <v>0.5</v>
      </c>
      <c r="AB138" t="s">
        <v>40</v>
      </c>
      <c r="AC138">
        <f t="shared" si="55"/>
        <v>0</v>
      </c>
      <c r="AD138">
        <f t="shared" si="56"/>
        <v>0</v>
      </c>
      <c r="AE138" t="s">
        <v>41</v>
      </c>
      <c r="AF138">
        <f>IF(AE138="website",1,0)</f>
        <v>1</v>
      </c>
    </row>
    <row r="139" spans="1:32">
      <c r="A139" t="s">
        <v>469</v>
      </c>
      <c r="B139" t="s">
        <v>33</v>
      </c>
      <c r="C139" s="3">
        <f t="shared" si="38"/>
        <v>0</v>
      </c>
      <c r="D139">
        <f t="shared" si="39"/>
        <v>1</v>
      </c>
      <c r="E139" t="s">
        <v>470</v>
      </c>
      <c r="F139" t="s">
        <v>471</v>
      </c>
      <c r="G139" s="1">
        <v>14426</v>
      </c>
      <c r="H139" s="2">
        <f t="shared" ca="1" si="40"/>
        <v>87</v>
      </c>
      <c r="I139" s="2">
        <f t="shared" ca="1" si="41"/>
        <v>0.88571428571428568</v>
      </c>
      <c r="J139" t="s">
        <v>36</v>
      </c>
      <c r="K139" t="s">
        <v>37</v>
      </c>
      <c r="L139">
        <f t="shared" si="42"/>
        <v>1</v>
      </c>
      <c r="M139">
        <f t="shared" si="43"/>
        <v>0</v>
      </c>
      <c r="N139">
        <f t="shared" si="44"/>
        <v>0</v>
      </c>
      <c r="O139" t="s">
        <v>76</v>
      </c>
      <c r="P139">
        <f t="shared" si="45"/>
        <v>0</v>
      </c>
      <c r="Q139">
        <f t="shared" si="46"/>
        <v>1</v>
      </c>
      <c r="R139">
        <f t="shared" si="47"/>
        <v>0</v>
      </c>
      <c r="S139">
        <f t="shared" si="48"/>
        <v>0</v>
      </c>
      <c r="T139">
        <f t="shared" si="49"/>
        <v>0</v>
      </c>
      <c r="U139">
        <f t="shared" si="50"/>
        <v>0</v>
      </c>
      <c r="V139">
        <f t="shared" si="51"/>
        <v>0</v>
      </c>
      <c r="W139" t="s">
        <v>58</v>
      </c>
      <c r="X139">
        <f t="shared" si="52"/>
        <v>0</v>
      </c>
      <c r="Y139">
        <f t="shared" si="53"/>
        <v>1</v>
      </c>
      <c r="Z139">
        <v>3</v>
      </c>
      <c r="AA139">
        <f t="shared" si="54"/>
        <v>0.5</v>
      </c>
      <c r="AB139" t="s">
        <v>40</v>
      </c>
      <c r="AC139">
        <f t="shared" si="55"/>
        <v>0</v>
      </c>
      <c r="AD139">
        <f t="shared" si="56"/>
        <v>0</v>
      </c>
      <c r="AE139" t="s">
        <v>41</v>
      </c>
      <c r="AF139">
        <f>IF(AE139="website",1,0)</f>
        <v>1</v>
      </c>
    </row>
    <row r="140" spans="1:32">
      <c r="A140" t="s">
        <v>472</v>
      </c>
      <c r="B140" t="s">
        <v>33</v>
      </c>
      <c r="C140" s="3">
        <f t="shared" si="38"/>
        <v>0</v>
      </c>
      <c r="D140">
        <f t="shared" si="39"/>
        <v>1</v>
      </c>
      <c r="E140" t="s">
        <v>473</v>
      </c>
      <c r="F140" t="s">
        <v>474</v>
      </c>
      <c r="G140" s="1">
        <v>25490</v>
      </c>
      <c r="H140" s="2">
        <f t="shared" ca="1" si="40"/>
        <v>56</v>
      </c>
      <c r="I140" s="2">
        <f t="shared" ca="1" si="41"/>
        <v>0.44285714285714284</v>
      </c>
      <c r="J140" t="s">
        <v>36</v>
      </c>
      <c r="K140" t="s">
        <v>37</v>
      </c>
      <c r="L140">
        <f t="shared" si="42"/>
        <v>1</v>
      </c>
      <c r="M140">
        <f t="shared" si="43"/>
        <v>0</v>
      </c>
      <c r="N140">
        <f t="shared" si="44"/>
        <v>0</v>
      </c>
      <c r="O140" t="s">
        <v>38</v>
      </c>
      <c r="P140">
        <f t="shared" si="45"/>
        <v>1</v>
      </c>
      <c r="Q140">
        <f t="shared" si="46"/>
        <v>0</v>
      </c>
      <c r="R140">
        <f t="shared" si="47"/>
        <v>0</v>
      </c>
      <c r="S140">
        <f t="shared" si="48"/>
        <v>0</v>
      </c>
      <c r="T140">
        <f t="shared" si="49"/>
        <v>0</v>
      </c>
      <c r="U140">
        <f t="shared" si="50"/>
        <v>0</v>
      </c>
      <c r="V140">
        <f t="shared" si="51"/>
        <v>0</v>
      </c>
      <c r="W140" t="s">
        <v>39</v>
      </c>
      <c r="X140">
        <f t="shared" si="52"/>
        <v>1</v>
      </c>
      <c r="Y140">
        <f t="shared" si="53"/>
        <v>0</v>
      </c>
      <c r="Z140">
        <v>5</v>
      </c>
      <c r="AA140">
        <f t="shared" si="54"/>
        <v>1</v>
      </c>
      <c r="AB140" t="s">
        <v>40</v>
      </c>
      <c r="AC140">
        <f t="shared" si="55"/>
        <v>0</v>
      </c>
      <c r="AD140">
        <f t="shared" si="56"/>
        <v>0</v>
      </c>
      <c r="AE140" t="s">
        <v>41</v>
      </c>
      <c r="AF140">
        <f>IF(AE140="website",1,0)</f>
        <v>1</v>
      </c>
    </row>
    <row r="141" spans="1:32">
      <c r="A141" t="s">
        <v>475</v>
      </c>
      <c r="B141" t="s">
        <v>33</v>
      </c>
      <c r="C141" s="3">
        <f t="shared" si="38"/>
        <v>0</v>
      </c>
      <c r="D141">
        <f t="shared" si="39"/>
        <v>1</v>
      </c>
      <c r="E141" t="s">
        <v>476</v>
      </c>
      <c r="F141" t="s">
        <v>477</v>
      </c>
      <c r="G141" s="1">
        <v>19163</v>
      </c>
      <c r="H141" s="2">
        <f t="shared" ca="1" si="40"/>
        <v>74</v>
      </c>
      <c r="I141" s="2">
        <f t="shared" ca="1" si="41"/>
        <v>0.7</v>
      </c>
      <c r="J141" t="s">
        <v>36</v>
      </c>
      <c r="K141" t="s">
        <v>37</v>
      </c>
      <c r="L141">
        <f t="shared" si="42"/>
        <v>1</v>
      </c>
      <c r="M141">
        <f t="shared" si="43"/>
        <v>0</v>
      </c>
      <c r="N141">
        <f t="shared" si="44"/>
        <v>0</v>
      </c>
      <c r="O141" t="s">
        <v>38</v>
      </c>
      <c r="P141">
        <f t="shared" si="45"/>
        <v>1</v>
      </c>
      <c r="Q141">
        <f t="shared" si="46"/>
        <v>0</v>
      </c>
      <c r="R141">
        <f t="shared" si="47"/>
        <v>0</v>
      </c>
      <c r="S141">
        <f t="shared" si="48"/>
        <v>0</v>
      </c>
      <c r="T141">
        <f t="shared" si="49"/>
        <v>0</v>
      </c>
      <c r="U141">
        <f t="shared" si="50"/>
        <v>0</v>
      </c>
      <c r="V141">
        <f t="shared" si="51"/>
        <v>0</v>
      </c>
      <c r="W141" t="s">
        <v>39</v>
      </c>
      <c r="X141">
        <f t="shared" si="52"/>
        <v>1</v>
      </c>
      <c r="Y141">
        <f t="shared" si="53"/>
        <v>0</v>
      </c>
      <c r="Z141">
        <v>3</v>
      </c>
      <c r="AA141">
        <f t="shared" si="54"/>
        <v>0.5</v>
      </c>
      <c r="AB141" t="s">
        <v>46</v>
      </c>
      <c r="AC141">
        <f t="shared" si="55"/>
        <v>0</v>
      </c>
      <c r="AD141">
        <f t="shared" si="56"/>
        <v>0</v>
      </c>
      <c r="AE141" t="s">
        <v>41</v>
      </c>
      <c r="AF141">
        <f>IF(AE141="website",1,0)</f>
        <v>1</v>
      </c>
    </row>
    <row r="142" spans="1:32">
      <c r="A142" t="s">
        <v>478</v>
      </c>
      <c r="B142" t="s">
        <v>33</v>
      </c>
      <c r="C142" s="3">
        <f t="shared" si="38"/>
        <v>0</v>
      </c>
      <c r="D142">
        <f t="shared" si="39"/>
        <v>1</v>
      </c>
      <c r="E142" t="s">
        <v>479</v>
      </c>
      <c r="F142" t="s">
        <v>480</v>
      </c>
      <c r="G142" s="1">
        <v>31584</v>
      </c>
      <c r="H142" s="2">
        <f t="shared" ca="1" si="40"/>
        <v>40</v>
      </c>
      <c r="I142" s="2">
        <f t="shared" ca="1" si="41"/>
        <v>0.21428571428571427</v>
      </c>
      <c r="J142" t="s">
        <v>36</v>
      </c>
      <c r="K142" t="s">
        <v>37</v>
      </c>
      <c r="L142">
        <f t="shared" si="42"/>
        <v>1</v>
      </c>
      <c r="M142">
        <f t="shared" si="43"/>
        <v>0</v>
      </c>
      <c r="N142">
        <f t="shared" si="44"/>
        <v>0</v>
      </c>
      <c r="O142" t="s">
        <v>38</v>
      </c>
      <c r="P142">
        <f t="shared" si="45"/>
        <v>1</v>
      </c>
      <c r="Q142">
        <f t="shared" si="46"/>
        <v>0</v>
      </c>
      <c r="R142">
        <f t="shared" si="47"/>
        <v>0</v>
      </c>
      <c r="S142">
        <f t="shared" si="48"/>
        <v>0</v>
      </c>
      <c r="T142">
        <f t="shared" si="49"/>
        <v>0</v>
      </c>
      <c r="U142">
        <f t="shared" si="50"/>
        <v>0</v>
      </c>
      <c r="V142">
        <f t="shared" si="51"/>
        <v>0</v>
      </c>
      <c r="W142" t="s">
        <v>39</v>
      </c>
      <c r="X142">
        <f t="shared" si="52"/>
        <v>1</v>
      </c>
      <c r="Y142">
        <f t="shared" si="53"/>
        <v>0</v>
      </c>
      <c r="Z142">
        <v>5</v>
      </c>
      <c r="AA142">
        <f t="shared" si="54"/>
        <v>1</v>
      </c>
      <c r="AB142" t="s">
        <v>46</v>
      </c>
      <c r="AC142">
        <f t="shared" si="55"/>
        <v>0</v>
      </c>
      <c r="AD142">
        <f t="shared" si="56"/>
        <v>0</v>
      </c>
      <c r="AE142" t="s">
        <v>41</v>
      </c>
      <c r="AF142">
        <f>IF(AE142="website",1,0)</f>
        <v>1</v>
      </c>
    </row>
    <row r="143" spans="1:32">
      <c r="A143" t="s">
        <v>481</v>
      </c>
      <c r="B143" t="s">
        <v>33</v>
      </c>
      <c r="C143" s="3">
        <f t="shared" si="38"/>
        <v>0</v>
      </c>
      <c r="D143">
        <f t="shared" si="39"/>
        <v>1</v>
      </c>
      <c r="E143" t="s">
        <v>482</v>
      </c>
      <c r="F143" t="s">
        <v>483</v>
      </c>
      <c r="G143" s="1">
        <v>28645</v>
      </c>
      <c r="H143" s="2">
        <f t="shared" ca="1" si="40"/>
        <v>48</v>
      </c>
      <c r="I143" s="2">
        <f t="shared" ca="1" si="41"/>
        <v>0.32857142857142857</v>
      </c>
      <c r="J143" t="s">
        <v>36</v>
      </c>
      <c r="K143" t="s">
        <v>37</v>
      </c>
      <c r="L143">
        <f t="shared" si="42"/>
        <v>1</v>
      </c>
      <c r="M143">
        <f t="shared" si="43"/>
        <v>0</v>
      </c>
      <c r="N143">
        <f t="shared" si="44"/>
        <v>0</v>
      </c>
      <c r="O143" t="s">
        <v>124</v>
      </c>
      <c r="P143">
        <f t="shared" si="45"/>
        <v>0</v>
      </c>
      <c r="Q143">
        <f t="shared" si="46"/>
        <v>0</v>
      </c>
      <c r="R143">
        <f t="shared" si="47"/>
        <v>0</v>
      </c>
      <c r="S143">
        <f t="shared" si="48"/>
        <v>0</v>
      </c>
      <c r="T143">
        <f t="shared" si="49"/>
        <v>0</v>
      </c>
      <c r="U143">
        <f t="shared" si="50"/>
        <v>1</v>
      </c>
      <c r="V143">
        <f t="shared" si="51"/>
        <v>0</v>
      </c>
      <c r="W143" t="s">
        <v>39</v>
      </c>
      <c r="X143">
        <f t="shared" si="52"/>
        <v>1</v>
      </c>
      <c r="Y143">
        <f t="shared" si="53"/>
        <v>0</v>
      </c>
      <c r="Z143">
        <v>3</v>
      </c>
      <c r="AA143">
        <f t="shared" si="54"/>
        <v>0.5</v>
      </c>
      <c r="AB143" t="s">
        <v>40</v>
      </c>
      <c r="AC143">
        <f t="shared" si="55"/>
        <v>0</v>
      </c>
      <c r="AD143">
        <f t="shared" si="56"/>
        <v>0</v>
      </c>
      <c r="AE143" t="s">
        <v>41</v>
      </c>
      <c r="AF143">
        <f>IF(AE143="website",1,0)</f>
        <v>1</v>
      </c>
    </row>
    <row r="144" spans="1:32">
      <c r="A144" t="s">
        <v>484</v>
      </c>
      <c r="B144" t="s">
        <v>33</v>
      </c>
      <c r="C144" s="3">
        <f t="shared" si="38"/>
        <v>0</v>
      </c>
      <c r="D144">
        <f t="shared" si="39"/>
        <v>1</v>
      </c>
      <c r="E144" t="s">
        <v>485</v>
      </c>
      <c r="F144" t="s">
        <v>486</v>
      </c>
      <c r="G144" s="1">
        <v>21240</v>
      </c>
      <c r="H144" s="2">
        <f t="shared" ca="1" si="40"/>
        <v>68</v>
      </c>
      <c r="I144" s="2">
        <f t="shared" ca="1" si="41"/>
        <v>0.61428571428571432</v>
      </c>
      <c r="J144" t="s">
        <v>45</v>
      </c>
      <c r="K144" t="s">
        <v>37</v>
      </c>
      <c r="L144">
        <f t="shared" si="42"/>
        <v>1</v>
      </c>
      <c r="M144">
        <f t="shared" si="43"/>
        <v>0</v>
      </c>
      <c r="N144">
        <f t="shared" si="44"/>
        <v>0</v>
      </c>
      <c r="O144" t="s">
        <v>38</v>
      </c>
      <c r="P144">
        <f t="shared" si="45"/>
        <v>1</v>
      </c>
      <c r="Q144">
        <f t="shared" si="46"/>
        <v>0</v>
      </c>
      <c r="R144">
        <f t="shared" si="47"/>
        <v>0</v>
      </c>
      <c r="S144">
        <f t="shared" si="48"/>
        <v>0</v>
      </c>
      <c r="T144">
        <f t="shared" si="49"/>
        <v>0</v>
      </c>
      <c r="U144">
        <f t="shared" si="50"/>
        <v>0</v>
      </c>
      <c r="V144">
        <f t="shared" si="51"/>
        <v>0</v>
      </c>
      <c r="W144" t="s">
        <v>39</v>
      </c>
      <c r="X144">
        <f t="shared" si="52"/>
        <v>1</v>
      </c>
      <c r="Y144">
        <f t="shared" si="53"/>
        <v>0</v>
      </c>
      <c r="Z144">
        <v>1</v>
      </c>
      <c r="AA144">
        <f t="shared" si="54"/>
        <v>0</v>
      </c>
      <c r="AB144" t="s">
        <v>46</v>
      </c>
      <c r="AC144">
        <f t="shared" si="55"/>
        <v>0</v>
      </c>
      <c r="AD144">
        <f t="shared" si="56"/>
        <v>0</v>
      </c>
      <c r="AE144" t="s">
        <v>41</v>
      </c>
      <c r="AF144">
        <f>IF(AE144="website",1,0)</f>
        <v>1</v>
      </c>
    </row>
    <row r="145" spans="1:32">
      <c r="A145" t="s">
        <v>487</v>
      </c>
      <c r="B145" t="s">
        <v>33</v>
      </c>
      <c r="C145" s="3">
        <f t="shared" si="38"/>
        <v>0</v>
      </c>
      <c r="D145">
        <f t="shared" si="39"/>
        <v>1</v>
      </c>
      <c r="E145" t="s">
        <v>488</v>
      </c>
      <c r="F145" t="s">
        <v>489</v>
      </c>
      <c r="G145" s="1">
        <v>19996</v>
      </c>
      <c r="H145" s="2">
        <f t="shared" ca="1" si="40"/>
        <v>72</v>
      </c>
      <c r="I145" s="2">
        <f t="shared" ca="1" si="41"/>
        <v>0.67142857142857137</v>
      </c>
      <c r="J145" t="s">
        <v>45</v>
      </c>
      <c r="K145" t="s">
        <v>37</v>
      </c>
      <c r="L145">
        <f t="shared" si="42"/>
        <v>1</v>
      </c>
      <c r="M145">
        <f t="shared" si="43"/>
        <v>0</v>
      </c>
      <c r="N145">
        <f t="shared" si="44"/>
        <v>0</v>
      </c>
      <c r="O145" t="s">
        <v>38</v>
      </c>
      <c r="P145">
        <f t="shared" si="45"/>
        <v>1</v>
      </c>
      <c r="Q145">
        <f t="shared" si="46"/>
        <v>0</v>
      </c>
      <c r="R145">
        <f t="shared" si="47"/>
        <v>0</v>
      </c>
      <c r="S145">
        <f t="shared" si="48"/>
        <v>0</v>
      </c>
      <c r="T145">
        <f t="shared" si="49"/>
        <v>0</v>
      </c>
      <c r="U145">
        <f t="shared" si="50"/>
        <v>0</v>
      </c>
      <c r="V145">
        <f t="shared" si="51"/>
        <v>0</v>
      </c>
      <c r="W145" t="s">
        <v>39</v>
      </c>
      <c r="X145">
        <f t="shared" si="52"/>
        <v>1</v>
      </c>
      <c r="Y145">
        <f t="shared" si="53"/>
        <v>0</v>
      </c>
      <c r="Z145">
        <v>4</v>
      </c>
      <c r="AA145">
        <f t="shared" si="54"/>
        <v>0.75</v>
      </c>
      <c r="AB145" t="s">
        <v>46</v>
      </c>
      <c r="AC145">
        <f t="shared" si="55"/>
        <v>1</v>
      </c>
      <c r="AD145">
        <f t="shared" si="56"/>
        <v>0</v>
      </c>
      <c r="AE145" t="s">
        <v>50</v>
      </c>
      <c r="AF145">
        <f>IF(AE145="website",1,0)</f>
        <v>0</v>
      </c>
    </row>
    <row r="146" spans="1:32">
      <c r="A146" t="s">
        <v>490</v>
      </c>
      <c r="B146" t="s">
        <v>33</v>
      </c>
      <c r="C146" s="3">
        <f t="shared" si="38"/>
        <v>0</v>
      </c>
      <c r="D146">
        <f t="shared" si="39"/>
        <v>1</v>
      </c>
      <c r="E146" t="s">
        <v>491</v>
      </c>
      <c r="F146" t="s">
        <v>492</v>
      </c>
      <c r="G146" s="1">
        <v>23711</v>
      </c>
      <c r="H146" s="2">
        <f t="shared" ca="1" si="40"/>
        <v>61</v>
      </c>
      <c r="I146" s="2">
        <f t="shared" ca="1" si="41"/>
        <v>0.51428571428571423</v>
      </c>
      <c r="J146" t="s">
        <v>36</v>
      </c>
      <c r="K146" t="s">
        <v>37</v>
      </c>
      <c r="L146">
        <f t="shared" si="42"/>
        <v>1</v>
      </c>
      <c r="M146">
        <f t="shared" si="43"/>
        <v>0</v>
      </c>
      <c r="N146">
        <f t="shared" si="44"/>
        <v>0</v>
      </c>
      <c r="O146" t="s">
        <v>38</v>
      </c>
      <c r="P146">
        <f t="shared" si="45"/>
        <v>1</v>
      </c>
      <c r="Q146">
        <f t="shared" si="46"/>
        <v>0</v>
      </c>
      <c r="R146">
        <f t="shared" si="47"/>
        <v>0</v>
      </c>
      <c r="S146">
        <f t="shared" si="48"/>
        <v>0</v>
      </c>
      <c r="T146">
        <f t="shared" si="49"/>
        <v>0</v>
      </c>
      <c r="U146">
        <f t="shared" si="50"/>
        <v>0</v>
      </c>
      <c r="V146">
        <f t="shared" si="51"/>
        <v>0</v>
      </c>
      <c r="W146" t="s">
        <v>39</v>
      </c>
      <c r="X146">
        <f t="shared" si="52"/>
        <v>1</v>
      </c>
      <c r="Y146">
        <f t="shared" si="53"/>
        <v>0</v>
      </c>
      <c r="Z146">
        <v>4</v>
      </c>
      <c r="AA146">
        <f t="shared" si="54"/>
        <v>0.75</v>
      </c>
      <c r="AB146" t="s">
        <v>46</v>
      </c>
      <c r="AC146">
        <f t="shared" si="55"/>
        <v>0</v>
      </c>
      <c r="AD146">
        <f t="shared" si="56"/>
        <v>0</v>
      </c>
      <c r="AE146" t="s">
        <v>41</v>
      </c>
      <c r="AF146">
        <f>IF(AE146="website",1,0)</f>
        <v>1</v>
      </c>
    </row>
    <row r="147" spans="1:32">
      <c r="A147" t="s">
        <v>493</v>
      </c>
      <c r="B147" t="s">
        <v>33</v>
      </c>
      <c r="C147" s="3">
        <f t="shared" si="38"/>
        <v>0</v>
      </c>
      <c r="D147">
        <f t="shared" si="39"/>
        <v>1</v>
      </c>
      <c r="E147" t="s">
        <v>494</v>
      </c>
      <c r="F147" t="s">
        <v>495</v>
      </c>
      <c r="G147" s="1">
        <v>23043</v>
      </c>
      <c r="H147" s="2">
        <f t="shared" ca="1" si="40"/>
        <v>63</v>
      </c>
      <c r="I147" s="2">
        <f t="shared" ca="1" si="41"/>
        <v>0.54285714285714282</v>
      </c>
      <c r="J147" t="s">
        <v>45</v>
      </c>
      <c r="K147" t="s">
        <v>37</v>
      </c>
      <c r="L147">
        <f t="shared" si="42"/>
        <v>1</v>
      </c>
      <c r="M147">
        <f t="shared" si="43"/>
        <v>0</v>
      </c>
      <c r="N147">
        <f t="shared" si="44"/>
        <v>0</v>
      </c>
      <c r="O147" t="s">
        <v>137</v>
      </c>
      <c r="P147">
        <f t="shared" si="45"/>
        <v>0</v>
      </c>
      <c r="Q147">
        <f t="shared" si="46"/>
        <v>0</v>
      </c>
      <c r="R147">
        <f t="shared" si="47"/>
        <v>0</v>
      </c>
      <c r="S147">
        <f t="shared" si="48"/>
        <v>0</v>
      </c>
      <c r="T147">
        <f t="shared" si="49"/>
        <v>0</v>
      </c>
      <c r="U147">
        <f t="shared" si="50"/>
        <v>0</v>
      </c>
      <c r="V147">
        <f t="shared" si="51"/>
        <v>0</v>
      </c>
      <c r="W147" t="s">
        <v>39</v>
      </c>
      <c r="X147">
        <f t="shared" si="52"/>
        <v>1</v>
      </c>
      <c r="Y147">
        <f t="shared" si="53"/>
        <v>0</v>
      </c>
      <c r="Z147">
        <v>2</v>
      </c>
      <c r="AA147">
        <f t="shared" si="54"/>
        <v>0.25</v>
      </c>
      <c r="AB147" t="s">
        <v>46</v>
      </c>
      <c r="AC147">
        <f t="shared" si="55"/>
        <v>0</v>
      </c>
      <c r="AD147">
        <f t="shared" si="56"/>
        <v>0</v>
      </c>
      <c r="AE147" t="s">
        <v>41</v>
      </c>
      <c r="AF147">
        <f>IF(AE147="website",1,0)</f>
        <v>1</v>
      </c>
    </row>
    <row r="148" spans="1:32">
      <c r="A148" t="s">
        <v>496</v>
      </c>
      <c r="B148" t="s">
        <v>33</v>
      </c>
      <c r="C148" s="3">
        <f t="shared" si="38"/>
        <v>0</v>
      </c>
      <c r="D148">
        <f t="shared" si="39"/>
        <v>1</v>
      </c>
      <c r="E148" t="s">
        <v>497</v>
      </c>
      <c r="F148" t="s">
        <v>498</v>
      </c>
      <c r="G148" s="1">
        <v>17583</v>
      </c>
      <c r="H148" s="2">
        <f t="shared" ca="1" si="40"/>
        <v>78</v>
      </c>
      <c r="I148" s="2">
        <f t="shared" ca="1" si="41"/>
        <v>0.75714285714285712</v>
      </c>
      <c r="J148" t="s">
        <v>45</v>
      </c>
      <c r="K148" t="s">
        <v>37</v>
      </c>
      <c r="L148">
        <f t="shared" si="42"/>
        <v>1</v>
      </c>
      <c r="M148">
        <f t="shared" si="43"/>
        <v>0</v>
      </c>
      <c r="N148">
        <f t="shared" si="44"/>
        <v>0</v>
      </c>
      <c r="O148" t="s">
        <v>183</v>
      </c>
      <c r="P148">
        <f t="shared" si="45"/>
        <v>0</v>
      </c>
      <c r="Q148">
        <f t="shared" si="46"/>
        <v>0</v>
      </c>
      <c r="R148">
        <f t="shared" si="47"/>
        <v>0</v>
      </c>
      <c r="S148">
        <f t="shared" si="48"/>
        <v>0</v>
      </c>
      <c r="T148">
        <f t="shared" si="49"/>
        <v>0</v>
      </c>
      <c r="U148">
        <f t="shared" si="50"/>
        <v>0</v>
      </c>
      <c r="V148">
        <f t="shared" si="51"/>
        <v>0</v>
      </c>
      <c r="W148" t="s">
        <v>39</v>
      </c>
      <c r="X148">
        <f t="shared" si="52"/>
        <v>1</v>
      </c>
      <c r="Y148">
        <f t="shared" si="53"/>
        <v>0</v>
      </c>
      <c r="Z148">
        <v>4</v>
      </c>
      <c r="AA148">
        <f t="shared" si="54"/>
        <v>0.75</v>
      </c>
      <c r="AB148" t="s">
        <v>46</v>
      </c>
      <c r="AC148">
        <f t="shared" si="55"/>
        <v>0</v>
      </c>
      <c r="AD148">
        <f t="shared" si="56"/>
        <v>1</v>
      </c>
      <c r="AE148" t="s">
        <v>90</v>
      </c>
      <c r="AF148">
        <f>IF(AE148="website",1,0)</f>
        <v>0</v>
      </c>
    </row>
    <row r="149" spans="1:32">
      <c r="A149" t="s">
        <v>499</v>
      </c>
      <c r="B149" t="s">
        <v>33</v>
      </c>
      <c r="C149" s="3">
        <f t="shared" si="38"/>
        <v>0</v>
      </c>
      <c r="D149">
        <f t="shared" si="39"/>
        <v>1</v>
      </c>
      <c r="E149" t="s">
        <v>500</v>
      </c>
      <c r="F149" t="s">
        <v>501</v>
      </c>
      <c r="G149" s="1">
        <v>25312</v>
      </c>
      <c r="H149" s="2">
        <f t="shared" ca="1" si="40"/>
        <v>57</v>
      </c>
      <c r="I149" s="2">
        <f t="shared" ca="1" si="41"/>
        <v>0.45714285714285713</v>
      </c>
      <c r="J149" t="s">
        <v>45</v>
      </c>
      <c r="K149" t="s">
        <v>37</v>
      </c>
      <c r="L149">
        <f t="shared" si="42"/>
        <v>1</v>
      </c>
      <c r="M149">
        <f t="shared" si="43"/>
        <v>0</v>
      </c>
      <c r="N149">
        <f t="shared" si="44"/>
        <v>0</v>
      </c>
      <c r="O149" t="s">
        <v>137</v>
      </c>
      <c r="P149">
        <f t="shared" si="45"/>
        <v>0</v>
      </c>
      <c r="Q149">
        <f t="shared" si="46"/>
        <v>0</v>
      </c>
      <c r="R149">
        <f t="shared" si="47"/>
        <v>0</v>
      </c>
      <c r="S149">
        <f t="shared" si="48"/>
        <v>0</v>
      </c>
      <c r="T149">
        <f t="shared" si="49"/>
        <v>0</v>
      </c>
      <c r="U149">
        <f t="shared" si="50"/>
        <v>0</v>
      </c>
      <c r="V149">
        <f t="shared" si="51"/>
        <v>0</v>
      </c>
      <c r="W149" t="s">
        <v>58</v>
      </c>
      <c r="X149">
        <f t="shared" si="52"/>
        <v>0</v>
      </c>
      <c r="Y149">
        <f t="shared" si="53"/>
        <v>1</v>
      </c>
      <c r="Z149">
        <v>4</v>
      </c>
      <c r="AA149">
        <f t="shared" si="54"/>
        <v>0.75</v>
      </c>
      <c r="AB149" t="s">
        <v>40</v>
      </c>
      <c r="AC149">
        <f t="shared" si="55"/>
        <v>1</v>
      </c>
      <c r="AD149">
        <f t="shared" si="56"/>
        <v>0</v>
      </c>
      <c r="AE149" t="s">
        <v>50</v>
      </c>
      <c r="AF149">
        <f>IF(AE149="website",1,0)</f>
        <v>0</v>
      </c>
    </row>
    <row r="150" spans="1:32">
      <c r="A150" t="s">
        <v>502</v>
      </c>
      <c r="B150" t="s">
        <v>33</v>
      </c>
      <c r="C150" s="3">
        <f t="shared" si="38"/>
        <v>0</v>
      </c>
      <c r="D150">
        <f t="shared" si="39"/>
        <v>1</v>
      </c>
      <c r="E150" t="s">
        <v>503</v>
      </c>
      <c r="F150" t="s">
        <v>504</v>
      </c>
      <c r="G150" s="1">
        <v>20425</v>
      </c>
      <c r="H150" s="2">
        <f t="shared" ca="1" si="40"/>
        <v>70</v>
      </c>
      <c r="I150" s="2">
        <f t="shared" ca="1" si="41"/>
        <v>0.6428571428571429</v>
      </c>
      <c r="J150" t="s">
        <v>45</v>
      </c>
      <c r="K150" t="s">
        <v>172</v>
      </c>
      <c r="L150">
        <f t="shared" si="42"/>
        <v>0</v>
      </c>
      <c r="M150">
        <f t="shared" si="43"/>
        <v>0</v>
      </c>
      <c r="N150">
        <f t="shared" si="44"/>
        <v>0</v>
      </c>
      <c r="O150" t="s">
        <v>173</v>
      </c>
      <c r="P150">
        <f t="shared" si="45"/>
        <v>0</v>
      </c>
      <c r="Q150">
        <f t="shared" si="46"/>
        <v>0</v>
      </c>
      <c r="R150">
        <f t="shared" si="47"/>
        <v>0</v>
      </c>
      <c r="S150">
        <f t="shared" si="48"/>
        <v>0</v>
      </c>
      <c r="T150">
        <f t="shared" si="49"/>
        <v>0</v>
      </c>
      <c r="U150">
        <f t="shared" si="50"/>
        <v>0</v>
      </c>
      <c r="V150">
        <f t="shared" si="51"/>
        <v>0</v>
      </c>
      <c r="W150" t="s">
        <v>58</v>
      </c>
      <c r="X150">
        <f t="shared" si="52"/>
        <v>0</v>
      </c>
      <c r="Y150">
        <f t="shared" si="53"/>
        <v>1</v>
      </c>
      <c r="Z150">
        <v>3</v>
      </c>
      <c r="AA150">
        <f t="shared" si="54"/>
        <v>0.5</v>
      </c>
      <c r="AB150" t="s">
        <v>46</v>
      </c>
      <c r="AC150">
        <f t="shared" si="55"/>
        <v>1</v>
      </c>
      <c r="AD150">
        <f t="shared" si="56"/>
        <v>0</v>
      </c>
      <c r="AE150" t="s">
        <v>50</v>
      </c>
      <c r="AF150">
        <f>IF(AE150="website",1,0)</f>
        <v>0</v>
      </c>
    </row>
    <row r="151" spans="1:32">
      <c r="A151" t="s">
        <v>505</v>
      </c>
      <c r="B151" t="s">
        <v>33</v>
      </c>
      <c r="C151" s="3">
        <f t="shared" si="38"/>
        <v>0</v>
      </c>
      <c r="D151">
        <f t="shared" si="39"/>
        <v>1</v>
      </c>
      <c r="E151" t="s">
        <v>506</v>
      </c>
      <c r="F151" t="s">
        <v>507</v>
      </c>
      <c r="G151" s="1">
        <v>25075</v>
      </c>
      <c r="H151" s="2">
        <f t="shared" ca="1" si="40"/>
        <v>58</v>
      </c>
      <c r="I151" s="2">
        <f t="shared" ca="1" si="41"/>
        <v>0.47142857142857142</v>
      </c>
      <c r="J151" t="s">
        <v>45</v>
      </c>
      <c r="K151" t="s">
        <v>37</v>
      </c>
      <c r="L151">
        <f t="shared" si="42"/>
        <v>1</v>
      </c>
      <c r="M151">
        <f t="shared" si="43"/>
        <v>0</v>
      </c>
      <c r="N151">
        <f t="shared" si="44"/>
        <v>0</v>
      </c>
      <c r="O151" t="s">
        <v>38</v>
      </c>
      <c r="P151">
        <f t="shared" si="45"/>
        <v>1</v>
      </c>
      <c r="Q151">
        <f t="shared" si="46"/>
        <v>0</v>
      </c>
      <c r="R151">
        <f t="shared" si="47"/>
        <v>0</v>
      </c>
      <c r="S151">
        <f t="shared" si="48"/>
        <v>0</v>
      </c>
      <c r="T151">
        <f t="shared" si="49"/>
        <v>0</v>
      </c>
      <c r="U151">
        <f t="shared" si="50"/>
        <v>0</v>
      </c>
      <c r="V151">
        <f t="shared" si="51"/>
        <v>0</v>
      </c>
      <c r="W151" t="s">
        <v>39</v>
      </c>
      <c r="X151">
        <f t="shared" si="52"/>
        <v>1</v>
      </c>
      <c r="Y151">
        <f t="shared" si="53"/>
        <v>0</v>
      </c>
      <c r="Z151">
        <v>2</v>
      </c>
      <c r="AA151">
        <f t="shared" si="54"/>
        <v>0.25</v>
      </c>
      <c r="AB151" t="s">
        <v>40</v>
      </c>
      <c r="AC151">
        <f t="shared" si="55"/>
        <v>0</v>
      </c>
      <c r="AD151">
        <f t="shared" si="56"/>
        <v>0</v>
      </c>
      <c r="AE151" t="s">
        <v>41</v>
      </c>
      <c r="AF151">
        <f>IF(AE151="website",1,0)</f>
        <v>1</v>
      </c>
    </row>
    <row r="152" spans="1:32">
      <c r="A152" t="s">
        <v>508</v>
      </c>
      <c r="B152" t="s">
        <v>33</v>
      </c>
      <c r="C152" s="3">
        <f t="shared" si="38"/>
        <v>0</v>
      </c>
      <c r="D152">
        <f t="shared" si="39"/>
        <v>1</v>
      </c>
      <c r="E152" t="s">
        <v>509</v>
      </c>
      <c r="F152" t="s">
        <v>510</v>
      </c>
      <c r="G152" s="1">
        <v>27989</v>
      </c>
      <c r="H152" s="2">
        <f t="shared" ca="1" si="40"/>
        <v>50</v>
      </c>
      <c r="I152" s="2">
        <f t="shared" ca="1" si="41"/>
        <v>0.35714285714285715</v>
      </c>
      <c r="J152" t="s">
        <v>36</v>
      </c>
      <c r="K152" t="s">
        <v>37</v>
      </c>
      <c r="L152">
        <f t="shared" si="42"/>
        <v>1</v>
      </c>
      <c r="M152">
        <f t="shared" si="43"/>
        <v>0</v>
      </c>
      <c r="N152">
        <f t="shared" si="44"/>
        <v>0</v>
      </c>
      <c r="O152" t="s">
        <v>76</v>
      </c>
      <c r="P152">
        <f t="shared" si="45"/>
        <v>0</v>
      </c>
      <c r="Q152">
        <f t="shared" si="46"/>
        <v>1</v>
      </c>
      <c r="R152">
        <f t="shared" si="47"/>
        <v>0</v>
      </c>
      <c r="S152">
        <f t="shared" si="48"/>
        <v>0</v>
      </c>
      <c r="T152">
        <f t="shared" si="49"/>
        <v>0</v>
      </c>
      <c r="U152">
        <f t="shared" si="50"/>
        <v>0</v>
      </c>
      <c r="V152">
        <f t="shared" si="51"/>
        <v>0</v>
      </c>
      <c r="W152" t="s">
        <v>39</v>
      </c>
      <c r="X152">
        <f t="shared" si="52"/>
        <v>1</v>
      </c>
      <c r="Y152">
        <f t="shared" si="53"/>
        <v>0</v>
      </c>
      <c r="Z152">
        <v>1</v>
      </c>
      <c r="AA152">
        <f t="shared" si="54"/>
        <v>0</v>
      </c>
      <c r="AB152" t="s">
        <v>46</v>
      </c>
      <c r="AC152">
        <f t="shared" si="55"/>
        <v>1</v>
      </c>
      <c r="AD152">
        <f t="shared" si="56"/>
        <v>0</v>
      </c>
      <c r="AE152" t="s">
        <v>50</v>
      </c>
      <c r="AF152">
        <f>IF(AE152="website",1,0)</f>
        <v>0</v>
      </c>
    </row>
    <row r="153" spans="1:32">
      <c r="A153" t="s">
        <v>511</v>
      </c>
      <c r="B153" t="s">
        <v>33</v>
      </c>
      <c r="C153" s="3">
        <f t="shared" si="38"/>
        <v>0</v>
      </c>
      <c r="D153">
        <f t="shared" si="39"/>
        <v>1</v>
      </c>
      <c r="E153" t="s">
        <v>512</v>
      </c>
      <c r="F153" t="s">
        <v>513</v>
      </c>
      <c r="G153" s="1">
        <v>24491</v>
      </c>
      <c r="H153" s="2">
        <f t="shared" ca="1" si="40"/>
        <v>59</v>
      </c>
      <c r="I153" s="2">
        <f t="shared" ca="1" si="41"/>
        <v>0.48571428571428571</v>
      </c>
      <c r="J153" t="s">
        <v>36</v>
      </c>
      <c r="K153" t="s">
        <v>37</v>
      </c>
      <c r="L153">
        <f t="shared" si="42"/>
        <v>1</v>
      </c>
      <c r="M153">
        <f t="shared" si="43"/>
        <v>0</v>
      </c>
      <c r="N153">
        <f t="shared" si="44"/>
        <v>0</v>
      </c>
      <c r="O153" t="s">
        <v>38</v>
      </c>
      <c r="P153">
        <f t="shared" si="45"/>
        <v>1</v>
      </c>
      <c r="Q153">
        <f t="shared" si="46"/>
        <v>0</v>
      </c>
      <c r="R153">
        <f t="shared" si="47"/>
        <v>0</v>
      </c>
      <c r="S153">
        <f t="shared" si="48"/>
        <v>0</v>
      </c>
      <c r="T153">
        <f t="shared" si="49"/>
        <v>0</v>
      </c>
      <c r="U153">
        <f t="shared" si="50"/>
        <v>0</v>
      </c>
      <c r="V153">
        <f t="shared" si="51"/>
        <v>0</v>
      </c>
      <c r="W153" t="s">
        <v>58</v>
      </c>
      <c r="X153">
        <f t="shared" si="52"/>
        <v>0</v>
      </c>
      <c r="Y153">
        <f t="shared" si="53"/>
        <v>1</v>
      </c>
      <c r="Z153">
        <v>2</v>
      </c>
      <c r="AA153">
        <f t="shared" si="54"/>
        <v>0.25</v>
      </c>
      <c r="AB153" t="s">
        <v>40</v>
      </c>
      <c r="AC153">
        <f t="shared" si="55"/>
        <v>1</v>
      </c>
      <c r="AD153">
        <f t="shared" si="56"/>
        <v>0</v>
      </c>
      <c r="AE153" t="s">
        <v>50</v>
      </c>
      <c r="AF153">
        <f>IF(AE153="website",1,0)</f>
        <v>0</v>
      </c>
    </row>
    <row r="154" spans="1:32">
      <c r="A154" t="s">
        <v>514</v>
      </c>
      <c r="B154" t="s">
        <v>33</v>
      </c>
      <c r="C154" s="3">
        <f t="shared" si="38"/>
        <v>0</v>
      </c>
      <c r="D154">
        <f t="shared" si="39"/>
        <v>1</v>
      </c>
      <c r="E154" t="s">
        <v>515</v>
      </c>
      <c r="F154" t="s">
        <v>516</v>
      </c>
      <c r="G154" s="1">
        <v>30371</v>
      </c>
      <c r="H154" s="2">
        <f t="shared" ca="1" si="40"/>
        <v>43</v>
      </c>
      <c r="I154" s="2">
        <f t="shared" ca="1" si="41"/>
        <v>0.25714285714285712</v>
      </c>
      <c r="J154" t="s">
        <v>36</v>
      </c>
      <c r="K154" t="s">
        <v>37</v>
      </c>
      <c r="L154">
        <f t="shared" si="42"/>
        <v>1</v>
      </c>
      <c r="M154">
        <f t="shared" si="43"/>
        <v>0</v>
      </c>
      <c r="N154">
        <f t="shared" si="44"/>
        <v>0</v>
      </c>
      <c r="O154" t="s">
        <v>38</v>
      </c>
      <c r="P154">
        <f t="shared" si="45"/>
        <v>1</v>
      </c>
      <c r="Q154">
        <f t="shared" si="46"/>
        <v>0</v>
      </c>
      <c r="R154">
        <f t="shared" si="47"/>
        <v>0</v>
      </c>
      <c r="S154">
        <f t="shared" si="48"/>
        <v>0</v>
      </c>
      <c r="T154">
        <f t="shared" si="49"/>
        <v>0</v>
      </c>
      <c r="U154">
        <f t="shared" si="50"/>
        <v>0</v>
      </c>
      <c r="V154">
        <f t="shared" si="51"/>
        <v>0</v>
      </c>
      <c r="W154" t="s">
        <v>39</v>
      </c>
      <c r="X154">
        <f t="shared" si="52"/>
        <v>1</v>
      </c>
      <c r="Y154">
        <f t="shared" si="53"/>
        <v>0</v>
      </c>
      <c r="Z154">
        <v>5</v>
      </c>
      <c r="AA154">
        <f t="shared" si="54"/>
        <v>1</v>
      </c>
      <c r="AB154" t="s">
        <v>46</v>
      </c>
      <c r="AC154">
        <f t="shared" si="55"/>
        <v>0</v>
      </c>
      <c r="AD154">
        <f t="shared" si="56"/>
        <v>0</v>
      </c>
      <c r="AE154" t="s">
        <v>41</v>
      </c>
      <c r="AF154">
        <f>IF(AE154="website",1,0)</f>
        <v>1</v>
      </c>
    </row>
    <row r="155" spans="1:32">
      <c r="A155" t="s">
        <v>517</v>
      </c>
      <c r="B155" t="s">
        <v>33</v>
      </c>
      <c r="C155" s="3">
        <f t="shared" si="38"/>
        <v>0</v>
      </c>
      <c r="D155">
        <f t="shared" si="39"/>
        <v>1</v>
      </c>
      <c r="E155" t="s">
        <v>518</v>
      </c>
      <c r="F155" t="s">
        <v>519</v>
      </c>
      <c r="G155" s="1">
        <v>23766</v>
      </c>
      <c r="H155" s="2">
        <f t="shared" ca="1" si="40"/>
        <v>61</v>
      </c>
      <c r="I155" s="2">
        <f t="shared" ca="1" si="41"/>
        <v>0.51428571428571423</v>
      </c>
      <c r="J155" t="s">
        <v>36</v>
      </c>
      <c r="K155" t="s">
        <v>37</v>
      </c>
      <c r="L155">
        <f t="shared" si="42"/>
        <v>1</v>
      </c>
      <c r="M155">
        <f t="shared" si="43"/>
        <v>0</v>
      </c>
      <c r="N155">
        <f t="shared" si="44"/>
        <v>0</v>
      </c>
      <c r="O155" t="s">
        <v>38</v>
      </c>
      <c r="P155">
        <f t="shared" si="45"/>
        <v>1</v>
      </c>
      <c r="Q155">
        <f t="shared" si="46"/>
        <v>0</v>
      </c>
      <c r="R155">
        <f t="shared" si="47"/>
        <v>0</v>
      </c>
      <c r="S155">
        <f t="shared" si="48"/>
        <v>0</v>
      </c>
      <c r="T155">
        <f t="shared" si="49"/>
        <v>0</v>
      </c>
      <c r="U155">
        <f t="shared" si="50"/>
        <v>0</v>
      </c>
      <c r="V155">
        <f t="shared" si="51"/>
        <v>0</v>
      </c>
      <c r="W155" t="s">
        <v>39</v>
      </c>
      <c r="X155">
        <f t="shared" si="52"/>
        <v>1</v>
      </c>
      <c r="Y155">
        <f t="shared" si="53"/>
        <v>0</v>
      </c>
      <c r="Z155">
        <v>4</v>
      </c>
      <c r="AA155">
        <f t="shared" si="54"/>
        <v>0.75</v>
      </c>
      <c r="AB155" t="s">
        <v>40</v>
      </c>
      <c r="AC155">
        <f t="shared" si="55"/>
        <v>1</v>
      </c>
      <c r="AD155">
        <f t="shared" si="56"/>
        <v>0</v>
      </c>
      <c r="AE155" t="s">
        <v>50</v>
      </c>
      <c r="AF155">
        <f>IF(AE155="website",1,0)</f>
        <v>0</v>
      </c>
    </row>
    <row r="156" spans="1:32">
      <c r="A156" t="s">
        <v>520</v>
      </c>
      <c r="B156" t="s">
        <v>55</v>
      </c>
      <c r="C156" s="3">
        <f t="shared" si="38"/>
        <v>1</v>
      </c>
      <c r="D156">
        <f t="shared" si="39"/>
        <v>0</v>
      </c>
      <c r="E156" t="s">
        <v>521</v>
      </c>
      <c r="F156" t="s">
        <v>57</v>
      </c>
      <c r="G156" s="1">
        <v>27624</v>
      </c>
      <c r="H156" s="2">
        <f t="shared" ca="1" si="40"/>
        <v>51</v>
      </c>
      <c r="I156" s="2">
        <f t="shared" ca="1" si="41"/>
        <v>0.37142857142857144</v>
      </c>
      <c r="J156" t="s">
        <v>45</v>
      </c>
      <c r="K156" t="s">
        <v>37</v>
      </c>
      <c r="L156">
        <f t="shared" si="42"/>
        <v>1</v>
      </c>
      <c r="M156">
        <f t="shared" si="43"/>
        <v>0</v>
      </c>
      <c r="N156">
        <f t="shared" si="44"/>
        <v>0</v>
      </c>
      <c r="O156" t="s">
        <v>38</v>
      </c>
      <c r="P156">
        <f t="shared" si="45"/>
        <v>1</v>
      </c>
      <c r="Q156">
        <f t="shared" si="46"/>
        <v>0</v>
      </c>
      <c r="R156">
        <f t="shared" si="47"/>
        <v>0</v>
      </c>
      <c r="S156">
        <f t="shared" si="48"/>
        <v>0</v>
      </c>
      <c r="T156">
        <f t="shared" si="49"/>
        <v>0</v>
      </c>
      <c r="U156">
        <f t="shared" si="50"/>
        <v>0</v>
      </c>
      <c r="V156">
        <f t="shared" si="51"/>
        <v>0</v>
      </c>
      <c r="W156" t="s">
        <v>58</v>
      </c>
      <c r="X156">
        <f t="shared" si="52"/>
        <v>0</v>
      </c>
      <c r="Y156">
        <f t="shared" si="53"/>
        <v>1</v>
      </c>
      <c r="Z156">
        <v>5</v>
      </c>
      <c r="AA156">
        <f t="shared" si="54"/>
        <v>1</v>
      </c>
      <c r="AB156" t="s">
        <v>46</v>
      </c>
      <c r="AC156">
        <f t="shared" si="55"/>
        <v>1</v>
      </c>
      <c r="AD156">
        <f t="shared" si="56"/>
        <v>0</v>
      </c>
      <c r="AE156" t="s">
        <v>50</v>
      </c>
      <c r="AF156">
        <f>IF(AE156="website",1,0)</f>
        <v>0</v>
      </c>
    </row>
    <row r="157" spans="1:32">
      <c r="A157" t="s">
        <v>522</v>
      </c>
      <c r="B157" t="s">
        <v>33</v>
      </c>
      <c r="C157" s="3">
        <f t="shared" si="38"/>
        <v>0</v>
      </c>
      <c r="D157">
        <f t="shared" si="39"/>
        <v>1</v>
      </c>
      <c r="E157" t="s">
        <v>523</v>
      </c>
      <c r="F157" t="s">
        <v>524</v>
      </c>
      <c r="G157" s="1">
        <v>24253</v>
      </c>
      <c r="H157" s="2">
        <f t="shared" ca="1" si="40"/>
        <v>60</v>
      </c>
      <c r="I157" s="2">
        <f t="shared" ca="1" si="41"/>
        <v>0.5</v>
      </c>
      <c r="J157" t="s">
        <v>36</v>
      </c>
      <c r="K157" t="s">
        <v>37</v>
      </c>
      <c r="L157">
        <f t="shared" si="42"/>
        <v>1</v>
      </c>
      <c r="M157">
        <f t="shared" si="43"/>
        <v>0</v>
      </c>
      <c r="N157">
        <f t="shared" si="44"/>
        <v>0</v>
      </c>
      <c r="O157" t="s">
        <v>38</v>
      </c>
      <c r="P157">
        <f t="shared" si="45"/>
        <v>1</v>
      </c>
      <c r="Q157">
        <f t="shared" si="46"/>
        <v>0</v>
      </c>
      <c r="R157">
        <f t="shared" si="47"/>
        <v>0</v>
      </c>
      <c r="S157">
        <f t="shared" si="48"/>
        <v>0</v>
      </c>
      <c r="T157">
        <f t="shared" si="49"/>
        <v>0</v>
      </c>
      <c r="U157">
        <f t="shared" si="50"/>
        <v>0</v>
      </c>
      <c r="V157">
        <f t="shared" si="51"/>
        <v>0</v>
      </c>
      <c r="W157" t="s">
        <v>39</v>
      </c>
      <c r="X157">
        <f t="shared" si="52"/>
        <v>1</v>
      </c>
      <c r="Y157">
        <f t="shared" si="53"/>
        <v>0</v>
      </c>
      <c r="Z157">
        <v>5</v>
      </c>
      <c r="AA157">
        <f t="shared" si="54"/>
        <v>1</v>
      </c>
      <c r="AB157" t="s">
        <v>46</v>
      </c>
      <c r="AC157">
        <f t="shared" si="55"/>
        <v>0</v>
      </c>
      <c r="AD157">
        <f t="shared" si="56"/>
        <v>0</v>
      </c>
      <c r="AE157" t="s">
        <v>41</v>
      </c>
      <c r="AF157">
        <f>IF(AE157="website",1,0)</f>
        <v>1</v>
      </c>
    </row>
    <row r="158" spans="1:32">
      <c r="A158" t="s">
        <v>525</v>
      </c>
      <c r="B158" t="s">
        <v>33</v>
      </c>
      <c r="C158" s="3">
        <f t="shared" si="38"/>
        <v>0</v>
      </c>
      <c r="D158">
        <f t="shared" si="39"/>
        <v>1</v>
      </c>
      <c r="E158" t="s">
        <v>526</v>
      </c>
      <c r="F158" t="s">
        <v>527</v>
      </c>
      <c r="G158" s="1">
        <v>19129</v>
      </c>
      <c r="H158" s="2">
        <f t="shared" ca="1" si="40"/>
        <v>74</v>
      </c>
      <c r="I158" s="2">
        <f t="shared" ca="1" si="41"/>
        <v>0.7</v>
      </c>
      <c r="J158" t="s">
        <v>45</v>
      </c>
      <c r="K158" t="s">
        <v>37</v>
      </c>
      <c r="L158">
        <f t="shared" si="42"/>
        <v>1</v>
      </c>
      <c r="M158">
        <f t="shared" si="43"/>
        <v>0</v>
      </c>
      <c r="N158">
        <f t="shared" si="44"/>
        <v>0</v>
      </c>
      <c r="O158" t="s">
        <v>137</v>
      </c>
      <c r="P158">
        <f t="shared" si="45"/>
        <v>0</v>
      </c>
      <c r="Q158">
        <f t="shared" si="46"/>
        <v>0</v>
      </c>
      <c r="R158">
        <f t="shared" si="47"/>
        <v>0</v>
      </c>
      <c r="S158">
        <f t="shared" si="48"/>
        <v>0</v>
      </c>
      <c r="T158">
        <f t="shared" si="49"/>
        <v>0</v>
      </c>
      <c r="U158">
        <f t="shared" si="50"/>
        <v>0</v>
      </c>
      <c r="V158">
        <f t="shared" si="51"/>
        <v>0</v>
      </c>
      <c r="W158" t="s">
        <v>39</v>
      </c>
      <c r="X158">
        <f t="shared" si="52"/>
        <v>1</v>
      </c>
      <c r="Y158">
        <f t="shared" si="53"/>
        <v>0</v>
      </c>
      <c r="Z158">
        <v>2</v>
      </c>
      <c r="AA158">
        <f t="shared" si="54"/>
        <v>0.25</v>
      </c>
      <c r="AB158" t="s">
        <v>40</v>
      </c>
      <c r="AC158">
        <f t="shared" si="55"/>
        <v>0</v>
      </c>
      <c r="AD158">
        <f t="shared" si="56"/>
        <v>1</v>
      </c>
      <c r="AE158" t="s">
        <v>90</v>
      </c>
      <c r="AF158">
        <f>IF(AE158="website",1,0)</f>
        <v>0</v>
      </c>
    </row>
    <row r="159" spans="1:32">
      <c r="A159" t="s">
        <v>528</v>
      </c>
      <c r="B159" t="s">
        <v>33</v>
      </c>
      <c r="C159" s="3">
        <f t="shared" si="38"/>
        <v>0</v>
      </c>
      <c r="D159">
        <f t="shared" si="39"/>
        <v>1</v>
      </c>
      <c r="E159" t="s">
        <v>529</v>
      </c>
      <c r="F159" t="s">
        <v>530</v>
      </c>
      <c r="G159" s="1">
        <v>29192</v>
      </c>
      <c r="H159" s="2">
        <f t="shared" ca="1" si="40"/>
        <v>46</v>
      </c>
      <c r="I159" s="2">
        <f t="shared" ca="1" si="41"/>
        <v>0.3</v>
      </c>
      <c r="J159" t="s">
        <v>36</v>
      </c>
      <c r="K159" t="s">
        <v>37</v>
      </c>
      <c r="L159">
        <f t="shared" si="42"/>
        <v>1</v>
      </c>
      <c r="M159">
        <f t="shared" si="43"/>
        <v>0</v>
      </c>
      <c r="N159">
        <f t="shared" si="44"/>
        <v>0</v>
      </c>
      <c r="O159" t="s">
        <v>305</v>
      </c>
      <c r="P159">
        <f t="shared" si="45"/>
        <v>0</v>
      </c>
      <c r="Q159">
        <f t="shared" si="46"/>
        <v>0</v>
      </c>
      <c r="R159">
        <f t="shared" si="47"/>
        <v>0</v>
      </c>
      <c r="S159">
        <f t="shared" si="48"/>
        <v>0</v>
      </c>
      <c r="T159">
        <f t="shared" si="49"/>
        <v>0</v>
      </c>
      <c r="U159">
        <f t="shared" si="50"/>
        <v>0</v>
      </c>
      <c r="V159">
        <f t="shared" si="51"/>
        <v>0</v>
      </c>
      <c r="W159" t="s">
        <v>58</v>
      </c>
      <c r="X159">
        <f t="shared" si="52"/>
        <v>0</v>
      </c>
      <c r="Y159">
        <f t="shared" si="53"/>
        <v>1</v>
      </c>
      <c r="Z159">
        <v>3</v>
      </c>
      <c r="AA159">
        <f t="shared" si="54"/>
        <v>0.5</v>
      </c>
      <c r="AB159" t="s">
        <v>40</v>
      </c>
      <c r="AC159">
        <f t="shared" si="55"/>
        <v>1</v>
      </c>
      <c r="AD159">
        <f t="shared" si="56"/>
        <v>0</v>
      </c>
      <c r="AE159" t="s">
        <v>50</v>
      </c>
      <c r="AF159">
        <f>IF(AE159="website",1,0)</f>
        <v>0</v>
      </c>
    </row>
    <row r="160" spans="1:32">
      <c r="A160" t="s">
        <v>531</v>
      </c>
      <c r="B160" t="s">
        <v>33</v>
      </c>
      <c r="C160" s="3">
        <f t="shared" si="38"/>
        <v>0</v>
      </c>
      <c r="D160">
        <f t="shared" si="39"/>
        <v>1</v>
      </c>
      <c r="E160" t="s">
        <v>532</v>
      </c>
      <c r="F160" t="s">
        <v>533</v>
      </c>
      <c r="G160" s="1">
        <v>15445</v>
      </c>
      <c r="H160" s="2">
        <f t="shared" ca="1" si="40"/>
        <v>84</v>
      </c>
      <c r="I160" s="2">
        <f t="shared" ca="1" si="41"/>
        <v>0.84285714285714286</v>
      </c>
      <c r="J160" t="s">
        <v>45</v>
      </c>
      <c r="K160" t="s">
        <v>37</v>
      </c>
      <c r="L160">
        <f t="shared" si="42"/>
        <v>1</v>
      </c>
      <c r="M160">
        <f t="shared" si="43"/>
        <v>0</v>
      </c>
      <c r="N160">
        <f t="shared" si="44"/>
        <v>0</v>
      </c>
      <c r="O160" t="s">
        <v>38</v>
      </c>
      <c r="P160">
        <f t="shared" si="45"/>
        <v>1</v>
      </c>
      <c r="Q160">
        <f t="shared" si="46"/>
        <v>0</v>
      </c>
      <c r="R160">
        <f t="shared" si="47"/>
        <v>0</v>
      </c>
      <c r="S160">
        <f t="shared" si="48"/>
        <v>0</v>
      </c>
      <c r="T160">
        <f t="shared" si="49"/>
        <v>0</v>
      </c>
      <c r="U160">
        <f t="shared" si="50"/>
        <v>0</v>
      </c>
      <c r="V160">
        <f t="shared" si="51"/>
        <v>0</v>
      </c>
      <c r="W160" t="s">
        <v>39</v>
      </c>
      <c r="X160">
        <f t="shared" si="52"/>
        <v>1</v>
      </c>
      <c r="Y160">
        <f t="shared" si="53"/>
        <v>0</v>
      </c>
      <c r="Z160">
        <v>3</v>
      </c>
      <c r="AA160">
        <f t="shared" si="54"/>
        <v>0.5</v>
      </c>
      <c r="AB160" t="s">
        <v>46</v>
      </c>
      <c r="AC160">
        <f t="shared" si="55"/>
        <v>0</v>
      </c>
      <c r="AD160">
        <f t="shared" si="56"/>
        <v>0</v>
      </c>
      <c r="AE160" t="s">
        <v>41</v>
      </c>
      <c r="AF160">
        <f>IF(AE160="website",1,0)</f>
        <v>1</v>
      </c>
    </row>
    <row r="161" spans="1:32">
      <c r="A161" t="s">
        <v>534</v>
      </c>
      <c r="B161" t="s">
        <v>33</v>
      </c>
      <c r="C161" s="3">
        <f t="shared" si="38"/>
        <v>0</v>
      </c>
      <c r="D161">
        <f t="shared" si="39"/>
        <v>1</v>
      </c>
      <c r="E161" t="s">
        <v>535</v>
      </c>
      <c r="F161" t="s">
        <v>536</v>
      </c>
      <c r="G161" s="1">
        <v>21712</v>
      </c>
      <c r="H161" s="2">
        <f t="shared" ca="1" si="40"/>
        <v>67</v>
      </c>
      <c r="I161" s="2">
        <f t="shared" ca="1" si="41"/>
        <v>0.6</v>
      </c>
      <c r="J161" t="s">
        <v>36</v>
      </c>
      <c r="K161" t="s">
        <v>37</v>
      </c>
      <c r="L161">
        <f t="shared" si="42"/>
        <v>1</v>
      </c>
      <c r="M161">
        <f t="shared" si="43"/>
        <v>0</v>
      </c>
      <c r="N161">
        <f t="shared" si="44"/>
        <v>0</v>
      </c>
      <c r="O161" t="s">
        <v>38</v>
      </c>
      <c r="P161">
        <f t="shared" si="45"/>
        <v>1</v>
      </c>
      <c r="Q161">
        <f t="shared" si="46"/>
        <v>0</v>
      </c>
      <c r="R161">
        <f t="shared" si="47"/>
        <v>0</v>
      </c>
      <c r="S161">
        <f t="shared" si="48"/>
        <v>0</v>
      </c>
      <c r="T161">
        <f t="shared" si="49"/>
        <v>0</v>
      </c>
      <c r="U161">
        <f t="shared" si="50"/>
        <v>0</v>
      </c>
      <c r="V161">
        <f t="shared" si="51"/>
        <v>0</v>
      </c>
      <c r="W161" t="s">
        <v>39</v>
      </c>
      <c r="X161">
        <f t="shared" si="52"/>
        <v>1</v>
      </c>
      <c r="Y161">
        <f t="shared" si="53"/>
        <v>0</v>
      </c>
      <c r="Z161">
        <v>4</v>
      </c>
      <c r="AA161">
        <f t="shared" si="54"/>
        <v>0.75</v>
      </c>
      <c r="AB161" t="s">
        <v>46</v>
      </c>
      <c r="AC161">
        <f t="shared" si="55"/>
        <v>0</v>
      </c>
      <c r="AD161">
        <f t="shared" si="56"/>
        <v>0</v>
      </c>
      <c r="AE161" t="s">
        <v>41</v>
      </c>
      <c r="AF161">
        <f>IF(AE161="website",1,0)</f>
        <v>1</v>
      </c>
    </row>
    <row r="162" spans="1:32">
      <c r="A162" t="s">
        <v>537</v>
      </c>
      <c r="B162" t="s">
        <v>33</v>
      </c>
      <c r="C162" s="3">
        <f t="shared" si="38"/>
        <v>0</v>
      </c>
      <c r="D162">
        <f t="shared" si="39"/>
        <v>1</v>
      </c>
      <c r="E162" t="s">
        <v>538</v>
      </c>
      <c r="F162" t="s">
        <v>539</v>
      </c>
      <c r="G162" s="1">
        <v>18942</v>
      </c>
      <c r="H162" s="2">
        <f t="shared" ca="1" si="40"/>
        <v>74</v>
      </c>
      <c r="I162" s="2">
        <f t="shared" ca="1" si="41"/>
        <v>0.7</v>
      </c>
      <c r="J162" t="s">
        <v>45</v>
      </c>
      <c r="K162" t="s">
        <v>37</v>
      </c>
      <c r="L162">
        <f t="shared" si="42"/>
        <v>1</v>
      </c>
      <c r="M162">
        <f t="shared" si="43"/>
        <v>0</v>
      </c>
      <c r="N162">
        <f t="shared" si="44"/>
        <v>0</v>
      </c>
      <c r="O162" t="s">
        <v>38</v>
      </c>
      <c r="P162">
        <f t="shared" si="45"/>
        <v>1</v>
      </c>
      <c r="Q162">
        <f t="shared" si="46"/>
        <v>0</v>
      </c>
      <c r="R162">
        <f t="shared" si="47"/>
        <v>0</v>
      </c>
      <c r="S162">
        <f t="shared" si="48"/>
        <v>0</v>
      </c>
      <c r="T162">
        <f t="shared" si="49"/>
        <v>0</v>
      </c>
      <c r="U162">
        <f t="shared" si="50"/>
        <v>0</v>
      </c>
      <c r="V162">
        <f t="shared" si="51"/>
        <v>0</v>
      </c>
      <c r="W162" t="s">
        <v>39</v>
      </c>
      <c r="X162">
        <f t="shared" si="52"/>
        <v>1</v>
      </c>
      <c r="Y162">
        <f t="shared" si="53"/>
        <v>0</v>
      </c>
      <c r="Z162">
        <v>5</v>
      </c>
      <c r="AA162">
        <f t="shared" si="54"/>
        <v>1</v>
      </c>
      <c r="AB162" t="s">
        <v>46</v>
      </c>
      <c r="AC162">
        <f t="shared" si="55"/>
        <v>0</v>
      </c>
      <c r="AD162">
        <f t="shared" si="56"/>
        <v>0</v>
      </c>
      <c r="AE162" t="s">
        <v>41</v>
      </c>
      <c r="AF162">
        <f>IF(AE162="website",1,0)</f>
        <v>1</v>
      </c>
    </row>
    <row r="163" spans="1:32">
      <c r="A163" t="s">
        <v>540</v>
      </c>
      <c r="B163" t="s">
        <v>33</v>
      </c>
      <c r="C163" s="3">
        <f t="shared" si="38"/>
        <v>0</v>
      </c>
      <c r="D163">
        <f t="shared" si="39"/>
        <v>1</v>
      </c>
      <c r="E163" t="s">
        <v>541</v>
      </c>
      <c r="F163" t="s">
        <v>542</v>
      </c>
      <c r="G163" s="1">
        <v>19617</v>
      </c>
      <c r="H163" s="2">
        <f t="shared" ca="1" si="40"/>
        <v>73</v>
      </c>
      <c r="I163" s="2">
        <f t="shared" ca="1" si="41"/>
        <v>0.68571428571428572</v>
      </c>
      <c r="J163" t="s">
        <v>45</v>
      </c>
      <c r="K163" t="s">
        <v>37</v>
      </c>
      <c r="L163">
        <f t="shared" si="42"/>
        <v>1</v>
      </c>
      <c r="M163">
        <f t="shared" si="43"/>
        <v>0</v>
      </c>
      <c r="N163">
        <f t="shared" si="44"/>
        <v>0</v>
      </c>
      <c r="O163" t="s">
        <v>38</v>
      </c>
      <c r="P163">
        <f t="shared" si="45"/>
        <v>1</v>
      </c>
      <c r="Q163">
        <f t="shared" si="46"/>
        <v>0</v>
      </c>
      <c r="R163">
        <f t="shared" si="47"/>
        <v>0</v>
      </c>
      <c r="S163">
        <f t="shared" si="48"/>
        <v>0</v>
      </c>
      <c r="T163">
        <f t="shared" si="49"/>
        <v>0</v>
      </c>
      <c r="U163">
        <f t="shared" si="50"/>
        <v>0</v>
      </c>
      <c r="V163">
        <f t="shared" si="51"/>
        <v>0</v>
      </c>
      <c r="W163" t="s">
        <v>39</v>
      </c>
      <c r="X163">
        <f t="shared" si="52"/>
        <v>1</v>
      </c>
      <c r="Y163">
        <f t="shared" si="53"/>
        <v>0</v>
      </c>
      <c r="Z163">
        <v>4</v>
      </c>
      <c r="AA163">
        <f t="shared" si="54"/>
        <v>0.75</v>
      </c>
      <c r="AB163" t="s">
        <v>46</v>
      </c>
      <c r="AC163">
        <f t="shared" si="55"/>
        <v>0</v>
      </c>
      <c r="AD163">
        <f t="shared" si="56"/>
        <v>0</v>
      </c>
      <c r="AE163" t="s">
        <v>41</v>
      </c>
      <c r="AF163">
        <f>IF(AE163="website",1,0)</f>
        <v>1</v>
      </c>
    </row>
    <row r="164" spans="1:32">
      <c r="A164" t="s">
        <v>543</v>
      </c>
      <c r="B164" t="s">
        <v>33</v>
      </c>
      <c r="C164" s="3">
        <f t="shared" si="38"/>
        <v>0</v>
      </c>
      <c r="D164">
        <f t="shared" si="39"/>
        <v>1</v>
      </c>
      <c r="E164" t="s">
        <v>544</v>
      </c>
      <c r="F164" t="s">
        <v>430</v>
      </c>
      <c r="G164" s="1">
        <v>31495</v>
      </c>
      <c r="H164" s="2">
        <f t="shared" ca="1" si="40"/>
        <v>40</v>
      </c>
      <c r="I164" s="2">
        <f t="shared" ca="1" si="41"/>
        <v>0.21428571428571427</v>
      </c>
      <c r="J164" t="s">
        <v>45</v>
      </c>
      <c r="K164" t="s">
        <v>37</v>
      </c>
      <c r="L164">
        <f t="shared" si="42"/>
        <v>1</v>
      </c>
      <c r="M164">
        <f t="shared" si="43"/>
        <v>0</v>
      </c>
      <c r="N164">
        <f t="shared" si="44"/>
        <v>0</v>
      </c>
      <c r="O164" t="s">
        <v>183</v>
      </c>
      <c r="P164">
        <f t="shared" si="45"/>
        <v>0</v>
      </c>
      <c r="Q164">
        <f t="shared" si="46"/>
        <v>0</v>
      </c>
      <c r="R164">
        <f t="shared" si="47"/>
        <v>0</v>
      </c>
      <c r="S164">
        <f t="shared" si="48"/>
        <v>0</v>
      </c>
      <c r="T164">
        <f t="shared" si="49"/>
        <v>0</v>
      </c>
      <c r="U164">
        <f t="shared" si="50"/>
        <v>0</v>
      </c>
      <c r="V164">
        <f t="shared" si="51"/>
        <v>0</v>
      </c>
      <c r="W164" t="s">
        <v>58</v>
      </c>
      <c r="X164">
        <f t="shared" si="52"/>
        <v>0</v>
      </c>
      <c r="Y164">
        <f t="shared" si="53"/>
        <v>1</v>
      </c>
      <c r="Z164">
        <v>5</v>
      </c>
      <c r="AA164">
        <f t="shared" si="54"/>
        <v>1</v>
      </c>
      <c r="AB164" t="s">
        <v>40</v>
      </c>
      <c r="AC164">
        <f t="shared" si="55"/>
        <v>1</v>
      </c>
      <c r="AD164">
        <f t="shared" si="56"/>
        <v>0</v>
      </c>
      <c r="AE164" t="s">
        <v>50</v>
      </c>
      <c r="AF164">
        <f>IF(AE164="website",1,0)</f>
        <v>0</v>
      </c>
    </row>
    <row r="165" spans="1:32">
      <c r="A165" t="s">
        <v>545</v>
      </c>
      <c r="B165" t="s">
        <v>33</v>
      </c>
      <c r="C165" s="3">
        <f t="shared" si="38"/>
        <v>0</v>
      </c>
      <c r="D165">
        <f t="shared" si="39"/>
        <v>1</v>
      </c>
      <c r="E165" t="s">
        <v>546</v>
      </c>
      <c r="F165" t="s">
        <v>112</v>
      </c>
      <c r="G165" s="1">
        <v>31675</v>
      </c>
      <c r="H165" s="2">
        <f t="shared" ca="1" si="40"/>
        <v>40</v>
      </c>
      <c r="I165" s="2">
        <f t="shared" ca="1" si="41"/>
        <v>0.21428571428571427</v>
      </c>
      <c r="J165" t="s">
        <v>45</v>
      </c>
      <c r="K165" t="s">
        <v>37</v>
      </c>
      <c r="L165">
        <f t="shared" si="42"/>
        <v>1</v>
      </c>
      <c r="M165">
        <f t="shared" si="43"/>
        <v>0</v>
      </c>
      <c r="N165">
        <f t="shared" si="44"/>
        <v>0</v>
      </c>
      <c r="O165" t="s">
        <v>97</v>
      </c>
      <c r="P165">
        <f t="shared" si="45"/>
        <v>0</v>
      </c>
      <c r="Q165">
        <f t="shared" si="46"/>
        <v>0</v>
      </c>
      <c r="R165">
        <f t="shared" si="47"/>
        <v>0</v>
      </c>
      <c r="S165">
        <f t="shared" si="48"/>
        <v>0</v>
      </c>
      <c r="T165">
        <f t="shared" si="49"/>
        <v>1</v>
      </c>
      <c r="U165">
        <f t="shared" si="50"/>
        <v>0</v>
      </c>
      <c r="V165">
        <f t="shared" si="51"/>
        <v>0</v>
      </c>
      <c r="W165" t="s">
        <v>39</v>
      </c>
      <c r="X165">
        <f t="shared" si="52"/>
        <v>1</v>
      </c>
      <c r="Y165">
        <f t="shared" si="53"/>
        <v>0</v>
      </c>
      <c r="Z165">
        <v>5</v>
      </c>
      <c r="AA165">
        <f t="shared" si="54"/>
        <v>1</v>
      </c>
      <c r="AB165" t="s">
        <v>46</v>
      </c>
      <c r="AC165">
        <f t="shared" si="55"/>
        <v>0</v>
      </c>
      <c r="AD165">
        <f t="shared" si="56"/>
        <v>0</v>
      </c>
      <c r="AE165" t="s">
        <v>41</v>
      </c>
      <c r="AF165">
        <f>IF(AE165="website",1,0)</f>
        <v>1</v>
      </c>
    </row>
    <row r="166" spans="1:32">
      <c r="A166" t="s">
        <v>547</v>
      </c>
      <c r="B166" t="s">
        <v>33</v>
      </c>
      <c r="C166" s="3">
        <f t="shared" si="38"/>
        <v>0</v>
      </c>
      <c r="D166">
        <f t="shared" si="39"/>
        <v>1</v>
      </c>
      <c r="E166" t="s">
        <v>548</v>
      </c>
      <c r="F166" t="s">
        <v>549</v>
      </c>
      <c r="G166" s="1">
        <v>20647</v>
      </c>
      <c r="H166" s="2">
        <f t="shared" ca="1" si="40"/>
        <v>70</v>
      </c>
      <c r="I166" s="2">
        <f t="shared" ca="1" si="41"/>
        <v>0.6428571428571429</v>
      </c>
      <c r="J166" t="s">
        <v>36</v>
      </c>
      <c r="K166" t="s">
        <v>37</v>
      </c>
      <c r="L166">
        <f t="shared" si="42"/>
        <v>1</v>
      </c>
      <c r="M166">
        <f t="shared" si="43"/>
        <v>0</v>
      </c>
      <c r="N166">
        <f t="shared" si="44"/>
        <v>0</v>
      </c>
      <c r="O166" t="s">
        <v>38</v>
      </c>
      <c r="P166">
        <f t="shared" si="45"/>
        <v>1</v>
      </c>
      <c r="Q166">
        <f t="shared" si="46"/>
        <v>0</v>
      </c>
      <c r="R166">
        <f t="shared" si="47"/>
        <v>0</v>
      </c>
      <c r="S166">
        <f t="shared" si="48"/>
        <v>0</v>
      </c>
      <c r="T166">
        <f t="shared" si="49"/>
        <v>0</v>
      </c>
      <c r="U166">
        <f t="shared" si="50"/>
        <v>0</v>
      </c>
      <c r="V166">
        <f t="shared" si="51"/>
        <v>0</v>
      </c>
      <c r="W166" t="s">
        <v>39</v>
      </c>
      <c r="X166">
        <f t="shared" si="52"/>
        <v>1</v>
      </c>
      <c r="Y166">
        <f t="shared" si="53"/>
        <v>0</v>
      </c>
      <c r="Z166">
        <v>3</v>
      </c>
      <c r="AA166">
        <f t="shared" si="54"/>
        <v>0.5</v>
      </c>
      <c r="AB166" t="s">
        <v>40</v>
      </c>
      <c r="AC166">
        <f t="shared" si="55"/>
        <v>0</v>
      </c>
      <c r="AD166">
        <f t="shared" si="56"/>
        <v>0</v>
      </c>
      <c r="AE166" t="s">
        <v>41</v>
      </c>
      <c r="AF166">
        <f>IF(AE166="website",1,0)</f>
        <v>1</v>
      </c>
    </row>
    <row r="167" spans="1:32">
      <c r="A167" t="s">
        <v>550</v>
      </c>
      <c r="B167" t="s">
        <v>33</v>
      </c>
      <c r="C167" s="3">
        <f t="shared" si="38"/>
        <v>0</v>
      </c>
      <c r="D167">
        <f t="shared" si="39"/>
        <v>1</v>
      </c>
      <c r="E167" t="s">
        <v>551</v>
      </c>
      <c r="F167" t="s">
        <v>552</v>
      </c>
      <c r="G167" s="1">
        <v>30705</v>
      </c>
      <c r="H167" s="2">
        <f t="shared" ca="1" si="40"/>
        <v>42</v>
      </c>
      <c r="I167" s="2">
        <f t="shared" ca="1" si="41"/>
        <v>0.24285714285714285</v>
      </c>
      <c r="J167" t="s">
        <v>36</v>
      </c>
      <c r="K167" t="s">
        <v>37</v>
      </c>
      <c r="L167">
        <f t="shared" si="42"/>
        <v>1</v>
      </c>
      <c r="M167">
        <f t="shared" si="43"/>
        <v>0</v>
      </c>
      <c r="N167">
        <f t="shared" si="44"/>
        <v>0</v>
      </c>
      <c r="O167" t="s">
        <v>97</v>
      </c>
      <c r="P167">
        <f t="shared" si="45"/>
        <v>0</v>
      </c>
      <c r="Q167">
        <f t="shared" si="46"/>
        <v>0</v>
      </c>
      <c r="R167">
        <f t="shared" si="47"/>
        <v>0</v>
      </c>
      <c r="S167">
        <f t="shared" si="48"/>
        <v>0</v>
      </c>
      <c r="T167">
        <f t="shared" si="49"/>
        <v>1</v>
      </c>
      <c r="U167">
        <f t="shared" si="50"/>
        <v>0</v>
      </c>
      <c r="V167">
        <f t="shared" si="51"/>
        <v>0</v>
      </c>
      <c r="W167" t="s">
        <v>39</v>
      </c>
      <c r="X167">
        <f t="shared" si="52"/>
        <v>1</v>
      </c>
      <c r="Y167">
        <f t="shared" si="53"/>
        <v>0</v>
      </c>
      <c r="Z167">
        <v>4</v>
      </c>
      <c r="AA167">
        <f t="shared" si="54"/>
        <v>0.75</v>
      </c>
      <c r="AB167" t="s">
        <v>40</v>
      </c>
      <c r="AC167">
        <f t="shared" si="55"/>
        <v>1</v>
      </c>
      <c r="AD167">
        <f t="shared" si="56"/>
        <v>0</v>
      </c>
      <c r="AE167" t="s">
        <v>50</v>
      </c>
      <c r="AF167">
        <f>IF(AE167="website",1,0)</f>
        <v>0</v>
      </c>
    </row>
    <row r="168" spans="1:32">
      <c r="A168" t="s">
        <v>553</v>
      </c>
      <c r="B168" t="s">
        <v>33</v>
      </c>
      <c r="C168" s="3">
        <f t="shared" si="38"/>
        <v>0</v>
      </c>
      <c r="D168">
        <f t="shared" si="39"/>
        <v>1</v>
      </c>
      <c r="E168" t="s">
        <v>317</v>
      </c>
      <c r="F168" t="s">
        <v>554</v>
      </c>
      <c r="G168" s="1">
        <v>20122</v>
      </c>
      <c r="H168" s="2">
        <f t="shared" ca="1" si="40"/>
        <v>71</v>
      </c>
      <c r="I168" s="2">
        <f t="shared" ca="1" si="41"/>
        <v>0.65714285714285714</v>
      </c>
      <c r="J168" t="s">
        <v>36</v>
      </c>
      <c r="K168" t="s">
        <v>248</v>
      </c>
      <c r="L168">
        <f t="shared" si="42"/>
        <v>0</v>
      </c>
      <c r="M168">
        <f t="shared" si="43"/>
        <v>0</v>
      </c>
      <c r="N168">
        <f t="shared" si="44"/>
        <v>0</v>
      </c>
      <c r="O168" t="s">
        <v>411</v>
      </c>
      <c r="P168">
        <f t="shared" si="45"/>
        <v>0</v>
      </c>
      <c r="Q168">
        <f t="shared" si="46"/>
        <v>0</v>
      </c>
      <c r="R168">
        <f t="shared" si="47"/>
        <v>0</v>
      </c>
      <c r="S168">
        <f t="shared" si="48"/>
        <v>0</v>
      </c>
      <c r="T168">
        <f t="shared" si="49"/>
        <v>0</v>
      </c>
      <c r="U168">
        <f t="shared" si="50"/>
        <v>0</v>
      </c>
      <c r="V168">
        <f t="shared" si="51"/>
        <v>0</v>
      </c>
      <c r="W168" t="s">
        <v>39</v>
      </c>
      <c r="X168">
        <f t="shared" si="52"/>
        <v>1</v>
      </c>
      <c r="Y168">
        <f t="shared" si="53"/>
        <v>0</v>
      </c>
      <c r="Z168">
        <v>3</v>
      </c>
      <c r="AA168">
        <f t="shared" si="54"/>
        <v>0.5</v>
      </c>
      <c r="AB168" t="s">
        <v>40</v>
      </c>
      <c r="AC168">
        <f t="shared" si="55"/>
        <v>0</v>
      </c>
      <c r="AD168">
        <f t="shared" si="56"/>
        <v>0</v>
      </c>
      <c r="AE168" t="s">
        <v>41</v>
      </c>
      <c r="AF168">
        <f>IF(AE168="website",1,0)</f>
        <v>1</v>
      </c>
    </row>
    <row r="169" spans="1:32">
      <c r="A169" t="s">
        <v>555</v>
      </c>
      <c r="B169" t="s">
        <v>33</v>
      </c>
      <c r="C169" s="3">
        <f t="shared" si="38"/>
        <v>0</v>
      </c>
      <c r="D169">
        <f t="shared" si="39"/>
        <v>1</v>
      </c>
      <c r="E169" t="s">
        <v>556</v>
      </c>
      <c r="F169" t="s">
        <v>557</v>
      </c>
      <c r="G169" s="1">
        <v>22073</v>
      </c>
      <c r="H169" s="2">
        <f t="shared" ca="1" si="40"/>
        <v>66</v>
      </c>
      <c r="I169" s="2">
        <f t="shared" ca="1" si="41"/>
        <v>0.58571428571428574</v>
      </c>
      <c r="J169" t="s">
        <v>36</v>
      </c>
      <c r="K169" t="s">
        <v>37</v>
      </c>
      <c r="L169">
        <f t="shared" si="42"/>
        <v>1</v>
      </c>
      <c r="M169">
        <f t="shared" si="43"/>
        <v>0</v>
      </c>
      <c r="N169">
        <f t="shared" si="44"/>
        <v>0</v>
      </c>
      <c r="O169" t="s">
        <v>124</v>
      </c>
      <c r="P169">
        <f t="shared" si="45"/>
        <v>0</v>
      </c>
      <c r="Q169">
        <f t="shared" si="46"/>
        <v>0</v>
      </c>
      <c r="R169">
        <f t="shared" si="47"/>
        <v>0</v>
      </c>
      <c r="S169">
        <f t="shared" si="48"/>
        <v>0</v>
      </c>
      <c r="T169">
        <f t="shared" si="49"/>
        <v>0</v>
      </c>
      <c r="U169">
        <f t="shared" si="50"/>
        <v>1</v>
      </c>
      <c r="V169">
        <f t="shared" si="51"/>
        <v>0</v>
      </c>
      <c r="W169" t="s">
        <v>39</v>
      </c>
      <c r="X169">
        <f t="shared" si="52"/>
        <v>1</v>
      </c>
      <c r="Y169">
        <f t="shared" si="53"/>
        <v>0</v>
      </c>
      <c r="Z169">
        <v>3</v>
      </c>
      <c r="AA169">
        <f t="shared" si="54"/>
        <v>0.5</v>
      </c>
      <c r="AB169" t="s">
        <v>46</v>
      </c>
      <c r="AC169">
        <f t="shared" si="55"/>
        <v>1</v>
      </c>
      <c r="AD169">
        <f t="shared" si="56"/>
        <v>0</v>
      </c>
      <c r="AE169" t="s">
        <v>50</v>
      </c>
      <c r="AF169">
        <f>IF(AE169="website",1,0)</f>
        <v>0</v>
      </c>
    </row>
    <row r="170" spans="1:32">
      <c r="A170" t="s">
        <v>558</v>
      </c>
      <c r="B170" t="s">
        <v>33</v>
      </c>
      <c r="C170" s="3">
        <f t="shared" si="38"/>
        <v>0</v>
      </c>
      <c r="D170">
        <f t="shared" si="39"/>
        <v>1</v>
      </c>
      <c r="E170" t="s">
        <v>329</v>
      </c>
      <c r="F170" t="s">
        <v>430</v>
      </c>
      <c r="G170" s="1">
        <v>33098</v>
      </c>
      <c r="H170" s="2">
        <f t="shared" ca="1" si="40"/>
        <v>36</v>
      </c>
      <c r="I170" s="2">
        <f t="shared" ca="1" si="41"/>
        <v>0.15714285714285714</v>
      </c>
      <c r="J170" t="s">
        <v>45</v>
      </c>
      <c r="K170" t="s">
        <v>37</v>
      </c>
      <c r="L170">
        <f t="shared" si="42"/>
        <v>1</v>
      </c>
      <c r="M170">
        <f t="shared" si="43"/>
        <v>0</v>
      </c>
      <c r="N170">
        <f t="shared" si="44"/>
        <v>0</v>
      </c>
      <c r="O170" t="s">
        <v>559</v>
      </c>
      <c r="P170">
        <f t="shared" si="45"/>
        <v>0</v>
      </c>
      <c r="Q170">
        <f t="shared" si="46"/>
        <v>0</v>
      </c>
      <c r="R170">
        <f t="shared" si="47"/>
        <v>0</v>
      </c>
      <c r="S170">
        <f t="shared" si="48"/>
        <v>0</v>
      </c>
      <c r="T170">
        <f t="shared" si="49"/>
        <v>0</v>
      </c>
      <c r="U170">
        <f t="shared" si="50"/>
        <v>0</v>
      </c>
      <c r="V170">
        <f t="shared" si="51"/>
        <v>0</v>
      </c>
      <c r="W170" t="s">
        <v>58</v>
      </c>
      <c r="X170">
        <f t="shared" si="52"/>
        <v>0</v>
      </c>
      <c r="Y170">
        <f t="shared" si="53"/>
        <v>1</v>
      </c>
      <c r="Z170">
        <v>5</v>
      </c>
      <c r="AA170">
        <f t="shared" si="54"/>
        <v>1</v>
      </c>
      <c r="AB170" t="s">
        <v>40</v>
      </c>
      <c r="AC170">
        <f t="shared" si="55"/>
        <v>1</v>
      </c>
      <c r="AD170">
        <f t="shared" si="56"/>
        <v>0</v>
      </c>
      <c r="AE170" t="s">
        <v>50</v>
      </c>
      <c r="AF170">
        <f>IF(AE170="website",1,0)</f>
        <v>0</v>
      </c>
    </row>
    <row r="171" spans="1:32">
      <c r="A171" t="s">
        <v>560</v>
      </c>
      <c r="B171" t="s">
        <v>33</v>
      </c>
      <c r="C171" s="3">
        <f t="shared" si="38"/>
        <v>0</v>
      </c>
      <c r="D171">
        <f t="shared" si="39"/>
        <v>1</v>
      </c>
      <c r="E171" t="s">
        <v>561</v>
      </c>
      <c r="F171" t="s">
        <v>562</v>
      </c>
      <c r="G171" s="1">
        <v>18062</v>
      </c>
      <c r="H171" s="2">
        <f t="shared" ca="1" si="40"/>
        <v>77</v>
      </c>
      <c r="I171" s="2">
        <f t="shared" ca="1" si="41"/>
        <v>0.74285714285714288</v>
      </c>
      <c r="J171" t="s">
        <v>45</v>
      </c>
      <c r="K171" t="s">
        <v>37</v>
      </c>
      <c r="L171">
        <f t="shared" si="42"/>
        <v>1</v>
      </c>
      <c r="M171">
        <f t="shared" si="43"/>
        <v>0</v>
      </c>
      <c r="N171">
        <f t="shared" si="44"/>
        <v>0</v>
      </c>
      <c r="O171" t="s">
        <v>38</v>
      </c>
      <c r="P171">
        <f t="shared" si="45"/>
        <v>1</v>
      </c>
      <c r="Q171">
        <f t="shared" si="46"/>
        <v>0</v>
      </c>
      <c r="R171">
        <f t="shared" si="47"/>
        <v>0</v>
      </c>
      <c r="S171">
        <f t="shared" si="48"/>
        <v>0</v>
      </c>
      <c r="T171">
        <f t="shared" si="49"/>
        <v>0</v>
      </c>
      <c r="U171">
        <f t="shared" si="50"/>
        <v>0</v>
      </c>
      <c r="V171">
        <f t="shared" si="51"/>
        <v>0</v>
      </c>
      <c r="W171" t="s">
        <v>39</v>
      </c>
      <c r="X171">
        <f t="shared" si="52"/>
        <v>1</v>
      </c>
      <c r="Y171">
        <f t="shared" si="53"/>
        <v>0</v>
      </c>
      <c r="Z171">
        <v>5</v>
      </c>
      <c r="AA171">
        <f t="shared" si="54"/>
        <v>1</v>
      </c>
      <c r="AB171" t="s">
        <v>46</v>
      </c>
      <c r="AC171">
        <f t="shared" si="55"/>
        <v>0</v>
      </c>
      <c r="AD171">
        <f t="shared" si="56"/>
        <v>0</v>
      </c>
      <c r="AE171" t="s">
        <v>41</v>
      </c>
      <c r="AF171">
        <f>IF(AE171="website",1,0)</f>
        <v>1</v>
      </c>
    </row>
    <row r="172" spans="1:32">
      <c r="A172" t="s">
        <v>563</v>
      </c>
      <c r="B172" t="s">
        <v>33</v>
      </c>
      <c r="C172" s="3">
        <f t="shared" si="38"/>
        <v>0</v>
      </c>
      <c r="D172">
        <f t="shared" si="39"/>
        <v>1</v>
      </c>
      <c r="E172" t="s">
        <v>564</v>
      </c>
      <c r="F172" t="s">
        <v>557</v>
      </c>
      <c r="G172" s="1">
        <v>33363</v>
      </c>
      <c r="H172" s="2">
        <f t="shared" ca="1" si="40"/>
        <v>35</v>
      </c>
      <c r="I172" s="2">
        <f t="shared" ca="1" si="41"/>
        <v>0.14285714285714285</v>
      </c>
      <c r="J172" t="s">
        <v>36</v>
      </c>
      <c r="K172" t="s">
        <v>37</v>
      </c>
      <c r="L172">
        <f t="shared" si="42"/>
        <v>1</v>
      </c>
      <c r="M172">
        <f t="shared" si="43"/>
        <v>0</v>
      </c>
      <c r="N172">
        <f t="shared" si="44"/>
        <v>0</v>
      </c>
      <c r="O172" t="s">
        <v>565</v>
      </c>
      <c r="P172">
        <f t="shared" si="45"/>
        <v>0</v>
      </c>
      <c r="Q172">
        <f t="shared" si="46"/>
        <v>0</v>
      </c>
      <c r="R172">
        <f t="shared" si="47"/>
        <v>0</v>
      </c>
      <c r="S172">
        <f t="shared" si="48"/>
        <v>0</v>
      </c>
      <c r="T172">
        <f t="shared" si="49"/>
        <v>0</v>
      </c>
      <c r="U172">
        <f t="shared" si="50"/>
        <v>0</v>
      </c>
      <c r="V172">
        <f t="shared" si="51"/>
        <v>0</v>
      </c>
      <c r="W172" t="s">
        <v>58</v>
      </c>
      <c r="X172">
        <f t="shared" si="52"/>
        <v>0</v>
      </c>
      <c r="Y172">
        <f t="shared" si="53"/>
        <v>1</v>
      </c>
      <c r="Z172">
        <v>5</v>
      </c>
      <c r="AA172">
        <f t="shared" si="54"/>
        <v>1</v>
      </c>
      <c r="AB172" t="s">
        <v>40</v>
      </c>
      <c r="AC172">
        <f t="shared" si="55"/>
        <v>0</v>
      </c>
      <c r="AD172">
        <f t="shared" si="56"/>
        <v>1</v>
      </c>
      <c r="AE172" t="s">
        <v>90</v>
      </c>
      <c r="AF172">
        <f>IF(AE172="website",1,0)</f>
        <v>0</v>
      </c>
    </row>
    <row r="173" spans="1:32">
      <c r="A173" t="s">
        <v>566</v>
      </c>
      <c r="B173" t="s">
        <v>33</v>
      </c>
      <c r="C173" s="3">
        <f t="shared" si="38"/>
        <v>0</v>
      </c>
      <c r="D173">
        <f t="shared" si="39"/>
        <v>1</v>
      </c>
      <c r="E173" t="s">
        <v>567</v>
      </c>
      <c r="F173" t="s">
        <v>568</v>
      </c>
      <c r="G173" s="1">
        <v>33863</v>
      </c>
      <c r="H173" s="2">
        <f t="shared" ca="1" si="40"/>
        <v>34</v>
      </c>
      <c r="I173" s="2">
        <f t="shared" ca="1" si="41"/>
        <v>0.12857142857142856</v>
      </c>
      <c r="J173" t="s">
        <v>36</v>
      </c>
      <c r="K173" t="s">
        <v>37</v>
      </c>
      <c r="L173">
        <f t="shared" si="42"/>
        <v>1</v>
      </c>
      <c r="M173">
        <f t="shared" si="43"/>
        <v>0</v>
      </c>
      <c r="N173">
        <f t="shared" si="44"/>
        <v>0</v>
      </c>
      <c r="O173" t="s">
        <v>565</v>
      </c>
      <c r="P173">
        <f t="shared" si="45"/>
        <v>0</v>
      </c>
      <c r="Q173">
        <f t="shared" si="46"/>
        <v>0</v>
      </c>
      <c r="R173">
        <f t="shared" si="47"/>
        <v>0</v>
      </c>
      <c r="S173">
        <f t="shared" si="48"/>
        <v>0</v>
      </c>
      <c r="T173">
        <f t="shared" si="49"/>
        <v>0</v>
      </c>
      <c r="U173">
        <f t="shared" si="50"/>
        <v>0</v>
      </c>
      <c r="V173">
        <f t="shared" si="51"/>
        <v>0</v>
      </c>
      <c r="W173" t="s">
        <v>39</v>
      </c>
      <c r="X173">
        <f t="shared" si="52"/>
        <v>1</v>
      </c>
      <c r="Y173">
        <f t="shared" si="53"/>
        <v>0</v>
      </c>
      <c r="Z173">
        <v>1</v>
      </c>
      <c r="AA173">
        <f t="shared" si="54"/>
        <v>0</v>
      </c>
      <c r="AB173" t="s">
        <v>40</v>
      </c>
      <c r="AC173">
        <f t="shared" si="55"/>
        <v>1</v>
      </c>
      <c r="AD173">
        <f t="shared" si="56"/>
        <v>0</v>
      </c>
      <c r="AE173" t="s">
        <v>50</v>
      </c>
      <c r="AF173">
        <f>IF(AE173="website",1,0)</f>
        <v>0</v>
      </c>
    </row>
    <row r="174" spans="1:32">
      <c r="A174" t="s">
        <v>569</v>
      </c>
      <c r="B174" t="s">
        <v>33</v>
      </c>
      <c r="C174" s="3">
        <f t="shared" si="38"/>
        <v>0</v>
      </c>
      <c r="D174">
        <f t="shared" si="39"/>
        <v>1</v>
      </c>
      <c r="E174" t="s">
        <v>570</v>
      </c>
      <c r="F174" t="s">
        <v>571</v>
      </c>
      <c r="G174" s="1">
        <v>27961</v>
      </c>
      <c r="H174" s="2">
        <f t="shared" ca="1" si="40"/>
        <v>50</v>
      </c>
      <c r="I174" s="2">
        <f t="shared" ca="1" si="41"/>
        <v>0.35714285714285715</v>
      </c>
      <c r="J174" t="s">
        <v>36</v>
      </c>
      <c r="K174" t="s">
        <v>37</v>
      </c>
      <c r="L174">
        <f t="shared" si="42"/>
        <v>1</v>
      </c>
      <c r="M174">
        <f t="shared" si="43"/>
        <v>0</v>
      </c>
      <c r="N174">
        <f t="shared" si="44"/>
        <v>0</v>
      </c>
      <c r="O174" t="s">
        <v>97</v>
      </c>
      <c r="P174">
        <f t="shared" si="45"/>
        <v>0</v>
      </c>
      <c r="Q174">
        <f t="shared" si="46"/>
        <v>0</v>
      </c>
      <c r="R174">
        <f t="shared" si="47"/>
        <v>0</v>
      </c>
      <c r="S174">
        <f t="shared" si="48"/>
        <v>0</v>
      </c>
      <c r="T174">
        <f t="shared" si="49"/>
        <v>1</v>
      </c>
      <c r="U174">
        <f t="shared" si="50"/>
        <v>0</v>
      </c>
      <c r="V174">
        <f t="shared" si="51"/>
        <v>0</v>
      </c>
      <c r="W174" t="s">
        <v>39</v>
      </c>
      <c r="X174">
        <f t="shared" si="52"/>
        <v>1</v>
      </c>
      <c r="Y174">
        <f t="shared" si="53"/>
        <v>0</v>
      </c>
      <c r="Z174">
        <v>5</v>
      </c>
      <c r="AA174">
        <f t="shared" si="54"/>
        <v>1</v>
      </c>
      <c r="AB174" t="s">
        <v>40</v>
      </c>
      <c r="AC174">
        <f t="shared" si="55"/>
        <v>1</v>
      </c>
      <c r="AD174">
        <f t="shared" si="56"/>
        <v>0</v>
      </c>
      <c r="AE174" t="s">
        <v>50</v>
      </c>
      <c r="AF174">
        <f>IF(AE174="website",1,0)</f>
        <v>0</v>
      </c>
    </row>
    <row r="175" spans="1:32">
      <c r="A175" t="s">
        <v>572</v>
      </c>
      <c r="B175" t="s">
        <v>33</v>
      </c>
      <c r="C175" s="3">
        <f t="shared" si="38"/>
        <v>0</v>
      </c>
      <c r="D175">
        <f t="shared" si="39"/>
        <v>1</v>
      </c>
      <c r="E175" t="s">
        <v>476</v>
      </c>
      <c r="F175" t="s">
        <v>573</v>
      </c>
      <c r="G175" s="1">
        <v>30138</v>
      </c>
      <c r="H175" s="2">
        <f t="shared" ca="1" si="40"/>
        <v>44</v>
      </c>
      <c r="I175" s="2">
        <f t="shared" ca="1" si="41"/>
        <v>0.27142857142857141</v>
      </c>
      <c r="J175" t="s">
        <v>36</v>
      </c>
      <c r="K175" t="s">
        <v>37</v>
      </c>
      <c r="L175">
        <f t="shared" si="42"/>
        <v>1</v>
      </c>
      <c r="M175">
        <f t="shared" si="43"/>
        <v>0</v>
      </c>
      <c r="N175">
        <f t="shared" si="44"/>
        <v>0</v>
      </c>
      <c r="O175" t="s">
        <v>38</v>
      </c>
      <c r="P175">
        <f t="shared" si="45"/>
        <v>1</v>
      </c>
      <c r="Q175">
        <f t="shared" si="46"/>
        <v>0</v>
      </c>
      <c r="R175">
        <f t="shared" si="47"/>
        <v>0</v>
      </c>
      <c r="S175">
        <f t="shared" si="48"/>
        <v>0</v>
      </c>
      <c r="T175">
        <f t="shared" si="49"/>
        <v>0</v>
      </c>
      <c r="U175">
        <f t="shared" si="50"/>
        <v>0</v>
      </c>
      <c r="V175">
        <f t="shared" si="51"/>
        <v>0</v>
      </c>
      <c r="W175" t="s">
        <v>58</v>
      </c>
      <c r="X175">
        <f t="shared" si="52"/>
        <v>0</v>
      </c>
      <c r="Y175">
        <f t="shared" si="53"/>
        <v>1</v>
      </c>
      <c r="Z175">
        <v>3</v>
      </c>
      <c r="AA175">
        <f t="shared" si="54"/>
        <v>0.5</v>
      </c>
      <c r="AB175" t="s">
        <v>46</v>
      </c>
      <c r="AC175">
        <f t="shared" si="55"/>
        <v>0</v>
      </c>
      <c r="AD175">
        <f t="shared" si="56"/>
        <v>1</v>
      </c>
      <c r="AE175" t="s">
        <v>90</v>
      </c>
      <c r="AF175">
        <f>IF(AE175="website",1,0)</f>
        <v>0</v>
      </c>
    </row>
    <row r="176" spans="1:32">
      <c r="A176" t="s">
        <v>574</v>
      </c>
      <c r="B176" t="s">
        <v>33</v>
      </c>
      <c r="C176" s="3">
        <f t="shared" si="38"/>
        <v>0</v>
      </c>
      <c r="D176">
        <f t="shared" si="39"/>
        <v>1</v>
      </c>
      <c r="E176" t="s">
        <v>575</v>
      </c>
      <c r="F176" t="s">
        <v>576</v>
      </c>
      <c r="G176" s="1">
        <v>22741</v>
      </c>
      <c r="H176" s="2">
        <f t="shared" ca="1" si="40"/>
        <v>64</v>
      </c>
      <c r="I176" s="2">
        <f t="shared" ca="1" si="41"/>
        <v>0.55714285714285716</v>
      </c>
      <c r="J176" t="s">
        <v>45</v>
      </c>
      <c r="K176" t="s">
        <v>37</v>
      </c>
      <c r="L176">
        <f t="shared" si="42"/>
        <v>1</v>
      </c>
      <c r="M176">
        <f t="shared" si="43"/>
        <v>0</v>
      </c>
      <c r="N176">
        <f t="shared" si="44"/>
        <v>0</v>
      </c>
      <c r="O176" t="s">
        <v>565</v>
      </c>
      <c r="P176">
        <f t="shared" si="45"/>
        <v>0</v>
      </c>
      <c r="Q176">
        <f t="shared" si="46"/>
        <v>0</v>
      </c>
      <c r="R176">
        <f t="shared" si="47"/>
        <v>0</v>
      </c>
      <c r="S176">
        <f t="shared" si="48"/>
        <v>0</v>
      </c>
      <c r="T176">
        <f t="shared" si="49"/>
        <v>0</v>
      </c>
      <c r="U176">
        <f t="shared" si="50"/>
        <v>0</v>
      </c>
      <c r="V176">
        <f t="shared" si="51"/>
        <v>0</v>
      </c>
      <c r="W176" t="s">
        <v>39</v>
      </c>
      <c r="X176">
        <f t="shared" si="52"/>
        <v>1</v>
      </c>
      <c r="Y176">
        <f t="shared" si="53"/>
        <v>0</v>
      </c>
      <c r="Z176">
        <v>5</v>
      </c>
      <c r="AA176">
        <f t="shared" si="54"/>
        <v>1</v>
      </c>
      <c r="AB176" t="s">
        <v>46</v>
      </c>
      <c r="AC176">
        <f t="shared" si="55"/>
        <v>1</v>
      </c>
      <c r="AD176">
        <f t="shared" si="56"/>
        <v>0</v>
      </c>
      <c r="AE176" t="s">
        <v>50</v>
      </c>
      <c r="AF176">
        <f>IF(AE176="website",1,0)</f>
        <v>0</v>
      </c>
    </row>
    <row r="177" spans="1:32">
      <c r="A177" t="s">
        <v>577</v>
      </c>
      <c r="B177" t="s">
        <v>33</v>
      </c>
      <c r="C177" s="3">
        <f t="shared" si="38"/>
        <v>0</v>
      </c>
      <c r="D177">
        <f t="shared" si="39"/>
        <v>1</v>
      </c>
      <c r="E177" t="s">
        <v>578</v>
      </c>
      <c r="F177" t="s">
        <v>579</v>
      </c>
      <c r="G177" s="1">
        <v>34147</v>
      </c>
      <c r="H177" s="2">
        <f t="shared" ca="1" si="40"/>
        <v>33</v>
      </c>
      <c r="I177" s="2">
        <f t="shared" ca="1" si="41"/>
        <v>0.11428571428571428</v>
      </c>
      <c r="J177" t="s">
        <v>36</v>
      </c>
      <c r="K177" t="s">
        <v>37</v>
      </c>
      <c r="L177">
        <f t="shared" si="42"/>
        <v>1</v>
      </c>
      <c r="M177">
        <f t="shared" si="43"/>
        <v>0</v>
      </c>
      <c r="N177">
        <f t="shared" si="44"/>
        <v>0</v>
      </c>
      <c r="O177" t="s">
        <v>38</v>
      </c>
      <c r="P177">
        <f t="shared" si="45"/>
        <v>1</v>
      </c>
      <c r="Q177">
        <f t="shared" si="46"/>
        <v>0</v>
      </c>
      <c r="R177">
        <f t="shared" si="47"/>
        <v>0</v>
      </c>
      <c r="S177">
        <f t="shared" si="48"/>
        <v>0</v>
      </c>
      <c r="T177">
        <f t="shared" si="49"/>
        <v>0</v>
      </c>
      <c r="U177">
        <f t="shared" si="50"/>
        <v>0</v>
      </c>
      <c r="V177">
        <f t="shared" si="51"/>
        <v>0</v>
      </c>
      <c r="W177" t="s">
        <v>39</v>
      </c>
      <c r="X177">
        <f t="shared" si="52"/>
        <v>1</v>
      </c>
      <c r="Y177">
        <f t="shared" si="53"/>
        <v>0</v>
      </c>
      <c r="Z177">
        <v>2</v>
      </c>
      <c r="AA177">
        <f t="shared" si="54"/>
        <v>0.25</v>
      </c>
      <c r="AB177" t="s">
        <v>46</v>
      </c>
      <c r="AC177">
        <f t="shared" si="55"/>
        <v>0</v>
      </c>
      <c r="AD177">
        <f t="shared" si="56"/>
        <v>0</v>
      </c>
      <c r="AE177" t="s">
        <v>41</v>
      </c>
      <c r="AF177">
        <f>IF(AE177="website",1,0)</f>
        <v>1</v>
      </c>
    </row>
    <row r="178" spans="1:32">
      <c r="A178" t="s">
        <v>580</v>
      </c>
      <c r="B178" t="s">
        <v>33</v>
      </c>
      <c r="C178" s="3">
        <f t="shared" si="38"/>
        <v>0</v>
      </c>
      <c r="D178">
        <f t="shared" si="39"/>
        <v>1</v>
      </c>
      <c r="E178" t="s">
        <v>581</v>
      </c>
      <c r="F178" t="s">
        <v>513</v>
      </c>
      <c r="G178" s="1">
        <v>18692</v>
      </c>
      <c r="H178" s="2">
        <f t="shared" ca="1" si="40"/>
        <v>75</v>
      </c>
      <c r="I178" s="2">
        <f t="shared" ca="1" si="41"/>
        <v>0.7142857142857143</v>
      </c>
      <c r="J178" t="s">
        <v>36</v>
      </c>
      <c r="K178" t="s">
        <v>248</v>
      </c>
      <c r="L178">
        <f t="shared" si="42"/>
        <v>0</v>
      </c>
      <c r="M178">
        <f t="shared" si="43"/>
        <v>0</v>
      </c>
      <c r="N178">
        <f t="shared" si="44"/>
        <v>0</v>
      </c>
      <c r="O178" t="s">
        <v>582</v>
      </c>
      <c r="P178">
        <f t="shared" si="45"/>
        <v>0</v>
      </c>
      <c r="Q178">
        <f t="shared" si="46"/>
        <v>0</v>
      </c>
      <c r="R178">
        <f t="shared" si="47"/>
        <v>0</v>
      </c>
      <c r="S178">
        <f t="shared" si="48"/>
        <v>0</v>
      </c>
      <c r="T178">
        <f t="shared" si="49"/>
        <v>0</v>
      </c>
      <c r="U178">
        <f t="shared" si="50"/>
        <v>0</v>
      </c>
      <c r="V178">
        <f t="shared" si="51"/>
        <v>0</v>
      </c>
      <c r="W178" t="s">
        <v>39</v>
      </c>
      <c r="X178">
        <f t="shared" si="52"/>
        <v>1</v>
      </c>
      <c r="Y178">
        <f t="shared" si="53"/>
        <v>0</v>
      </c>
      <c r="Z178">
        <v>5</v>
      </c>
      <c r="AA178">
        <f t="shared" si="54"/>
        <v>1</v>
      </c>
      <c r="AB178" t="s">
        <v>40</v>
      </c>
      <c r="AC178">
        <f t="shared" si="55"/>
        <v>0</v>
      </c>
      <c r="AD178">
        <f t="shared" si="56"/>
        <v>0</v>
      </c>
      <c r="AE178" t="s">
        <v>41</v>
      </c>
      <c r="AF178">
        <f>IF(AE178="website",1,0)</f>
        <v>1</v>
      </c>
    </row>
    <row r="179" spans="1:32">
      <c r="A179" t="s">
        <v>583</v>
      </c>
      <c r="B179" t="s">
        <v>33</v>
      </c>
      <c r="C179" s="3">
        <f t="shared" si="38"/>
        <v>0</v>
      </c>
      <c r="D179">
        <f t="shared" si="39"/>
        <v>1</v>
      </c>
      <c r="E179" t="s">
        <v>584</v>
      </c>
      <c r="F179" t="s">
        <v>585</v>
      </c>
      <c r="G179" s="1">
        <v>19351</v>
      </c>
      <c r="H179" s="2">
        <f t="shared" ca="1" si="40"/>
        <v>73</v>
      </c>
      <c r="I179" s="2">
        <f t="shared" ca="1" si="41"/>
        <v>0.68571428571428572</v>
      </c>
      <c r="J179" t="s">
        <v>36</v>
      </c>
      <c r="K179" t="s">
        <v>37</v>
      </c>
      <c r="L179">
        <f t="shared" si="42"/>
        <v>1</v>
      </c>
      <c r="M179">
        <f t="shared" si="43"/>
        <v>0</v>
      </c>
      <c r="N179">
        <f t="shared" si="44"/>
        <v>0</v>
      </c>
      <c r="O179" t="s">
        <v>305</v>
      </c>
      <c r="P179">
        <f t="shared" si="45"/>
        <v>0</v>
      </c>
      <c r="Q179">
        <f t="shared" si="46"/>
        <v>0</v>
      </c>
      <c r="R179">
        <f t="shared" si="47"/>
        <v>0</v>
      </c>
      <c r="S179">
        <f t="shared" si="48"/>
        <v>0</v>
      </c>
      <c r="T179">
        <f t="shared" si="49"/>
        <v>0</v>
      </c>
      <c r="U179">
        <f t="shared" si="50"/>
        <v>0</v>
      </c>
      <c r="V179">
        <f t="shared" si="51"/>
        <v>0</v>
      </c>
      <c r="W179" t="s">
        <v>39</v>
      </c>
      <c r="X179">
        <f t="shared" si="52"/>
        <v>1</v>
      </c>
      <c r="Y179">
        <f t="shared" si="53"/>
        <v>0</v>
      </c>
      <c r="Z179">
        <v>4</v>
      </c>
      <c r="AA179">
        <f t="shared" si="54"/>
        <v>0.75</v>
      </c>
      <c r="AB179" t="s">
        <v>46</v>
      </c>
      <c r="AC179">
        <f t="shared" si="55"/>
        <v>1</v>
      </c>
      <c r="AD179">
        <f t="shared" si="56"/>
        <v>0</v>
      </c>
      <c r="AE179" t="s">
        <v>50</v>
      </c>
      <c r="AF179">
        <f>IF(AE179="website",1,0)</f>
        <v>0</v>
      </c>
    </row>
    <row r="180" spans="1:32">
      <c r="A180" t="s">
        <v>586</v>
      </c>
      <c r="B180" t="s">
        <v>33</v>
      </c>
      <c r="C180" s="3">
        <f t="shared" si="38"/>
        <v>0</v>
      </c>
      <c r="D180">
        <f t="shared" si="39"/>
        <v>1</v>
      </c>
      <c r="E180" t="s">
        <v>587</v>
      </c>
      <c r="F180" t="s">
        <v>430</v>
      </c>
      <c r="G180" s="1">
        <v>31454</v>
      </c>
      <c r="H180" s="2">
        <f t="shared" ca="1" si="40"/>
        <v>40</v>
      </c>
      <c r="I180" s="2">
        <f t="shared" ca="1" si="41"/>
        <v>0.21428571428571427</v>
      </c>
      <c r="J180" t="s">
        <v>36</v>
      </c>
      <c r="K180" t="s">
        <v>37</v>
      </c>
      <c r="L180">
        <f t="shared" si="42"/>
        <v>1</v>
      </c>
      <c r="M180">
        <f t="shared" si="43"/>
        <v>0</v>
      </c>
      <c r="N180">
        <f t="shared" si="44"/>
        <v>0</v>
      </c>
      <c r="O180" t="s">
        <v>76</v>
      </c>
      <c r="P180">
        <f t="shared" si="45"/>
        <v>0</v>
      </c>
      <c r="Q180">
        <f t="shared" si="46"/>
        <v>1</v>
      </c>
      <c r="R180">
        <f t="shared" si="47"/>
        <v>0</v>
      </c>
      <c r="S180">
        <f t="shared" si="48"/>
        <v>0</v>
      </c>
      <c r="T180">
        <f t="shared" si="49"/>
        <v>0</v>
      </c>
      <c r="U180">
        <f t="shared" si="50"/>
        <v>0</v>
      </c>
      <c r="V180">
        <f t="shared" si="51"/>
        <v>0</v>
      </c>
      <c r="W180" t="s">
        <v>58</v>
      </c>
      <c r="X180">
        <f t="shared" si="52"/>
        <v>0</v>
      </c>
      <c r="Y180">
        <f t="shared" si="53"/>
        <v>1</v>
      </c>
      <c r="Z180">
        <v>2</v>
      </c>
      <c r="AA180">
        <f t="shared" si="54"/>
        <v>0.25</v>
      </c>
      <c r="AB180" t="s">
        <v>46</v>
      </c>
      <c r="AC180">
        <f t="shared" si="55"/>
        <v>0</v>
      </c>
      <c r="AD180">
        <f t="shared" si="56"/>
        <v>0</v>
      </c>
      <c r="AE180" t="s">
        <v>41</v>
      </c>
      <c r="AF180">
        <f>IF(AE180="website",1,0)</f>
        <v>1</v>
      </c>
    </row>
    <row r="181" spans="1:32">
      <c r="A181" t="s">
        <v>588</v>
      </c>
      <c r="B181" t="s">
        <v>33</v>
      </c>
      <c r="C181" s="3">
        <f t="shared" si="38"/>
        <v>0</v>
      </c>
      <c r="D181">
        <f t="shared" si="39"/>
        <v>1</v>
      </c>
      <c r="E181" t="s">
        <v>561</v>
      </c>
      <c r="F181" t="s">
        <v>571</v>
      </c>
      <c r="G181" s="1">
        <v>15734</v>
      </c>
      <c r="H181" s="2">
        <f t="shared" ca="1" si="40"/>
        <v>83</v>
      </c>
      <c r="I181" s="2">
        <f t="shared" ca="1" si="41"/>
        <v>0.82857142857142863</v>
      </c>
      <c r="J181" t="s">
        <v>45</v>
      </c>
      <c r="K181" t="s">
        <v>37</v>
      </c>
      <c r="L181">
        <f t="shared" si="42"/>
        <v>1</v>
      </c>
      <c r="M181">
        <f t="shared" si="43"/>
        <v>0</v>
      </c>
      <c r="N181">
        <f t="shared" si="44"/>
        <v>0</v>
      </c>
      <c r="O181" t="s">
        <v>38</v>
      </c>
      <c r="P181">
        <f t="shared" si="45"/>
        <v>1</v>
      </c>
      <c r="Q181">
        <f t="shared" si="46"/>
        <v>0</v>
      </c>
      <c r="R181">
        <f t="shared" si="47"/>
        <v>0</v>
      </c>
      <c r="S181">
        <f t="shared" si="48"/>
        <v>0</v>
      </c>
      <c r="T181">
        <f t="shared" si="49"/>
        <v>0</v>
      </c>
      <c r="U181">
        <f t="shared" si="50"/>
        <v>0</v>
      </c>
      <c r="V181">
        <f t="shared" si="51"/>
        <v>0</v>
      </c>
      <c r="W181" t="s">
        <v>39</v>
      </c>
      <c r="X181">
        <f t="shared" si="52"/>
        <v>1</v>
      </c>
      <c r="Y181">
        <f t="shared" si="53"/>
        <v>0</v>
      </c>
      <c r="Z181">
        <v>2</v>
      </c>
      <c r="AA181">
        <f t="shared" si="54"/>
        <v>0.25</v>
      </c>
      <c r="AB181" t="s">
        <v>40</v>
      </c>
      <c r="AC181">
        <f t="shared" si="55"/>
        <v>1</v>
      </c>
      <c r="AD181">
        <f t="shared" si="56"/>
        <v>0</v>
      </c>
      <c r="AE181" t="s">
        <v>50</v>
      </c>
      <c r="AF181">
        <f>IF(AE181="website",1,0)</f>
        <v>0</v>
      </c>
    </row>
    <row r="182" spans="1:32">
      <c r="A182" t="s">
        <v>589</v>
      </c>
      <c r="B182" t="s">
        <v>33</v>
      </c>
      <c r="C182" s="3">
        <f t="shared" si="38"/>
        <v>0</v>
      </c>
      <c r="D182">
        <f t="shared" si="39"/>
        <v>1</v>
      </c>
      <c r="E182" t="s">
        <v>590</v>
      </c>
      <c r="F182" t="s">
        <v>591</v>
      </c>
      <c r="G182" s="1">
        <v>25684</v>
      </c>
      <c r="H182" s="2">
        <f t="shared" ca="1" si="40"/>
        <v>56</v>
      </c>
      <c r="I182" s="2">
        <f t="shared" ca="1" si="41"/>
        <v>0.44285714285714284</v>
      </c>
      <c r="J182" t="s">
        <v>45</v>
      </c>
      <c r="K182" t="s">
        <v>37</v>
      </c>
      <c r="L182">
        <f t="shared" si="42"/>
        <v>1</v>
      </c>
      <c r="M182">
        <f t="shared" si="43"/>
        <v>0</v>
      </c>
      <c r="N182">
        <f t="shared" si="44"/>
        <v>0</v>
      </c>
      <c r="O182" t="s">
        <v>592</v>
      </c>
      <c r="P182">
        <f t="shared" si="45"/>
        <v>0</v>
      </c>
      <c r="Q182">
        <f t="shared" si="46"/>
        <v>0</v>
      </c>
      <c r="R182">
        <f t="shared" si="47"/>
        <v>0</v>
      </c>
      <c r="S182">
        <f t="shared" si="48"/>
        <v>0</v>
      </c>
      <c r="T182">
        <f t="shared" si="49"/>
        <v>0</v>
      </c>
      <c r="U182">
        <f t="shared" si="50"/>
        <v>0</v>
      </c>
      <c r="V182">
        <f t="shared" si="51"/>
        <v>0</v>
      </c>
      <c r="W182" t="s">
        <v>39</v>
      </c>
      <c r="X182">
        <f t="shared" si="52"/>
        <v>1</v>
      </c>
      <c r="Y182">
        <f t="shared" si="53"/>
        <v>0</v>
      </c>
      <c r="Z182">
        <v>2</v>
      </c>
      <c r="AA182">
        <f t="shared" si="54"/>
        <v>0.25</v>
      </c>
      <c r="AB182" t="s">
        <v>40</v>
      </c>
      <c r="AC182">
        <f t="shared" si="55"/>
        <v>0</v>
      </c>
      <c r="AD182">
        <f t="shared" si="56"/>
        <v>0</v>
      </c>
      <c r="AE182" t="s">
        <v>41</v>
      </c>
      <c r="AF182">
        <f>IF(AE182="website",1,0)</f>
        <v>1</v>
      </c>
    </row>
    <row r="183" spans="1:32">
      <c r="A183" t="s">
        <v>593</v>
      </c>
      <c r="B183" t="s">
        <v>33</v>
      </c>
      <c r="C183" s="3">
        <f t="shared" si="38"/>
        <v>0</v>
      </c>
      <c r="D183">
        <f t="shared" si="39"/>
        <v>1</v>
      </c>
      <c r="E183" t="s">
        <v>305</v>
      </c>
      <c r="F183" t="s">
        <v>378</v>
      </c>
      <c r="G183" s="1">
        <v>26269</v>
      </c>
      <c r="H183" s="2">
        <f t="shared" ca="1" si="40"/>
        <v>54</v>
      </c>
      <c r="I183" s="2">
        <f t="shared" ca="1" si="41"/>
        <v>0.41428571428571431</v>
      </c>
      <c r="J183" t="s">
        <v>36</v>
      </c>
      <c r="K183" t="s">
        <v>113</v>
      </c>
      <c r="L183">
        <f t="shared" si="42"/>
        <v>0</v>
      </c>
      <c r="M183">
        <f t="shared" si="43"/>
        <v>0</v>
      </c>
      <c r="N183">
        <f t="shared" si="44"/>
        <v>1</v>
      </c>
      <c r="O183" t="s">
        <v>594</v>
      </c>
      <c r="P183">
        <f t="shared" si="45"/>
        <v>0</v>
      </c>
      <c r="Q183">
        <f t="shared" si="46"/>
        <v>0</v>
      </c>
      <c r="R183">
        <f t="shared" si="47"/>
        <v>0</v>
      </c>
      <c r="S183">
        <f t="shared" si="48"/>
        <v>0</v>
      </c>
      <c r="T183">
        <f t="shared" si="49"/>
        <v>0</v>
      </c>
      <c r="U183">
        <f t="shared" si="50"/>
        <v>0</v>
      </c>
      <c r="V183">
        <f t="shared" si="51"/>
        <v>0</v>
      </c>
      <c r="W183" t="s">
        <v>58</v>
      </c>
      <c r="X183">
        <f t="shared" si="52"/>
        <v>0</v>
      </c>
      <c r="Y183">
        <f t="shared" si="53"/>
        <v>1</v>
      </c>
      <c r="Z183">
        <v>1</v>
      </c>
      <c r="AA183">
        <f t="shared" si="54"/>
        <v>0</v>
      </c>
      <c r="AB183" t="s">
        <v>40</v>
      </c>
      <c r="AC183">
        <f t="shared" si="55"/>
        <v>0</v>
      </c>
      <c r="AD183">
        <f t="shared" si="56"/>
        <v>0</v>
      </c>
      <c r="AE183" t="s">
        <v>41</v>
      </c>
      <c r="AF183">
        <f>IF(AE183="website",1,0)</f>
        <v>1</v>
      </c>
    </row>
    <row r="184" spans="1:32">
      <c r="A184" t="s">
        <v>595</v>
      </c>
      <c r="B184" t="s">
        <v>33</v>
      </c>
      <c r="C184" s="3">
        <f t="shared" si="38"/>
        <v>0</v>
      </c>
      <c r="D184">
        <f t="shared" si="39"/>
        <v>1</v>
      </c>
      <c r="E184" t="s">
        <v>596</v>
      </c>
      <c r="F184" t="s">
        <v>554</v>
      </c>
      <c r="G184" s="1">
        <v>32401</v>
      </c>
      <c r="H184" s="2">
        <f t="shared" ca="1" si="40"/>
        <v>38</v>
      </c>
      <c r="I184" s="2">
        <f t="shared" ca="1" si="41"/>
        <v>0.18571428571428572</v>
      </c>
      <c r="J184" t="s">
        <v>45</v>
      </c>
      <c r="K184" t="s">
        <v>37</v>
      </c>
      <c r="L184">
        <f t="shared" si="42"/>
        <v>1</v>
      </c>
      <c r="M184">
        <f t="shared" si="43"/>
        <v>0</v>
      </c>
      <c r="N184">
        <f t="shared" si="44"/>
        <v>0</v>
      </c>
      <c r="O184" t="s">
        <v>124</v>
      </c>
      <c r="P184">
        <f t="shared" si="45"/>
        <v>0</v>
      </c>
      <c r="Q184">
        <f t="shared" si="46"/>
        <v>0</v>
      </c>
      <c r="R184">
        <f t="shared" si="47"/>
        <v>0</v>
      </c>
      <c r="S184">
        <f t="shared" si="48"/>
        <v>0</v>
      </c>
      <c r="T184">
        <f t="shared" si="49"/>
        <v>0</v>
      </c>
      <c r="U184">
        <f t="shared" si="50"/>
        <v>1</v>
      </c>
      <c r="V184">
        <f t="shared" si="51"/>
        <v>0</v>
      </c>
      <c r="W184" t="s">
        <v>39</v>
      </c>
      <c r="X184">
        <f t="shared" si="52"/>
        <v>1</v>
      </c>
      <c r="Y184">
        <f t="shared" si="53"/>
        <v>0</v>
      </c>
      <c r="Z184">
        <v>3</v>
      </c>
      <c r="AA184">
        <f t="shared" si="54"/>
        <v>0.5</v>
      </c>
      <c r="AB184" t="s">
        <v>46</v>
      </c>
      <c r="AC184">
        <f t="shared" si="55"/>
        <v>0</v>
      </c>
      <c r="AD184">
        <f t="shared" si="56"/>
        <v>0</v>
      </c>
      <c r="AE184" t="s">
        <v>41</v>
      </c>
      <c r="AF184">
        <f>IF(AE184="website",1,0)</f>
        <v>1</v>
      </c>
    </row>
    <row r="185" spans="1:32">
      <c r="A185" t="s">
        <v>597</v>
      </c>
      <c r="B185" t="s">
        <v>33</v>
      </c>
      <c r="C185" s="3">
        <f t="shared" si="38"/>
        <v>0</v>
      </c>
      <c r="D185">
        <f t="shared" si="39"/>
        <v>1</v>
      </c>
      <c r="E185" t="s">
        <v>598</v>
      </c>
      <c r="F185" t="s">
        <v>599</v>
      </c>
      <c r="G185" s="1">
        <v>34355</v>
      </c>
      <c r="H185" s="2">
        <f t="shared" ca="1" si="40"/>
        <v>32</v>
      </c>
      <c r="I185" s="2">
        <f t="shared" ca="1" si="41"/>
        <v>0.1</v>
      </c>
      <c r="J185" t="s">
        <v>45</v>
      </c>
      <c r="K185" t="s">
        <v>37</v>
      </c>
      <c r="L185">
        <f t="shared" si="42"/>
        <v>1</v>
      </c>
      <c r="M185">
        <f t="shared" si="43"/>
        <v>0</v>
      </c>
      <c r="N185">
        <f t="shared" si="44"/>
        <v>0</v>
      </c>
      <c r="O185" t="s">
        <v>600</v>
      </c>
      <c r="P185">
        <f t="shared" si="45"/>
        <v>0</v>
      </c>
      <c r="Q185">
        <f t="shared" si="46"/>
        <v>0</v>
      </c>
      <c r="R185">
        <f t="shared" si="47"/>
        <v>0</v>
      </c>
      <c r="S185">
        <f t="shared" si="48"/>
        <v>0</v>
      </c>
      <c r="T185">
        <f t="shared" si="49"/>
        <v>0</v>
      </c>
      <c r="U185">
        <f t="shared" si="50"/>
        <v>0</v>
      </c>
      <c r="V185">
        <f t="shared" si="51"/>
        <v>0</v>
      </c>
      <c r="W185" t="s">
        <v>39</v>
      </c>
      <c r="X185">
        <f t="shared" si="52"/>
        <v>1</v>
      </c>
      <c r="Y185">
        <f t="shared" si="53"/>
        <v>0</v>
      </c>
      <c r="Z185">
        <v>1</v>
      </c>
      <c r="AA185">
        <f t="shared" si="54"/>
        <v>0</v>
      </c>
      <c r="AB185" t="s">
        <v>46</v>
      </c>
      <c r="AC185">
        <f t="shared" si="55"/>
        <v>0</v>
      </c>
      <c r="AD185">
        <f t="shared" si="56"/>
        <v>0</v>
      </c>
      <c r="AE185" t="s">
        <v>41</v>
      </c>
      <c r="AF185">
        <f>IF(AE185="website",1,0)</f>
        <v>1</v>
      </c>
    </row>
    <row r="186" spans="1:32">
      <c r="A186" t="s">
        <v>601</v>
      </c>
      <c r="B186" t="s">
        <v>33</v>
      </c>
      <c r="C186" s="3">
        <f t="shared" si="38"/>
        <v>0</v>
      </c>
      <c r="D186">
        <f t="shared" si="39"/>
        <v>1</v>
      </c>
      <c r="E186" t="s">
        <v>602</v>
      </c>
      <c r="F186" t="s">
        <v>112</v>
      </c>
      <c r="G186" s="1">
        <v>16620</v>
      </c>
      <c r="H186" s="2">
        <f t="shared" ca="1" si="40"/>
        <v>81</v>
      </c>
      <c r="I186" s="2">
        <f t="shared" ca="1" si="41"/>
        <v>0.8</v>
      </c>
      <c r="J186" t="s">
        <v>36</v>
      </c>
      <c r="K186" t="s">
        <v>37</v>
      </c>
      <c r="L186">
        <f t="shared" si="42"/>
        <v>1</v>
      </c>
      <c r="M186">
        <f t="shared" si="43"/>
        <v>0</v>
      </c>
      <c r="N186">
        <f t="shared" si="44"/>
        <v>0</v>
      </c>
      <c r="O186" t="s">
        <v>124</v>
      </c>
      <c r="P186">
        <f t="shared" si="45"/>
        <v>0</v>
      </c>
      <c r="Q186">
        <f t="shared" si="46"/>
        <v>0</v>
      </c>
      <c r="R186">
        <f t="shared" si="47"/>
        <v>0</v>
      </c>
      <c r="S186">
        <f t="shared" si="48"/>
        <v>0</v>
      </c>
      <c r="T186">
        <f t="shared" si="49"/>
        <v>0</v>
      </c>
      <c r="U186">
        <f t="shared" si="50"/>
        <v>1</v>
      </c>
      <c r="V186">
        <f t="shared" si="51"/>
        <v>0</v>
      </c>
      <c r="W186" t="s">
        <v>39</v>
      </c>
      <c r="X186">
        <f t="shared" si="52"/>
        <v>1</v>
      </c>
      <c r="Y186">
        <f t="shared" si="53"/>
        <v>0</v>
      </c>
      <c r="Z186">
        <v>4</v>
      </c>
      <c r="AA186">
        <f t="shared" si="54"/>
        <v>0.75</v>
      </c>
      <c r="AB186" t="s">
        <v>40</v>
      </c>
      <c r="AC186">
        <f t="shared" si="55"/>
        <v>1</v>
      </c>
      <c r="AD186">
        <f t="shared" si="56"/>
        <v>0</v>
      </c>
      <c r="AE186" t="s">
        <v>50</v>
      </c>
      <c r="AF186">
        <f>IF(AE186="website",1,0)</f>
        <v>0</v>
      </c>
    </row>
    <row r="187" spans="1:32">
      <c r="A187" t="s">
        <v>603</v>
      </c>
      <c r="B187" t="s">
        <v>33</v>
      </c>
      <c r="C187" s="3">
        <f t="shared" si="38"/>
        <v>0</v>
      </c>
      <c r="D187">
        <f t="shared" si="39"/>
        <v>1</v>
      </c>
      <c r="E187" t="s">
        <v>604</v>
      </c>
      <c r="F187" t="s">
        <v>554</v>
      </c>
      <c r="G187" s="1">
        <v>30043</v>
      </c>
      <c r="H187" s="2">
        <f t="shared" ca="1" si="40"/>
        <v>44</v>
      </c>
      <c r="I187" s="2">
        <f t="shared" ca="1" si="41"/>
        <v>0.27142857142857141</v>
      </c>
      <c r="J187" t="s">
        <v>36</v>
      </c>
      <c r="K187" t="s">
        <v>37</v>
      </c>
      <c r="L187">
        <f t="shared" si="42"/>
        <v>1</v>
      </c>
      <c r="M187">
        <f t="shared" si="43"/>
        <v>0</v>
      </c>
      <c r="N187">
        <f t="shared" si="44"/>
        <v>0</v>
      </c>
      <c r="O187" t="s">
        <v>305</v>
      </c>
      <c r="P187">
        <f t="shared" si="45"/>
        <v>0</v>
      </c>
      <c r="Q187">
        <f t="shared" si="46"/>
        <v>0</v>
      </c>
      <c r="R187">
        <f t="shared" si="47"/>
        <v>0</v>
      </c>
      <c r="S187">
        <f t="shared" si="48"/>
        <v>0</v>
      </c>
      <c r="T187">
        <f t="shared" si="49"/>
        <v>0</v>
      </c>
      <c r="U187">
        <f t="shared" si="50"/>
        <v>0</v>
      </c>
      <c r="V187">
        <f t="shared" si="51"/>
        <v>0</v>
      </c>
      <c r="W187" t="s">
        <v>39</v>
      </c>
      <c r="X187">
        <f t="shared" si="52"/>
        <v>1</v>
      </c>
      <c r="Y187">
        <f t="shared" si="53"/>
        <v>0</v>
      </c>
      <c r="Z187">
        <v>1</v>
      </c>
      <c r="AA187">
        <f t="shared" si="54"/>
        <v>0</v>
      </c>
      <c r="AB187" t="s">
        <v>46</v>
      </c>
      <c r="AC187">
        <f t="shared" si="55"/>
        <v>0</v>
      </c>
      <c r="AD187">
        <f t="shared" si="56"/>
        <v>0</v>
      </c>
      <c r="AE187" t="s">
        <v>41</v>
      </c>
      <c r="AF187">
        <f>IF(AE187="website",1,0)</f>
        <v>1</v>
      </c>
    </row>
    <row r="188" spans="1:32">
      <c r="A188" t="s">
        <v>605</v>
      </c>
      <c r="B188" t="s">
        <v>33</v>
      </c>
      <c r="C188" s="3">
        <f t="shared" si="38"/>
        <v>0</v>
      </c>
      <c r="D188">
        <f t="shared" si="39"/>
        <v>1</v>
      </c>
      <c r="E188" t="s">
        <v>606</v>
      </c>
      <c r="F188" t="s">
        <v>607</v>
      </c>
      <c r="G188" s="1">
        <v>32890</v>
      </c>
      <c r="H188" s="2">
        <f t="shared" ca="1" si="40"/>
        <v>36</v>
      </c>
      <c r="I188" s="2">
        <f t="shared" ca="1" si="41"/>
        <v>0.15714285714285714</v>
      </c>
      <c r="J188" t="s">
        <v>36</v>
      </c>
      <c r="K188" t="s">
        <v>37</v>
      </c>
      <c r="L188">
        <f t="shared" si="42"/>
        <v>1</v>
      </c>
      <c r="M188">
        <f t="shared" si="43"/>
        <v>0</v>
      </c>
      <c r="N188">
        <f t="shared" si="44"/>
        <v>0</v>
      </c>
      <c r="O188" t="s">
        <v>600</v>
      </c>
      <c r="P188">
        <f t="shared" si="45"/>
        <v>0</v>
      </c>
      <c r="Q188">
        <f t="shared" si="46"/>
        <v>0</v>
      </c>
      <c r="R188">
        <f t="shared" si="47"/>
        <v>0</v>
      </c>
      <c r="S188">
        <f t="shared" si="48"/>
        <v>0</v>
      </c>
      <c r="T188">
        <f t="shared" si="49"/>
        <v>0</v>
      </c>
      <c r="U188">
        <f t="shared" si="50"/>
        <v>0</v>
      </c>
      <c r="V188">
        <f t="shared" si="51"/>
        <v>0</v>
      </c>
      <c r="W188" t="s">
        <v>39</v>
      </c>
      <c r="X188">
        <f t="shared" si="52"/>
        <v>1</v>
      </c>
      <c r="Y188">
        <f t="shared" si="53"/>
        <v>0</v>
      </c>
      <c r="Z188">
        <v>1</v>
      </c>
      <c r="AA188">
        <f t="shared" si="54"/>
        <v>0</v>
      </c>
      <c r="AB188" t="s">
        <v>46</v>
      </c>
      <c r="AC188">
        <f t="shared" si="55"/>
        <v>0</v>
      </c>
      <c r="AD188">
        <f t="shared" si="56"/>
        <v>0</v>
      </c>
      <c r="AE188" t="s">
        <v>41</v>
      </c>
      <c r="AF188">
        <f>IF(AE188="website",1,0)</f>
        <v>1</v>
      </c>
    </row>
    <row r="189" spans="1:32">
      <c r="A189" t="s">
        <v>608</v>
      </c>
      <c r="B189" t="s">
        <v>33</v>
      </c>
      <c r="C189" s="3">
        <f t="shared" si="38"/>
        <v>0</v>
      </c>
      <c r="D189">
        <f t="shared" si="39"/>
        <v>1</v>
      </c>
      <c r="E189" t="s">
        <v>609</v>
      </c>
      <c r="F189" t="s">
        <v>610</v>
      </c>
      <c r="G189" s="1">
        <v>14892</v>
      </c>
      <c r="H189" s="2">
        <f t="shared" ca="1" si="40"/>
        <v>85</v>
      </c>
      <c r="I189" s="2">
        <f t="shared" ca="1" si="41"/>
        <v>0.8571428571428571</v>
      </c>
      <c r="J189" t="s">
        <v>45</v>
      </c>
      <c r="K189" t="s">
        <v>37</v>
      </c>
      <c r="L189">
        <f t="shared" si="42"/>
        <v>1</v>
      </c>
      <c r="M189">
        <f t="shared" si="43"/>
        <v>0</v>
      </c>
      <c r="N189">
        <f t="shared" si="44"/>
        <v>0</v>
      </c>
      <c r="O189" t="s">
        <v>76</v>
      </c>
      <c r="P189">
        <f t="shared" si="45"/>
        <v>0</v>
      </c>
      <c r="Q189">
        <f t="shared" si="46"/>
        <v>1</v>
      </c>
      <c r="R189">
        <f t="shared" si="47"/>
        <v>0</v>
      </c>
      <c r="S189">
        <f t="shared" si="48"/>
        <v>0</v>
      </c>
      <c r="T189">
        <f t="shared" si="49"/>
        <v>0</v>
      </c>
      <c r="U189">
        <f t="shared" si="50"/>
        <v>0</v>
      </c>
      <c r="V189">
        <f t="shared" si="51"/>
        <v>0</v>
      </c>
      <c r="W189" t="s">
        <v>39</v>
      </c>
      <c r="X189">
        <f t="shared" si="52"/>
        <v>1</v>
      </c>
      <c r="Y189">
        <f t="shared" si="53"/>
        <v>0</v>
      </c>
      <c r="Z189">
        <v>5</v>
      </c>
      <c r="AA189">
        <f t="shared" si="54"/>
        <v>1</v>
      </c>
      <c r="AB189" t="s">
        <v>40</v>
      </c>
      <c r="AC189">
        <f t="shared" si="55"/>
        <v>0</v>
      </c>
      <c r="AD189">
        <f t="shared" si="56"/>
        <v>0</v>
      </c>
      <c r="AE189" t="s">
        <v>41</v>
      </c>
      <c r="AF189">
        <f>IF(AE189="website",1,0)</f>
        <v>1</v>
      </c>
    </row>
    <row r="190" spans="1:32">
      <c r="A190" t="s">
        <v>611</v>
      </c>
      <c r="B190" t="s">
        <v>33</v>
      </c>
      <c r="C190" s="3">
        <f t="shared" si="38"/>
        <v>0</v>
      </c>
      <c r="D190">
        <f t="shared" si="39"/>
        <v>1</v>
      </c>
      <c r="E190" t="s">
        <v>612</v>
      </c>
      <c r="F190" t="s">
        <v>613</v>
      </c>
      <c r="G190" s="1">
        <v>21530</v>
      </c>
      <c r="H190" s="2">
        <f t="shared" ca="1" si="40"/>
        <v>67</v>
      </c>
      <c r="I190" s="2">
        <f t="shared" ca="1" si="41"/>
        <v>0.6</v>
      </c>
      <c r="J190" t="s">
        <v>36</v>
      </c>
      <c r="K190" t="s">
        <v>37</v>
      </c>
      <c r="L190">
        <f t="shared" si="42"/>
        <v>1</v>
      </c>
      <c r="M190">
        <f t="shared" si="43"/>
        <v>0</v>
      </c>
      <c r="N190">
        <f t="shared" si="44"/>
        <v>0</v>
      </c>
      <c r="O190" t="s">
        <v>38</v>
      </c>
      <c r="P190">
        <f t="shared" si="45"/>
        <v>1</v>
      </c>
      <c r="Q190">
        <f t="shared" si="46"/>
        <v>0</v>
      </c>
      <c r="R190">
        <f t="shared" si="47"/>
        <v>0</v>
      </c>
      <c r="S190">
        <f t="shared" si="48"/>
        <v>0</v>
      </c>
      <c r="T190">
        <f t="shared" si="49"/>
        <v>0</v>
      </c>
      <c r="U190">
        <f t="shared" si="50"/>
        <v>0</v>
      </c>
      <c r="V190">
        <f t="shared" si="51"/>
        <v>0</v>
      </c>
      <c r="W190" t="s">
        <v>39</v>
      </c>
      <c r="X190">
        <f t="shared" si="52"/>
        <v>1</v>
      </c>
      <c r="Y190">
        <f t="shared" si="53"/>
        <v>0</v>
      </c>
      <c r="Z190">
        <v>2</v>
      </c>
      <c r="AA190">
        <f t="shared" si="54"/>
        <v>0.25</v>
      </c>
      <c r="AB190" t="s">
        <v>46</v>
      </c>
      <c r="AC190">
        <f t="shared" si="55"/>
        <v>1</v>
      </c>
      <c r="AD190">
        <f t="shared" si="56"/>
        <v>0</v>
      </c>
      <c r="AE190" t="s">
        <v>50</v>
      </c>
      <c r="AF190">
        <f>IF(AE190="website",1,0)</f>
        <v>0</v>
      </c>
    </row>
    <row r="191" spans="1:32">
      <c r="A191" t="s">
        <v>614</v>
      </c>
      <c r="B191" t="s">
        <v>33</v>
      </c>
      <c r="C191" s="3">
        <f t="shared" si="38"/>
        <v>0</v>
      </c>
      <c r="D191">
        <f t="shared" si="39"/>
        <v>1</v>
      </c>
      <c r="E191" t="s">
        <v>615</v>
      </c>
      <c r="F191" t="s">
        <v>616</v>
      </c>
      <c r="G191" s="1">
        <v>26225</v>
      </c>
      <c r="H191" s="2">
        <f t="shared" ca="1" si="40"/>
        <v>54</v>
      </c>
      <c r="I191" s="2">
        <f t="shared" ca="1" si="41"/>
        <v>0.41428571428571431</v>
      </c>
      <c r="J191" t="s">
        <v>36</v>
      </c>
      <c r="K191" t="s">
        <v>37</v>
      </c>
      <c r="L191">
        <f t="shared" si="42"/>
        <v>1</v>
      </c>
      <c r="M191">
        <f t="shared" si="43"/>
        <v>0</v>
      </c>
      <c r="N191">
        <f t="shared" si="44"/>
        <v>0</v>
      </c>
      <c r="O191" t="s">
        <v>38</v>
      </c>
      <c r="P191">
        <f t="shared" si="45"/>
        <v>1</v>
      </c>
      <c r="Q191">
        <f t="shared" si="46"/>
        <v>0</v>
      </c>
      <c r="R191">
        <f t="shared" si="47"/>
        <v>0</v>
      </c>
      <c r="S191">
        <f t="shared" si="48"/>
        <v>0</v>
      </c>
      <c r="T191">
        <f t="shared" si="49"/>
        <v>0</v>
      </c>
      <c r="U191">
        <f t="shared" si="50"/>
        <v>0</v>
      </c>
      <c r="V191">
        <f t="shared" si="51"/>
        <v>0</v>
      </c>
      <c r="W191" t="s">
        <v>39</v>
      </c>
      <c r="X191">
        <f t="shared" si="52"/>
        <v>1</v>
      </c>
      <c r="Y191">
        <f t="shared" si="53"/>
        <v>0</v>
      </c>
      <c r="Z191">
        <v>2</v>
      </c>
      <c r="AA191">
        <f t="shared" si="54"/>
        <v>0.25</v>
      </c>
      <c r="AB191" t="s">
        <v>46</v>
      </c>
      <c r="AC191">
        <f t="shared" si="55"/>
        <v>0</v>
      </c>
      <c r="AD191">
        <f t="shared" si="56"/>
        <v>0</v>
      </c>
      <c r="AE191" t="s">
        <v>41</v>
      </c>
      <c r="AF191">
        <f>IF(AE191="website",1,0)</f>
        <v>1</v>
      </c>
    </row>
    <row r="192" spans="1:32">
      <c r="A192" t="s">
        <v>617</v>
      </c>
      <c r="B192" t="s">
        <v>33</v>
      </c>
      <c r="C192" s="3">
        <f t="shared" si="38"/>
        <v>0</v>
      </c>
      <c r="D192">
        <f t="shared" si="39"/>
        <v>1</v>
      </c>
      <c r="E192" t="s">
        <v>581</v>
      </c>
      <c r="F192" t="s">
        <v>430</v>
      </c>
      <c r="G192" s="1">
        <v>28251</v>
      </c>
      <c r="H192" s="2">
        <f t="shared" ca="1" si="40"/>
        <v>49</v>
      </c>
      <c r="I192" s="2">
        <f t="shared" ca="1" si="41"/>
        <v>0.34285714285714286</v>
      </c>
      <c r="J192" t="s">
        <v>36</v>
      </c>
      <c r="K192" t="s">
        <v>37</v>
      </c>
      <c r="L192">
        <f t="shared" si="42"/>
        <v>1</v>
      </c>
      <c r="M192">
        <f t="shared" si="43"/>
        <v>0</v>
      </c>
      <c r="N192">
        <f t="shared" si="44"/>
        <v>0</v>
      </c>
      <c r="O192" t="s">
        <v>600</v>
      </c>
      <c r="P192">
        <f t="shared" si="45"/>
        <v>0</v>
      </c>
      <c r="Q192">
        <f t="shared" si="46"/>
        <v>0</v>
      </c>
      <c r="R192">
        <f t="shared" si="47"/>
        <v>0</v>
      </c>
      <c r="S192">
        <f t="shared" si="48"/>
        <v>0</v>
      </c>
      <c r="T192">
        <f t="shared" si="49"/>
        <v>0</v>
      </c>
      <c r="U192">
        <f t="shared" si="50"/>
        <v>0</v>
      </c>
      <c r="V192">
        <f t="shared" si="51"/>
        <v>0</v>
      </c>
      <c r="W192" t="s">
        <v>39</v>
      </c>
      <c r="X192">
        <f t="shared" si="52"/>
        <v>1</v>
      </c>
      <c r="Y192">
        <f t="shared" si="53"/>
        <v>0</v>
      </c>
      <c r="Z192">
        <v>3</v>
      </c>
      <c r="AA192">
        <f t="shared" si="54"/>
        <v>0.5</v>
      </c>
      <c r="AB192" t="s">
        <v>46</v>
      </c>
      <c r="AC192">
        <f t="shared" si="55"/>
        <v>1</v>
      </c>
      <c r="AD192">
        <f t="shared" si="56"/>
        <v>0</v>
      </c>
      <c r="AE192" t="s">
        <v>50</v>
      </c>
      <c r="AF192">
        <f>IF(AE192="website",1,0)</f>
        <v>0</v>
      </c>
    </row>
    <row r="193" spans="1:32">
      <c r="A193" t="s">
        <v>618</v>
      </c>
      <c r="B193" t="s">
        <v>33</v>
      </c>
      <c r="C193" s="3">
        <f t="shared" si="38"/>
        <v>0</v>
      </c>
      <c r="D193">
        <f t="shared" si="39"/>
        <v>1</v>
      </c>
      <c r="E193" t="s">
        <v>619</v>
      </c>
      <c r="F193" t="s">
        <v>620</v>
      </c>
      <c r="G193" s="1">
        <v>30716</v>
      </c>
      <c r="H193" s="2">
        <f t="shared" ca="1" si="40"/>
        <v>42</v>
      </c>
      <c r="I193" s="2">
        <f t="shared" ca="1" si="41"/>
        <v>0.24285714285714285</v>
      </c>
      <c r="J193" t="s">
        <v>36</v>
      </c>
      <c r="K193" t="s">
        <v>153</v>
      </c>
      <c r="L193">
        <f t="shared" si="42"/>
        <v>0</v>
      </c>
      <c r="M193">
        <f t="shared" si="43"/>
        <v>0</v>
      </c>
      <c r="N193">
        <f t="shared" si="44"/>
        <v>0</v>
      </c>
      <c r="O193" t="s">
        <v>154</v>
      </c>
      <c r="P193">
        <f t="shared" si="45"/>
        <v>0</v>
      </c>
      <c r="Q193">
        <f t="shared" si="46"/>
        <v>0</v>
      </c>
      <c r="R193">
        <f t="shared" si="47"/>
        <v>0</v>
      </c>
      <c r="S193">
        <f t="shared" si="48"/>
        <v>0</v>
      </c>
      <c r="T193">
        <f t="shared" si="49"/>
        <v>0</v>
      </c>
      <c r="U193">
        <f t="shared" si="50"/>
        <v>0</v>
      </c>
      <c r="V193">
        <f t="shared" si="51"/>
        <v>0</v>
      </c>
      <c r="W193" t="s">
        <v>58</v>
      </c>
      <c r="X193">
        <f t="shared" si="52"/>
        <v>0</v>
      </c>
      <c r="Y193">
        <f t="shared" si="53"/>
        <v>1</v>
      </c>
      <c r="Z193">
        <v>2</v>
      </c>
      <c r="AA193">
        <f t="shared" si="54"/>
        <v>0.25</v>
      </c>
      <c r="AB193" t="s">
        <v>40</v>
      </c>
      <c r="AC193">
        <f t="shared" si="55"/>
        <v>0</v>
      </c>
      <c r="AD193">
        <f t="shared" si="56"/>
        <v>0</v>
      </c>
      <c r="AE193" t="s">
        <v>41</v>
      </c>
      <c r="AF193">
        <f>IF(AE193="website",1,0)</f>
        <v>1</v>
      </c>
    </row>
    <row r="194" spans="1:32">
      <c r="A194" t="s">
        <v>621</v>
      </c>
      <c r="B194" t="s">
        <v>33</v>
      </c>
      <c r="C194" s="3">
        <f t="shared" ref="C194:C257" si="57">IF(B194="company",1,0)</f>
        <v>0</v>
      </c>
      <c r="D194">
        <f t="shared" ref="D194:D257" si="58">IF(B194="individual",1,0)</f>
        <v>1</v>
      </c>
      <c r="E194" t="s">
        <v>622</v>
      </c>
      <c r="F194" t="s">
        <v>623</v>
      </c>
      <c r="G194" s="1">
        <v>25059</v>
      </c>
      <c r="H194" s="2">
        <f t="shared" ref="H194:H257" ca="1" si="59">DATEDIF(G194,TODAY(),"Y")</f>
        <v>58</v>
      </c>
      <c r="I194" s="2">
        <f t="shared" ref="I194:I257" ca="1" si="60">(H194-MIN(H:H))/(MAX(H:H)-MIN(H:H))</f>
        <v>0.47142857142857142</v>
      </c>
      <c r="J194" t="s">
        <v>36</v>
      </c>
      <c r="K194" t="s">
        <v>37</v>
      </c>
      <c r="L194">
        <f t="shared" ref="L194:L257" si="61">IF(K194="usa",1,0)</f>
        <v>1</v>
      </c>
      <c r="M194">
        <f t="shared" ref="M194:M257" si="62">IF(K194="canada",1,0)</f>
        <v>0</v>
      </c>
      <c r="N194">
        <f t="shared" ref="N194:N257" si="63">IF(K194="germany",1,0)</f>
        <v>0</v>
      </c>
      <c r="O194" t="s">
        <v>38</v>
      </c>
      <c r="P194">
        <f t="shared" ref="P194:P257" si="64">IF(O194="california",1,0)</f>
        <v>1</v>
      </c>
      <c r="Q194">
        <f t="shared" ref="Q194:Q257" si="65">IF(O194="oregon",1,0)</f>
        <v>0</v>
      </c>
      <c r="R194">
        <f t="shared" ref="R194:R257" si="66">IF(O194="quebec",1,0)</f>
        <v>0</v>
      </c>
      <c r="S194">
        <f t="shared" ref="S194:S257" si="67">IF(O194="berlin",1,0)</f>
        <v>0</v>
      </c>
      <c r="T194">
        <f t="shared" ref="T194:T257" si="68">IF(O194="arizona",1,0)</f>
        <v>0</v>
      </c>
      <c r="U194">
        <f t="shared" ref="U194:U257" si="69">IF(O194="nevada",1,0)</f>
        <v>0</v>
      </c>
      <c r="V194">
        <f t="shared" ref="V194:V257" si="70">IF(O194="colardo",1,0)</f>
        <v>0</v>
      </c>
      <c r="W194" t="s">
        <v>58</v>
      </c>
      <c r="X194">
        <f t="shared" ref="X194:X257" si="71">IF(W194="home",1,0)</f>
        <v>0</v>
      </c>
      <c r="Y194">
        <f t="shared" ref="Y194:Y257" si="72">IF(W194="investment",1,0)</f>
        <v>1</v>
      </c>
      <c r="Z194">
        <v>4</v>
      </c>
      <c r="AA194">
        <f t="shared" ref="AA194:AA257" si="73">(Z194-1)/4</f>
        <v>0.75</v>
      </c>
      <c r="AB194" t="s">
        <v>40</v>
      </c>
      <c r="AC194">
        <f t="shared" ref="AC194:AC257" si="74">IF(AE194="agency",1,0)</f>
        <v>0</v>
      </c>
      <c r="AD194">
        <f t="shared" ref="AD194:AD257" si="75">IF(AE194="client",1,0)</f>
        <v>0</v>
      </c>
      <c r="AE194" t="s">
        <v>41</v>
      </c>
      <c r="AF194">
        <f>IF(AE194="website",1,0)</f>
        <v>1</v>
      </c>
    </row>
    <row r="195" spans="1:32">
      <c r="A195" t="s">
        <v>624</v>
      </c>
      <c r="B195" t="s">
        <v>33</v>
      </c>
      <c r="C195" s="3">
        <f t="shared" si="57"/>
        <v>0</v>
      </c>
      <c r="D195">
        <f t="shared" si="58"/>
        <v>1</v>
      </c>
      <c r="E195" t="s">
        <v>625</v>
      </c>
      <c r="F195" t="s">
        <v>549</v>
      </c>
      <c r="G195" s="1">
        <v>19589</v>
      </c>
      <c r="H195" s="2">
        <f t="shared" ca="1" si="59"/>
        <v>73</v>
      </c>
      <c r="I195" s="2">
        <f t="shared" ca="1" si="60"/>
        <v>0.68571428571428572</v>
      </c>
      <c r="J195" t="s">
        <v>45</v>
      </c>
      <c r="K195" t="s">
        <v>626</v>
      </c>
      <c r="L195">
        <f t="shared" si="61"/>
        <v>0</v>
      </c>
      <c r="M195">
        <f t="shared" si="62"/>
        <v>0</v>
      </c>
      <c r="N195">
        <f t="shared" si="63"/>
        <v>0</v>
      </c>
      <c r="O195" t="s">
        <v>627</v>
      </c>
      <c r="P195">
        <f t="shared" si="64"/>
        <v>0</v>
      </c>
      <c r="Q195">
        <f t="shared" si="65"/>
        <v>0</v>
      </c>
      <c r="R195">
        <f t="shared" si="66"/>
        <v>0</v>
      </c>
      <c r="S195">
        <f t="shared" si="67"/>
        <v>0</v>
      </c>
      <c r="T195">
        <f t="shared" si="68"/>
        <v>0</v>
      </c>
      <c r="U195">
        <f t="shared" si="69"/>
        <v>0</v>
      </c>
      <c r="V195">
        <f t="shared" si="70"/>
        <v>0</v>
      </c>
      <c r="W195" t="s">
        <v>39</v>
      </c>
      <c r="X195">
        <f t="shared" si="71"/>
        <v>1</v>
      </c>
      <c r="Y195">
        <f t="shared" si="72"/>
        <v>0</v>
      </c>
      <c r="Z195">
        <v>5</v>
      </c>
      <c r="AA195">
        <f t="shared" si="73"/>
        <v>1</v>
      </c>
      <c r="AB195" t="s">
        <v>40</v>
      </c>
      <c r="AC195">
        <f t="shared" si="74"/>
        <v>0</v>
      </c>
      <c r="AD195">
        <f t="shared" si="75"/>
        <v>0</v>
      </c>
      <c r="AE195" t="s">
        <v>41</v>
      </c>
      <c r="AF195">
        <f>IF(AE195="website",1,0)</f>
        <v>1</v>
      </c>
    </row>
    <row r="196" spans="1:32">
      <c r="A196" t="s">
        <v>628</v>
      </c>
      <c r="B196" t="s">
        <v>33</v>
      </c>
      <c r="C196" s="3">
        <f t="shared" si="57"/>
        <v>0</v>
      </c>
      <c r="D196">
        <f t="shared" si="58"/>
        <v>1</v>
      </c>
      <c r="E196" t="s">
        <v>629</v>
      </c>
      <c r="F196" t="s">
        <v>562</v>
      </c>
      <c r="G196" s="1">
        <v>17337</v>
      </c>
      <c r="H196" s="2">
        <f t="shared" ca="1" si="59"/>
        <v>79</v>
      </c>
      <c r="I196" s="2">
        <f t="shared" ca="1" si="60"/>
        <v>0.77142857142857146</v>
      </c>
      <c r="J196" t="s">
        <v>45</v>
      </c>
      <c r="K196" t="s">
        <v>37</v>
      </c>
      <c r="L196">
        <f t="shared" si="61"/>
        <v>1</v>
      </c>
      <c r="M196">
        <f t="shared" si="62"/>
        <v>0</v>
      </c>
      <c r="N196">
        <f t="shared" si="63"/>
        <v>0</v>
      </c>
      <c r="O196" t="s">
        <v>38</v>
      </c>
      <c r="P196">
        <f t="shared" si="64"/>
        <v>1</v>
      </c>
      <c r="Q196">
        <f t="shared" si="65"/>
        <v>0</v>
      </c>
      <c r="R196">
        <f t="shared" si="66"/>
        <v>0</v>
      </c>
      <c r="S196">
        <f t="shared" si="67"/>
        <v>0</v>
      </c>
      <c r="T196">
        <f t="shared" si="68"/>
        <v>0</v>
      </c>
      <c r="U196">
        <f t="shared" si="69"/>
        <v>0</v>
      </c>
      <c r="V196">
        <f t="shared" si="70"/>
        <v>0</v>
      </c>
      <c r="W196" t="s">
        <v>39</v>
      </c>
      <c r="X196">
        <f t="shared" si="71"/>
        <v>1</v>
      </c>
      <c r="Y196">
        <f t="shared" si="72"/>
        <v>0</v>
      </c>
      <c r="Z196">
        <v>2</v>
      </c>
      <c r="AA196">
        <f t="shared" si="73"/>
        <v>0.25</v>
      </c>
      <c r="AB196" t="s">
        <v>40</v>
      </c>
      <c r="AC196">
        <f t="shared" si="74"/>
        <v>0</v>
      </c>
      <c r="AD196">
        <f t="shared" si="75"/>
        <v>0</v>
      </c>
      <c r="AE196" t="s">
        <v>41</v>
      </c>
      <c r="AF196">
        <f>IF(AE196="website",1,0)</f>
        <v>1</v>
      </c>
    </row>
    <row r="197" spans="1:32">
      <c r="A197" t="s">
        <v>630</v>
      </c>
      <c r="B197" t="s">
        <v>33</v>
      </c>
      <c r="C197" s="3">
        <f t="shared" si="57"/>
        <v>0</v>
      </c>
      <c r="D197">
        <f t="shared" si="58"/>
        <v>1</v>
      </c>
      <c r="E197" t="s">
        <v>576</v>
      </c>
      <c r="F197" t="s">
        <v>613</v>
      </c>
      <c r="G197" s="1">
        <v>20932</v>
      </c>
      <c r="H197" s="2">
        <f t="shared" ca="1" si="59"/>
        <v>69</v>
      </c>
      <c r="I197" s="2">
        <f t="shared" ca="1" si="60"/>
        <v>0.62857142857142856</v>
      </c>
      <c r="J197" t="s">
        <v>45</v>
      </c>
      <c r="K197" t="s">
        <v>37</v>
      </c>
      <c r="L197">
        <f t="shared" si="61"/>
        <v>1</v>
      </c>
      <c r="M197">
        <f t="shared" si="62"/>
        <v>0</v>
      </c>
      <c r="N197">
        <f t="shared" si="63"/>
        <v>0</v>
      </c>
      <c r="O197" t="s">
        <v>124</v>
      </c>
      <c r="P197">
        <f t="shared" si="64"/>
        <v>0</v>
      </c>
      <c r="Q197">
        <f t="shared" si="65"/>
        <v>0</v>
      </c>
      <c r="R197">
        <f t="shared" si="66"/>
        <v>0</v>
      </c>
      <c r="S197">
        <f t="shared" si="67"/>
        <v>0</v>
      </c>
      <c r="T197">
        <f t="shared" si="68"/>
        <v>0</v>
      </c>
      <c r="U197">
        <f t="shared" si="69"/>
        <v>1</v>
      </c>
      <c r="V197">
        <f t="shared" si="70"/>
        <v>0</v>
      </c>
      <c r="W197" t="s">
        <v>58</v>
      </c>
      <c r="X197">
        <f t="shared" si="71"/>
        <v>0</v>
      </c>
      <c r="Y197">
        <f t="shared" si="72"/>
        <v>1</v>
      </c>
      <c r="Z197">
        <v>5</v>
      </c>
      <c r="AA197">
        <f t="shared" si="73"/>
        <v>1</v>
      </c>
      <c r="AB197" t="s">
        <v>46</v>
      </c>
      <c r="AC197">
        <f t="shared" si="74"/>
        <v>1</v>
      </c>
      <c r="AD197">
        <f t="shared" si="75"/>
        <v>0</v>
      </c>
      <c r="AE197" t="s">
        <v>50</v>
      </c>
      <c r="AF197">
        <f>IF(AE197="website",1,0)</f>
        <v>0</v>
      </c>
    </row>
    <row r="198" spans="1:32">
      <c r="A198" t="s">
        <v>631</v>
      </c>
      <c r="B198" t="s">
        <v>33</v>
      </c>
      <c r="C198" s="3">
        <f t="shared" si="57"/>
        <v>0</v>
      </c>
      <c r="D198">
        <f t="shared" si="58"/>
        <v>1</v>
      </c>
      <c r="E198" t="s">
        <v>191</v>
      </c>
      <c r="F198" t="s">
        <v>61</v>
      </c>
      <c r="G198" s="1">
        <v>16254</v>
      </c>
      <c r="H198" s="2">
        <f t="shared" ca="1" si="59"/>
        <v>82</v>
      </c>
      <c r="I198" s="2">
        <f t="shared" ca="1" si="60"/>
        <v>0.81428571428571428</v>
      </c>
      <c r="J198" t="s">
        <v>45</v>
      </c>
      <c r="K198" t="s">
        <v>37</v>
      </c>
      <c r="L198">
        <f t="shared" si="61"/>
        <v>1</v>
      </c>
      <c r="M198">
        <f t="shared" si="62"/>
        <v>0</v>
      </c>
      <c r="N198">
        <f t="shared" si="63"/>
        <v>0</v>
      </c>
      <c r="O198" t="s">
        <v>305</v>
      </c>
      <c r="P198">
        <f t="shared" si="64"/>
        <v>0</v>
      </c>
      <c r="Q198">
        <f t="shared" si="65"/>
        <v>0</v>
      </c>
      <c r="R198">
        <f t="shared" si="66"/>
        <v>0</v>
      </c>
      <c r="S198">
        <f t="shared" si="67"/>
        <v>0</v>
      </c>
      <c r="T198">
        <f t="shared" si="68"/>
        <v>0</v>
      </c>
      <c r="U198">
        <f t="shared" si="69"/>
        <v>0</v>
      </c>
      <c r="V198">
        <f t="shared" si="70"/>
        <v>0</v>
      </c>
      <c r="W198" t="s">
        <v>39</v>
      </c>
      <c r="X198">
        <f t="shared" si="71"/>
        <v>1</v>
      </c>
      <c r="Y198">
        <f t="shared" si="72"/>
        <v>0</v>
      </c>
      <c r="Z198">
        <v>4</v>
      </c>
      <c r="AA198">
        <f t="shared" si="73"/>
        <v>0.75</v>
      </c>
      <c r="AB198" t="s">
        <v>46</v>
      </c>
      <c r="AC198">
        <f t="shared" si="74"/>
        <v>0</v>
      </c>
      <c r="AD198">
        <f t="shared" si="75"/>
        <v>1</v>
      </c>
      <c r="AE198" t="s">
        <v>90</v>
      </c>
      <c r="AF198">
        <f>IF(AE198="website",1,0)</f>
        <v>0</v>
      </c>
    </row>
    <row r="199" spans="1:32">
      <c r="A199" t="s">
        <v>632</v>
      </c>
      <c r="B199" t="s">
        <v>33</v>
      </c>
      <c r="C199" s="3">
        <f t="shared" si="57"/>
        <v>0</v>
      </c>
      <c r="D199">
        <f t="shared" si="58"/>
        <v>1</v>
      </c>
      <c r="E199" t="s">
        <v>482</v>
      </c>
      <c r="F199" t="s">
        <v>633</v>
      </c>
      <c r="G199" s="1">
        <v>27787</v>
      </c>
      <c r="H199" s="2">
        <f t="shared" ca="1" si="59"/>
        <v>50</v>
      </c>
      <c r="I199" s="2">
        <f t="shared" ca="1" si="60"/>
        <v>0.35714285714285715</v>
      </c>
      <c r="J199" t="s">
        <v>36</v>
      </c>
      <c r="K199" t="s">
        <v>37</v>
      </c>
      <c r="L199">
        <f t="shared" si="61"/>
        <v>1</v>
      </c>
      <c r="M199">
        <f t="shared" si="62"/>
        <v>0</v>
      </c>
      <c r="N199">
        <f t="shared" si="63"/>
        <v>0</v>
      </c>
      <c r="O199" t="s">
        <v>38</v>
      </c>
      <c r="P199">
        <f t="shared" si="64"/>
        <v>1</v>
      </c>
      <c r="Q199">
        <f t="shared" si="65"/>
        <v>0</v>
      </c>
      <c r="R199">
        <f t="shared" si="66"/>
        <v>0</v>
      </c>
      <c r="S199">
        <f t="shared" si="67"/>
        <v>0</v>
      </c>
      <c r="T199">
        <f t="shared" si="68"/>
        <v>0</v>
      </c>
      <c r="U199">
        <f t="shared" si="69"/>
        <v>0</v>
      </c>
      <c r="V199">
        <f t="shared" si="70"/>
        <v>0</v>
      </c>
      <c r="W199" t="s">
        <v>39</v>
      </c>
      <c r="X199">
        <f t="shared" si="71"/>
        <v>1</v>
      </c>
      <c r="Y199">
        <f t="shared" si="72"/>
        <v>0</v>
      </c>
      <c r="Z199">
        <v>4</v>
      </c>
      <c r="AA199">
        <f t="shared" si="73"/>
        <v>0.75</v>
      </c>
      <c r="AB199" t="s">
        <v>46</v>
      </c>
      <c r="AC199">
        <f t="shared" si="74"/>
        <v>0</v>
      </c>
      <c r="AD199">
        <f t="shared" si="75"/>
        <v>0</v>
      </c>
      <c r="AE199" t="s">
        <v>41</v>
      </c>
      <c r="AF199">
        <f>IF(AE199="website",1,0)</f>
        <v>1</v>
      </c>
    </row>
    <row r="200" spans="1:32">
      <c r="A200" t="s">
        <v>634</v>
      </c>
      <c r="B200" t="s">
        <v>33</v>
      </c>
      <c r="C200" s="3">
        <f t="shared" si="57"/>
        <v>0</v>
      </c>
      <c r="D200">
        <f t="shared" si="58"/>
        <v>1</v>
      </c>
      <c r="E200" t="s">
        <v>635</v>
      </c>
      <c r="F200" t="s">
        <v>247</v>
      </c>
      <c r="G200" s="1">
        <v>21288</v>
      </c>
      <c r="H200" s="2">
        <f t="shared" ca="1" si="59"/>
        <v>68</v>
      </c>
      <c r="I200" s="2">
        <f t="shared" ca="1" si="60"/>
        <v>0.61428571428571432</v>
      </c>
      <c r="J200" t="s">
        <v>45</v>
      </c>
      <c r="K200" t="s">
        <v>37</v>
      </c>
      <c r="L200">
        <f t="shared" si="61"/>
        <v>1</v>
      </c>
      <c r="M200">
        <f t="shared" si="62"/>
        <v>0</v>
      </c>
      <c r="N200">
        <f t="shared" si="63"/>
        <v>0</v>
      </c>
      <c r="O200" t="s">
        <v>38</v>
      </c>
      <c r="P200">
        <f t="shared" si="64"/>
        <v>1</v>
      </c>
      <c r="Q200">
        <f t="shared" si="65"/>
        <v>0</v>
      </c>
      <c r="R200">
        <f t="shared" si="66"/>
        <v>0</v>
      </c>
      <c r="S200">
        <f t="shared" si="67"/>
        <v>0</v>
      </c>
      <c r="T200">
        <f t="shared" si="68"/>
        <v>0</v>
      </c>
      <c r="U200">
        <f t="shared" si="69"/>
        <v>0</v>
      </c>
      <c r="V200">
        <f t="shared" si="70"/>
        <v>0</v>
      </c>
      <c r="W200" t="s">
        <v>39</v>
      </c>
      <c r="X200">
        <f t="shared" si="71"/>
        <v>1</v>
      </c>
      <c r="Y200">
        <f t="shared" si="72"/>
        <v>0</v>
      </c>
      <c r="Z200">
        <v>3</v>
      </c>
      <c r="AA200">
        <f t="shared" si="73"/>
        <v>0.5</v>
      </c>
      <c r="AB200" t="s">
        <v>46</v>
      </c>
      <c r="AC200">
        <f t="shared" si="74"/>
        <v>1</v>
      </c>
      <c r="AD200">
        <f t="shared" si="75"/>
        <v>0</v>
      </c>
      <c r="AE200" t="s">
        <v>50</v>
      </c>
      <c r="AF200">
        <f>IF(AE200="website",1,0)</f>
        <v>0</v>
      </c>
    </row>
    <row r="201" spans="1:32">
      <c r="A201" t="s">
        <v>636</v>
      </c>
      <c r="B201" t="s">
        <v>33</v>
      </c>
      <c r="C201" s="3">
        <f t="shared" si="57"/>
        <v>0</v>
      </c>
      <c r="D201">
        <f t="shared" si="58"/>
        <v>1</v>
      </c>
      <c r="E201" t="s">
        <v>637</v>
      </c>
      <c r="F201" t="s">
        <v>573</v>
      </c>
      <c r="G201" s="1">
        <v>16198</v>
      </c>
      <c r="H201" s="2">
        <f t="shared" ca="1" si="59"/>
        <v>82</v>
      </c>
      <c r="I201" s="2">
        <f t="shared" ca="1" si="60"/>
        <v>0.81428571428571428</v>
      </c>
      <c r="J201" t="s">
        <v>36</v>
      </c>
      <c r="K201" t="s">
        <v>37</v>
      </c>
      <c r="L201">
        <f t="shared" si="61"/>
        <v>1</v>
      </c>
      <c r="M201">
        <f t="shared" si="62"/>
        <v>0</v>
      </c>
      <c r="N201">
        <f t="shared" si="63"/>
        <v>0</v>
      </c>
      <c r="O201" t="s">
        <v>38</v>
      </c>
      <c r="P201">
        <f t="shared" si="64"/>
        <v>1</v>
      </c>
      <c r="Q201">
        <f t="shared" si="65"/>
        <v>0</v>
      </c>
      <c r="R201">
        <f t="shared" si="66"/>
        <v>0</v>
      </c>
      <c r="S201">
        <f t="shared" si="67"/>
        <v>0</v>
      </c>
      <c r="T201">
        <f t="shared" si="68"/>
        <v>0</v>
      </c>
      <c r="U201">
        <f t="shared" si="69"/>
        <v>0</v>
      </c>
      <c r="V201">
        <f t="shared" si="70"/>
        <v>0</v>
      </c>
      <c r="W201" t="s">
        <v>39</v>
      </c>
      <c r="X201">
        <f t="shared" si="71"/>
        <v>1</v>
      </c>
      <c r="Y201">
        <f t="shared" si="72"/>
        <v>0</v>
      </c>
      <c r="Z201">
        <v>1</v>
      </c>
      <c r="AA201">
        <f t="shared" si="73"/>
        <v>0</v>
      </c>
      <c r="AB201" t="s">
        <v>46</v>
      </c>
      <c r="AC201">
        <f t="shared" si="74"/>
        <v>1</v>
      </c>
      <c r="AD201">
        <f t="shared" si="75"/>
        <v>0</v>
      </c>
      <c r="AE201" t="s">
        <v>50</v>
      </c>
      <c r="AF201">
        <f>IF(AE201="website",1,0)</f>
        <v>0</v>
      </c>
    </row>
    <row r="202" spans="1:32">
      <c r="A202" t="s">
        <v>638</v>
      </c>
      <c r="B202" t="s">
        <v>33</v>
      </c>
      <c r="C202" s="3">
        <f t="shared" si="57"/>
        <v>0</v>
      </c>
      <c r="D202">
        <f t="shared" si="58"/>
        <v>1</v>
      </c>
      <c r="E202" t="s">
        <v>639</v>
      </c>
      <c r="F202" t="s">
        <v>552</v>
      </c>
      <c r="G202" s="1">
        <v>24881</v>
      </c>
      <c r="H202" s="2">
        <f t="shared" ca="1" si="59"/>
        <v>58</v>
      </c>
      <c r="I202" s="2">
        <f t="shared" ca="1" si="60"/>
        <v>0.47142857142857142</v>
      </c>
      <c r="J202" t="s">
        <v>36</v>
      </c>
      <c r="K202" t="s">
        <v>37</v>
      </c>
      <c r="L202">
        <f t="shared" si="61"/>
        <v>1</v>
      </c>
      <c r="M202">
        <f t="shared" si="62"/>
        <v>0</v>
      </c>
      <c r="N202">
        <f t="shared" si="63"/>
        <v>0</v>
      </c>
      <c r="O202" t="s">
        <v>38</v>
      </c>
      <c r="P202">
        <f t="shared" si="64"/>
        <v>1</v>
      </c>
      <c r="Q202">
        <f t="shared" si="65"/>
        <v>0</v>
      </c>
      <c r="R202">
        <f t="shared" si="66"/>
        <v>0</v>
      </c>
      <c r="S202">
        <f t="shared" si="67"/>
        <v>0</v>
      </c>
      <c r="T202">
        <f t="shared" si="68"/>
        <v>0</v>
      </c>
      <c r="U202">
        <f t="shared" si="69"/>
        <v>0</v>
      </c>
      <c r="V202">
        <f t="shared" si="70"/>
        <v>0</v>
      </c>
      <c r="W202" t="s">
        <v>39</v>
      </c>
      <c r="X202">
        <f t="shared" si="71"/>
        <v>1</v>
      </c>
      <c r="Y202">
        <f t="shared" si="72"/>
        <v>0</v>
      </c>
      <c r="Z202">
        <v>1</v>
      </c>
      <c r="AA202">
        <f t="shared" si="73"/>
        <v>0</v>
      </c>
      <c r="AB202" t="s">
        <v>46</v>
      </c>
      <c r="AC202">
        <f t="shared" si="74"/>
        <v>1</v>
      </c>
      <c r="AD202">
        <f t="shared" si="75"/>
        <v>0</v>
      </c>
      <c r="AE202" t="s">
        <v>50</v>
      </c>
      <c r="AF202">
        <f>IF(AE202="website",1,0)</f>
        <v>0</v>
      </c>
    </row>
    <row r="203" spans="1:32">
      <c r="A203" t="s">
        <v>640</v>
      </c>
      <c r="B203" t="s">
        <v>33</v>
      </c>
      <c r="C203" s="3">
        <f t="shared" si="57"/>
        <v>0</v>
      </c>
      <c r="D203">
        <f t="shared" si="58"/>
        <v>1</v>
      </c>
      <c r="E203" t="s">
        <v>357</v>
      </c>
      <c r="F203" t="s">
        <v>641</v>
      </c>
      <c r="G203" s="1">
        <v>35380</v>
      </c>
      <c r="H203" s="2">
        <f t="shared" ca="1" si="59"/>
        <v>29</v>
      </c>
      <c r="I203" s="2">
        <f t="shared" ca="1" si="60"/>
        <v>5.7142857142857141E-2</v>
      </c>
      <c r="J203" t="s">
        <v>45</v>
      </c>
      <c r="K203" t="s">
        <v>65</v>
      </c>
      <c r="L203">
        <f t="shared" si="61"/>
        <v>0</v>
      </c>
      <c r="M203">
        <f t="shared" si="62"/>
        <v>1</v>
      </c>
      <c r="N203">
        <f t="shared" si="63"/>
        <v>0</v>
      </c>
      <c r="O203" t="s">
        <v>642</v>
      </c>
      <c r="P203">
        <f t="shared" si="64"/>
        <v>0</v>
      </c>
      <c r="Q203">
        <f t="shared" si="65"/>
        <v>0</v>
      </c>
      <c r="R203">
        <f t="shared" si="66"/>
        <v>0</v>
      </c>
      <c r="S203">
        <f t="shared" si="67"/>
        <v>0</v>
      </c>
      <c r="T203">
        <f t="shared" si="68"/>
        <v>0</v>
      </c>
      <c r="U203">
        <f t="shared" si="69"/>
        <v>0</v>
      </c>
      <c r="V203">
        <f t="shared" si="70"/>
        <v>0</v>
      </c>
      <c r="W203" t="s">
        <v>39</v>
      </c>
      <c r="X203">
        <f t="shared" si="71"/>
        <v>1</v>
      </c>
      <c r="Y203">
        <f t="shared" si="72"/>
        <v>0</v>
      </c>
      <c r="Z203">
        <v>1</v>
      </c>
      <c r="AA203">
        <f t="shared" si="73"/>
        <v>0</v>
      </c>
      <c r="AB203" t="s">
        <v>46</v>
      </c>
      <c r="AC203">
        <f t="shared" si="74"/>
        <v>0</v>
      </c>
      <c r="AD203">
        <f t="shared" si="75"/>
        <v>0</v>
      </c>
      <c r="AE203" t="s">
        <v>41</v>
      </c>
      <c r="AF203">
        <f>IF(AE203="website",1,0)</f>
        <v>1</v>
      </c>
    </row>
    <row r="204" spans="1:32">
      <c r="A204" t="s">
        <v>643</v>
      </c>
      <c r="B204" t="s">
        <v>33</v>
      </c>
      <c r="C204" s="3">
        <f t="shared" si="57"/>
        <v>0</v>
      </c>
      <c r="D204">
        <f t="shared" si="58"/>
        <v>1</v>
      </c>
      <c r="E204" t="s">
        <v>644</v>
      </c>
      <c r="F204" t="s">
        <v>645</v>
      </c>
      <c r="G204" s="1">
        <v>20593</v>
      </c>
      <c r="H204" s="2">
        <f t="shared" ca="1" si="59"/>
        <v>70</v>
      </c>
      <c r="I204" s="2">
        <f t="shared" ca="1" si="60"/>
        <v>0.6428571428571429</v>
      </c>
      <c r="J204" t="s">
        <v>36</v>
      </c>
      <c r="K204" t="s">
        <v>37</v>
      </c>
      <c r="L204">
        <f t="shared" si="61"/>
        <v>1</v>
      </c>
      <c r="M204">
        <f t="shared" si="62"/>
        <v>0</v>
      </c>
      <c r="N204">
        <f t="shared" si="63"/>
        <v>0</v>
      </c>
      <c r="O204" t="s">
        <v>38</v>
      </c>
      <c r="P204">
        <f t="shared" si="64"/>
        <v>1</v>
      </c>
      <c r="Q204">
        <f t="shared" si="65"/>
        <v>0</v>
      </c>
      <c r="R204">
        <f t="shared" si="66"/>
        <v>0</v>
      </c>
      <c r="S204">
        <f t="shared" si="67"/>
        <v>0</v>
      </c>
      <c r="T204">
        <f t="shared" si="68"/>
        <v>0</v>
      </c>
      <c r="U204">
        <f t="shared" si="69"/>
        <v>0</v>
      </c>
      <c r="V204">
        <f t="shared" si="70"/>
        <v>0</v>
      </c>
      <c r="W204" t="s">
        <v>39</v>
      </c>
      <c r="X204">
        <f t="shared" si="71"/>
        <v>1</v>
      </c>
      <c r="Y204">
        <f t="shared" si="72"/>
        <v>0</v>
      </c>
      <c r="Z204">
        <v>4</v>
      </c>
      <c r="AA204">
        <f t="shared" si="73"/>
        <v>0.75</v>
      </c>
      <c r="AB204" t="s">
        <v>46</v>
      </c>
      <c r="AC204">
        <f t="shared" si="74"/>
        <v>0</v>
      </c>
      <c r="AD204">
        <f t="shared" si="75"/>
        <v>1</v>
      </c>
      <c r="AE204" t="s">
        <v>90</v>
      </c>
      <c r="AF204">
        <f>IF(AE204="website",1,0)</f>
        <v>0</v>
      </c>
    </row>
    <row r="205" spans="1:32">
      <c r="A205" t="s">
        <v>646</v>
      </c>
      <c r="B205" t="s">
        <v>33</v>
      </c>
      <c r="C205" s="3">
        <f t="shared" si="57"/>
        <v>0</v>
      </c>
      <c r="D205">
        <f t="shared" si="58"/>
        <v>1</v>
      </c>
      <c r="E205" t="s">
        <v>647</v>
      </c>
      <c r="F205" t="s">
        <v>599</v>
      </c>
      <c r="G205" s="1">
        <v>17177</v>
      </c>
      <c r="H205" s="2">
        <f t="shared" ca="1" si="59"/>
        <v>79</v>
      </c>
      <c r="I205" s="2">
        <f t="shared" ca="1" si="60"/>
        <v>0.77142857142857146</v>
      </c>
      <c r="J205" t="s">
        <v>36</v>
      </c>
      <c r="K205" t="s">
        <v>37</v>
      </c>
      <c r="L205">
        <f t="shared" si="61"/>
        <v>1</v>
      </c>
      <c r="M205">
        <f t="shared" si="62"/>
        <v>0</v>
      </c>
      <c r="N205">
        <f t="shared" si="63"/>
        <v>0</v>
      </c>
      <c r="O205" t="s">
        <v>38</v>
      </c>
      <c r="P205">
        <f t="shared" si="64"/>
        <v>1</v>
      </c>
      <c r="Q205">
        <f t="shared" si="65"/>
        <v>0</v>
      </c>
      <c r="R205">
        <f t="shared" si="66"/>
        <v>0</v>
      </c>
      <c r="S205">
        <f t="shared" si="67"/>
        <v>0</v>
      </c>
      <c r="T205">
        <f t="shared" si="68"/>
        <v>0</v>
      </c>
      <c r="U205">
        <f t="shared" si="69"/>
        <v>0</v>
      </c>
      <c r="V205">
        <f t="shared" si="70"/>
        <v>0</v>
      </c>
      <c r="W205" t="s">
        <v>39</v>
      </c>
      <c r="X205">
        <f t="shared" si="71"/>
        <v>1</v>
      </c>
      <c r="Y205">
        <f t="shared" si="72"/>
        <v>0</v>
      </c>
      <c r="Z205">
        <v>5</v>
      </c>
      <c r="AA205">
        <f t="shared" si="73"/>
        <v>1</v>
      </c>
      <c r="AB205" t="s">
        <v>46</v>
      </c>
      <c r="AC205">
        <f t="shared" si="74"/>
        <v>1</v>
      </c>
      <c r="AD205">
        <f t="shared" si="75"/>
        <v>0</v>
      </c>
      <c r="AE205" t="s">
        <v>50</v>
      </c>
      <c r="AF205">
        <f>IF(AE205="website",1,0)</f>
        <v>0</v>
      </c>
    </row>
    <row r="206" spans="1:32">
      <c r="A206" t="s">
        <v>648</v>
      </c>
      <c r="B206" t="s">
        <v>33</v>
      </c>
      <c r="C206" s="3">
        <f t="shared" si="57"/>
        <v>0</v>
      </c>
      <c r="D206">
        <f t="shared" si="58"/>
        <v>1</v>
      </c>
      <c r="E206" t="s">
        <v>649</v>
      </c>
      <c r="F206" t="s">
        <v>112</v>
      </c>
      <c r="G206" s="1">
        <v>25076</v>
      </c>
      <c r="H206" s="2">
        <f t="shared" ca="1" si="59"/>
        <v>58</v>
      </c>
      <c r="I206" s="2">
        <f t="shared" ca="1" si="60"/>
        <v>0.47142857142857142</v>
      </c>
      <c r="J206" t="s">
        <v>36</v>
      </c>
      <c r="K206" t="s">
        <v>158</v>
      </c>
      <c r="L206">
        <f t="shared" si="61"/>
        <v>0</v>
      </c>
      <c r="M206">
        <f t="shared" si="62"/>
        <v>0</v>
      </c>
      <c r="N206">
        <f t="shared" si="63"/>
        <v>0</v>
      </c>
      <c r="O206" t="s">
        <v>650</v>
      </c>
      <c r="P206">
        <f t="shared" si="64"/>
        <v>0</v>
      </c>
      <c r="Q206">
        <f t="shared" si="65"/>
        <v>0</v>
      </c>
      <c r="R206">
        <f t="shared" si="66"/>
        <v>0</v>
      </c>
      <c r="S206">
        <f t="shared" si="67"/>
        <v>0</v>
      </c>
      <c r="T206">
        <f t="shared" si="68"/>
        <v>0</v>
      </c>
      <c r="U206">
        <f t="shared" si="69"/>
        <v>0</v>
      </c>
      <c r="V206">
        <f t="shared" si="70"/>
        <v>0</v>
      </c>
      <c r="W206" t="s">
        <v>39</v>
      </c>
      <c r="X206">
        <f t="shared" si="71"/>
        <v>1</v>
      </c>
      <c r="Y206">
        <f t="shared" si="72"/>
        <v>0</v>
      </c>
      <c r="Z206">
        <v>1</v>
      </c>
      <c r="AA206">
        <f t="shared" si="73"/>
        <v>0</v>
      </c>
      <c r="AB206" t="s">
        <v>40</v>
      </c>
      <c r="AC206">
        <f t="shared" si="74"/>
        <v>1</v>
      </c>
      <c r="AD206">
        <f t="shared" si="75"/>
        <v>0</v>
      </c>
      <c r="AE206" t="s">
        <v>50</v>
      </c>
      <c r="AF206">
        <f>IF(AE206="website",1,0)</f>
        <v>0</v>
      </c>
    </row>
    <row r="207" spans="1:32">
      <c r="A207" t="s">
        <v>651</v>
      </c>
      <c r="B207" t="s">
        <v>33</v>
      </c>
      <c r="C207" s="3">
        <f t="shared" si="57"/>
        <v>0</v>
      </c>
      <c r="D207">
        <f t="shared" si="58"/>
        <v>1</v>
      </c>
      <c r="E207" t="s">
        <v>652</v>
      </c>
      <c r="F207" t="s">
        <v>653</v>
      </c>
      <c r="G207" s="1">
        <v>20948</v>
      </c>
      <c r="H207" s="2">
        <f t="shared" ca="1" si="59"/>
        <v>69</v>
      </c>
      <c r="I207" s="2">
        <f t="shared" ca="1" si="60"/>
        <v>0.62857142857142856</v>
      </c>
      <c r="J207" t="s">
        <v>36</v>
      </c>
      <c r="K207" t="s">
        <v>37</v>
      </c>
      <c r="L207">
        <f t="shared" si="61"/>
        <v>1</v>
      </c>
      <c r="M207">
        <f t="shared" si="62"/>
        <v>0</v>
      </c>
      <c r="N207">
        <f t="shared" si="63"/>
        <v>0</v>
      </c>
      <c r="O207" t="s">
        <v>38</v>
      </c>
      <c r="P207">
        <f t="shared" si="64"/>
        <v>1</v>
      </c>
      <c r="Q207">
        <f t="shared" si="65"/>
        <v>0</v>
      </c>
      <c r="R207">
        <f t="shared" si="66"/>
        <v>0</v>
      </c>
      <c r="S207">
        <f t="shared" si="67"/>
        <v>0</v>
      </c>
      <c r="T207">
        <f t="shared" si="68"/>
        <v>0</v>
      </c>
      <c r="U207">
        <f t="shared" si="69"/>
        <v>0</v>
      </c>
      <c r="V207">
        <f t="shared" si="70"/>
        <v>0</v>
      </c>
      <c r="W207" t="s">
        <v>39</v>
      </c>
      <c r="X207">
        <f t="shared" si="71"/>
        <v>1</v>
      </c>
      <c r="Y207">
        <f t="shared" si="72"/>
        <v>0</v>
      </c>
      <c r="Z207">
        <v>1</v>
      </c>
      <c r="AA207">
        <f t="shared" si="73"/>
        <v>0</v>
      </c>
      <c r="AB207" t="s">
        <v>40</v>
      </c>
      <c r="AC207">
        <f t="shared" si="74"/>
        <v>1</v>
      </c>
      <c r="AD207">
        <f t="shared" si="75"/>
        <v>0</v>
      </c>
      <c r="AE207" t="s">
        <v>50</v>
      </c>
      <c r="AF207">
        <f>IF(AE207="website",1,0)</f>
        <v>0</v>
      </c>
    </row>
    <row r="208" spans="1:32">
      <c r="A208" t="s">
        <v>654</v>
      </c>
      <c r="B208" t="s">
        <v>33</v>
      </c>
      <c r="C208" s="3">
        <f t="shared" si="57"/>
        <v>0</v>
      </c>
      <c r="D208">
        <f t="shared" si="58"/>
        <v>1</v>
      </c>
      <c r="E208" t="s">
        <v>655</v>
      </c>
      <c r="F208" t="s">
        <v>656</v>
      </c>
      <c r="G208" s="1">
        <v>16395</v>
      </c>
      <c r="H208" s="2">
        <f t="shared" ca="1" si="59"/>
        <v>81</v>
      </c>
      <c r="I208" s="2">
        <f t="shared" ca="1" si="60"/>
        <v>0.8</v>
      </c>
      <c r="J208" t="s">
        <v>45</v>
      </c>
      <c r="K208" t="s">
        <v>37</v>
      </c>
      <c r="L208">
        <f t="shared" si="61"/>
        <v>1</v>
      </c>
      <c r="M208">
        <f t="shared" si="62"/>
        <v>0</v>
      </c>
      <c r="N208">
        <f t="shared" si="63"/>
        <v>0</v>
      </c>
      <c r="O208" t="s">
        <v>305</v>
      </c>
      <c r="P208">
        <f t="shared" si="64"/>
        <v>0</v>
      </c>
      <c r="Q208">
        <f t="shared" si="65"/>
        <v>0</v>
      </c>
      <c r="R208">
        <f t="shared" si="66"/>
        <v>0</v>
      </c>
      <c r="S208">
        <f t="shared" si="67"/>
        <v>0</v>
      </c>
      <c r="T208">
        <f t="shared" si="68"/>
        <v>0</v>
      </c>
      <c r="U208">
        <f t="shared" si="69"/>
        <v>0</v>
      </c>
      <c r="V208">
        <f t="shared" si="70"/>
        <v>0</v>
      </c>
      <c r="W208" t="s">
        <v>58</v>
      </c>
      <c r="X208">
        <f t="shared" si="71"/>
        <v>0</v>
      </c>
      <c r="Y208">
        <f t="shared" si="72"/>
        <v>1</v>
      </c>
      <c r="Z208">
        <v>4</v>
      </c>
      <c r="AA208">
        <f t="shared" si="73"/>
        <v>0.75</v>
      </c>
      <c r="AB208" t="s">
        <v>46</v>
      </c>
      <c r="AC208">
        <f t="shared" si="74"/>
        <v>0</v>
      </c>
      <c r="AD208">
        <f t="shared" si="75"/>
        <v>0</v>
      </c>
      <c r="AE208" t="s">
        <v>41</v>
      </c>
      <c r="AF208">
        <f>IF(AE208="website",1,0)</f>
        <v>1</v>
      </c>
    </row>
    <row r="209" spans="1:32">
      <c r="A209" t="s">
        <v>657</v>
      </c>
      <c r="B209" t="s">
        <v>33</v>
      </c>
      <c r="C209" s="3">
        <f t="shared" si="57"/>
        <v>0</v>
      </c>
      <c r="D209">
        <f t="shared" si="58"/>
        <v>1</v>
      </c>
      <c r="E209" t="s">
        <v>658</v>
      </c>
      <c r="F209" t="s">
        <v>659</v>
      </c>
      <c r="G209" s="1">
        <v>31497</v>
      </c>
      <c r="H209" s="2">
        <f t="shared" ca="1" si="59"/>
        <v>40</v>
      </c>
      <c r="I209" s="2">
        <f t="shared" ca="1" si="60"/>
        <v>0.21428571428571427</v>
      </c>
      <c r="J209" t="s">
        <v>45</v>
      </c>
      <c r="K209" t="s">
        <v>626</v>
      </c>
      <c r="L209">
        <f t="shared" si="61"/>
        <v>0</v>
      </c>
      <c r="M209">
        <f t="shared" si="62"/>
        <v>0</v>
      </c>
      <c r="N209">
        <f t="shared" si="63"/>
        <v>0</v>
      </c>
      <c r="O209" t="s">
        <v>660</v>
      </c>
      <c r="P209">
        <f t="shared" si="64"/>
        <v>0</v>
      </c>
      <c r="Q209">
        <f t="shared" si="65"/>
        <v>0</v>
      </c>
      <c r="R209">
        <f t="shared" si="66"/>
        <v>0</v>
      </c>
      <c r="S209">
        <f t="shared" si="67"/>
        <v>0</v>
      </c>
      <c r="T209">
        <f t="shared" si="68"/>
        <v>0</v>
      </c>
      <c r="U209">
        <f t="shared" si="69"/>
        <v>0</v>
      </c>
      <c r="V209">
        <f t="shared" si="70"/>
        <v>0</v>
      </c>
      <c r="W209" t="s">
        <v>39</v>
      </c>
      <c r="X209">
        <f t="shared" si="71"/>
        <v>1</v>
      </c>
      <c r="Y209">
        <f t="shared" si="72"/>
        <v>0</v>
      </c>
      <c r="Z209">
        <v>4</v>
      </c>
      <c r="AA209">
        <f t="shared" si="73"/>
        <v>0.75</v>
      </c>
      <c r="AB209" t="s">
        <v>40</v>
      </c>
      <c r="AC209">
        <f t="shared" si="74"/>
        <v>1</v>
      </c>
      <c r="AD209">
        <f t="shared" si="75"/>
        <v>0</v>
      </c>
      <c r="AE209" t="s">
        <v>50</v>
      </c>
      <c r="AF209">
        <f>IF(AE209="website",1,0)</f>
        <v>0</v>
      </c>
    </row>
    <row r="210" spans="1:32">
      <c r="A210" t="s">
        <v>661</v>
      </c>
      <c r="B210" t="s">
        <v>33</v>
      </c>
      <c r="C210" s="3">
        <f t="shared" si="57"/>
        <v>0</v>
      </c>
      <c r="D210">
        <f t="shared" si="58"/>
        <v>1</v>
      </c>
      <c r="E210" t="s">
        <v>655</v>
      </c>
      <c r="F210" t="s">
        <v>620</v>
      </c>
      <c r="G210" s="1">
        <v>18132</v>
      </c>
      <c r="H210" s="2">
        <f t="shared" ca="1" si="59"/>
        <v>77</v>
      </c>
      <c r="I210" s="2">
        <f t="shared" ca="1" si="60"/>
        <v>0.74285714285714288</v>
      </c>
      <c r="J210" t="s">
        <v>45</v>
      </c>
      <c r="K210" t="s">
        <v>37</v>
      </c>
      <c r="L210">
        <f t="shared" si="61"/>
        <v>1</v>
      </c>
      <c r="M210">
        <f t="shared" si="62"/>
        <v>0</v>
      </c>
      <c r="N210">
        <f t="shared" si="63"/>
        <v>0</v>
      </c>
      <c r="O210" t="s">
        <v>97</v>
      </c>
      <c r="P210">
        <f t="shared" si="64"/>
        <v>0</v>
      </c>
      <c r="Q210">
        <f t="shared" si="65"/>
        <v>0</v>
      </c>
      <c r="R210">
        <f t="shared" si="66"/>
        <v>0</v>
      </c>
      <c r="S210">
        <f t="shared" si="67"/>
        <v>0</v>
      </c>
      <c r="T210">
        <f t="shared" si="68"/>
        <v>1</v>
      </c>
      <c r="U210">
        <f t="shared" si="69"/>
        <v>0</v>
      </c>
      <c r="V210">
        <f t="shared" si="70"/>
        <v>0</v>
      </c>
      <c r="W210" t="s">
        <v>58</v>
      </c>
      <c r="X210">
        <f t="shared" si="71"/>
        <v>0</v>
      </c>
      <c r="Y210">
        <f t="shared" si="72"/>
        <v>1</v>
      </c>
      <c r="Z210">
        <v>3</v>
      </c>
      <c r="AA210">
        <f t="shared" si="73"/>
        <v>0.5</v>
      </c>
      <c r="AB210" t="s">
        <v>46</v>
      </c>
      <c r="AC210">
        <f t="shared" si="74"/>
        <v>1</v>
      </c>
      <c r="AD210">
        <f t="shared" si="75"/>
        <v>0</v>
      </c>
      <c r="AE210" t="s">
        <v>50</v>
      </c>
      <c r="AF210">
        <f>IF(AE210="website",1,0)</f>
        <v>0</v>
      </c>
    </row>
    <row r="211" spans="1:32">
      <c r="A211" t="s">
        <v>662</v>
      </c>
      <c r="B211" t="s">
        <v>33</v>
      </c>
      <c r="C211" s="3">
        <f t="shared" si="57"/>
        <v>0</v>
      </c>
      <c r="D211">
        <f t="shared" si="58"/>
        <v>1</v>
      </c>
      <c r="E211" t="s">
        <v>663</v>
      </c>
      <c r="F211" t="s">
        <v>664</v>
      </c>
      <c r="G211" s="1">
        <v>15789</v>
      </c>
      <c r="H211" s="2">
        <f t="shared" ca="1" si="59"/>
        <v>83</v>
      </c>
      <c r="I211" s="2">
        <f t="shared" ca="1" si="60"/>
        <v>0.82857142857142863</v>
      </c>
      <c r="J211" t="s">
        <v>36</v>
      </c>
      <c r="K211" t="s">
        <v>37</v>
      </c>
      <c r="L211">
        <f t="shared" si="61"/>
        <v>1</v>
      </c>
      <c r="M211">
        <f t="shared" si="62"/>
        <v>0</v>
      </c>
      <c r="N211">
        <f t="shared" si="63"/>
        <v>0</v>
      </c>
      <c r="O211" t="s">
        <v>137</v>
      </c>
      <c r="P211">
        <f t="shared" si="64"/>
        <v>0</v>
      </c>
      <c r="Q211">
        <f t="shared" si="65"/>
        <v>0</v>
      </c>
      <c r="R211">
        <f t="shared" si="66"/>
        <v>0</v>
      </c>
      <c r="S211">
        <f t="shared" si="67"/>
        <v>0</v>
      </c>
      <c r="T211">
        <f t="shared" si="68"/>
        <v>0</v>
      </c>
      <c r="U211">
        <f t="shared" si="69"/>
        <v>0</v>
      </c>
      <c r="V211">
        <f t="shared" si="70"/>
        <v>0</v>
      </c>
      <c r="W211" t="s">
        <v>39</v>
      </c>
      <c r="X211">
        <f t="shared" si="71"/>
        <v>1</v>
      </c>
      <c r="Y211">
        <f t="shared" si="72"/>
        <v>0</v>
      </c>
      <c r="Z211">
        <v>2</v>
      </c>
      <c r="AA211">
        <f t="shared" si="73"/>
        <v>0.25</v>
      </c>
      <c r="AB211" t="s">
        <v>46</v>
      </c>
      <c r="AC211">
        <f t="shared" si="74"/>
        <v>0</v>
      </c>
      <c r="AD211">
        <f t="shared" si="75"/>
        <v>0</v>
      </c>
      <c r="AE211" t="s">
        <v>41</v>
      </c>
      <c r="AF211">
        <f>IF(AE211="website",1,0)</f>
        <v>1</v>
      </c>
    </row>
    <row r="212" spans="1:32">
      <c r="A212" t="s">
        <v>665</v>
      </c>
      <c r="B212" t="s">
        <v>33</v>
      </c>
      <c r="C212" s="3">
        <f t="shared" si="57"/>
        <v>0</v>
      </c>
      <c r="D212">
        <f t="shared" si="58"/>
        <v>1</v>
      </c>
      <c r="E212" t="s">
        <v>666</v>
      </c>
      <c r="F212" t="s">
        <v>667</v>
      </c>
      <c r="G212" s="1">
        <v>26352</v>
      </c>
      <c r="H212" s="2">
        <f t="shared" ca="1" si="59"/>
        <v>54</v>
      </c>
      <c r="I212" s="2">
        <f t="shared" ca="1" si="60"/>
        <v>0.41428571428571431</v>
      </c>
      <c r="J212" t="s">
        <v>36</v>
      </c>
      <c r="K212" t="s">
        <v>37</v>
      </c>
      <c r="L212">
        <f t="shared" si="61"/>
        <v>1</v>
      </c>
      <c r="M212">
        <f t="shared" si="62"/>
        <v>0</v>
      </c>
      <c r="N212">
        <f t="shared" si="63"/>
        <v>0</v>
      </c>
      <c r="O212" t="s">
        <v>38</v>
      </c>
      <c r="P212">
        <f t="shared" si="64"/>
        <v>1</v>
      </c>
      <c r="Q212">
        <f t="shared" si="65"/>
        <v>0</v>
      </c>
      <c r="R212">
        <f t="shared" si="66"/>
        <v>0</v>
      </c>
      <c r="S212">
        <f t="shared" si="67"/>
        <v>0</v>
      </c>
      <c r="T212">
        <f t="shared" si="68"/>
        <v>0</v>
      </c>
      <c r="U212">
        <f t="shared" si="69"/>
        <v>0</v>
      </c>
      <c r="V212">
        <f t="shared" si="70"/>
        <v>0</v>
      </c>
      <c r="W212" t="s">
        <v>39</v>
      </c>
      <c r="X212">
        <f t="shared" si="71"/>
        <v>1</v>
      </c>
      <c r="Y212">
        <f t="shared" si="72"/>
        <v>0</v>
      </c>
      <c r="Z212">
        <v>3</v>
      </c>
      <c r="AA212">
        <f t="shared" si="73"/>
        <v>0.5</v>
      </c>
      <c r="AB212" t="s">
        <v>46</v>
      </c>
      <c r="AC212">
        <f t="shared" si="74"/>
        <v>1</v>
      </c>
      <c r="AD212">
        <f t="shared" si="75"/>
        <v>0</v>
      </c>
      <c r="AE212" t="s">
        <v>50</v>
      </c>
      <c r="AF212">
        <f>IF(AE212="website",1,0)</f>
        <v>0</v>
      </c>
    </row>
    <row r="213" spans="1:32">
      <c r="A213" t="s">
        <v>668</v>
      </c>
      <c r="B213" t="s">
        <v>33</v>
      </c>
      <c r="C213" s="3">
        <f t="shared" si="57"/>
        <v>0</v>
      </c>
      <c r="D213">
        <f t="shared" si="58"/>
        <v>1</v>
      </c>
      <c r="E213" t="s">
        <v>561</v>
      </c>
      <c r="F213" t="s">
        <v>669</v>
      </c>
      <c r="G213" s="1">
        <v>20537</v>
      </c>
      <c r="H213" s="2">
        <f t="shared" ca="1" si="59"/>
        <v>70</v>
      </c>
      <c r="I213" s="2">
        <f t="shared" ca="1" si="60"/>
        <v>0.6428571428571429</v>
      </c>
      <c r="J213" t="s">
        <v>45</v>
      </c>
      <c r="K213" t="s">
        <v>37</v>
      </c>
      <c r="L213">
        <f t="shared" si="61"/>
        <v>1</v>
      </c>
      <c r="M213">
        <f t="shared" si="62"/>
        <v>0</v>
      </c>
      <c r="N213">
        <f t="shared" si="63"/>
        <v>0</v>
      </c>
      <c r="O213" t="s">
        <v>38</v>
      </c>
      <c r="P213">
        <f t="shared" si="64"/>
        <v>1</v>
      </c>
      <c r="Q213">
        <f t="shared" si="65"/>
        <v>0</v>
      </c>
      <c r="R213">
        <f t="shared" si="66"/>
        <v>0</v>
      </c>
      <c r="S213">
        <f t="shared" si="67"/>
        <v>0</v>
      </c>
      <c r="T213">
        <f t="shared" si="68"/>
        <v>0</v>
      </c>
      <c r="U213">
        <f t="shared" si="69"/>
        <v>0</v>
      </c>
      <c r="V213">
        <f t="shared" si="70"/>
        <v>0</v>
      </c>
      <c r="W213" t="s">
        <v>39</v>
      </c>
      <c r="X213">
        <f t="shared" si="71"/>
        <v>1</v>
      </c>
      <c r="Y213">
        <f t="shared" si="72"/>
        <v>0</v>
      </c>
      <c r="Z213">
        <v>4</v>
      </c>
      <c r="AA213">
        <f t="shared" si="73"/>
        <v>0.75</v>
      </c>
      <c r="AB213" t="s">
        <v>46</v>
      </c>
      <c r="AC213">
        <f t="shared" si="74"/>
        <v>1</v>
      </c>
      <c r="AD213">
        <f t="shared" si="75"/>
        <v>0</v>
      </c>
      <c r="AE213" t="s">
        <v>50</v>
      </c>
      <c r="AF213">
        <f>IF(AE213="website",1,0)</f>
        <v>0</v>
      </c>
    </row>
    <row r="214" spans="1:32">
      <c r="A214" t="s">
        <v>670</v>
      </c>
      <c r="B214" t="s">
        <v>33</v>
      </c>
      <c r="C214" s="3">
        <f t="shared" si="57"/>
        <v>0</v>
      </c>
      <c r="D214">
        <f t="shared" si="58"/>
        <v>1</v>
      </c>
      <c r="E214" t="s">
        <v>671</v>
      </c>
      <c r="F214" t="s">
        <v>656</v>
      </c>
      <c r="G214" s="1">
        <v>28056</v>
      </c>
      <c r="H214" s="2">
        <f t="shared" ca="1" si="59"/>
        <v>49</v>
      </c>
      <c r="I214" s="2">
        <f t="shared" ca="1" si="60"/>
        <v>0.34285714285714286</v>
      </c>
      <c r="J214" t="s">
        <v>45</v>
      </c>
      <c r="K214" t="s">
        <v>37</v>
      </c>
      <c r="L214">
        <f t="shared" si="61"/>
        <v>1</v>
      </c>
      <c r="M214">
        <f t="shared" si="62"/>
        <v>0</v>
      </c>
      <c r="N214">
        <f t="shared" si="63"/>
        <v>0</v>
      </c>
      <c r="O214" t="s">
        <v>600</v>
      </c>
      <c r="P214">
        <f t="shared" si="64"/>
        <v>0</v>
      </c>
      <c r="Q214">
        <f t="shared" si="65"/>
        <v>0</v>
      </c>
      <c r="R214">
        <f t="shared" si="66"/>
        <v>0</v>
      </c>
      <c r="S214">
        <f t="shared" si="67"/>
        <v>0</v>
      </c>
      <c r="T214">
        <f t="shared" si="68"/>
        <v>0</v>
      </c>
      <c r="U214">
        <f t="shared" si="69"/>
        <v>0</v>
      </c>
      <c r="V214">
        <f t="shared" si="70"/>
        <v>0</v>
      </c>
      <c r="W214" t="s">
        <v>58</v>
      </c>
      <c r="X214">
        <f t="shared" si="71"/>
        <v>0</v>
      </c>
      <c r="Y214">
        <f t="shared" si="72"/>
        <v>1</v>
      </c>
      <c r="Z214">
        <v>5</v>
      </c>
      <c r="AA214">
        <f t="shared" si="73"/>
        <v>1</v>
      </c>
      <c r="AB214" t="s">
        <v>46</v>
      </c>
      <c r="AC214">
        <f t="shared" si="74"/>
        <v>1</v>
      </c>
      <c r="AD214">
        <f t="shared" si="75"/>
        <v>0</v>
      </c>
      <c r="AE214" t="s">
        <v>50</v>
      </c>
      <c r="AF214">
        <f>IF(AE214="website",1,0)</f>
        <v>0</v>
      </c>
    </row>
    <row r="215" spans="1:32">
      <c r="A215" t="s">
        <v>672</v>
      </c>
      <c r="B215" t="s">
        <v>33</v>
      </c>
      <c r="C215" s="3">
        <f t="shared" si="57"/>
        <v>0</v>
      </c>
      <c r="D215">
        <f t="shared" si="58"/>
        <v>1</v>
      </c>
      <c r="E215" t="s">
        <v>259</v>
      </c>
      <c r="F215" t="s">
        <v>669</v>
      </c>
      <c r="G215" s="1">
        <v>17001</v>
      </c>
      <c r="H215" s="2">
        <f t="shared" ca="1" si="59"/>
        <v>80</v>
      </c>
      <c r="I215" s="2">
        <f t="shared" ca="1" si="60"/>
        <v>0.7857142857142857</v>
      </c>
      <c r="J215" t="s">
        <v>36</v>
      </c>
      <c r="K215" t="s">
        <v>153</v>
      </c>
      <c r="L215">
        <f t="shared" si="61"/>
        <v>0</v>
      </c>
      <c r="M215">
        <f t="shared" si="62"/>
        <v>0</v>
      </c>
      <c r="N215">
        <f t="shared" si="63"/>
        <v>0</v>
      </c>
      <c r="O215" t="s">
        <v>154</v>
      </c>
      <c r="P215">
        <f t="shared" si="64"/>
        <v>0</v>
      </c>
      <c r="Q215">
        <f t="shared" si="65"/>
        <v>0</v>
      </c>
      <c r="R215">
        <f t="shared" si="66"/>
        <v>0</v>
      </c>
      <c r="S215">
        <f t="shared" si="67"/>
        <v>0</v>
      </c>
      <c r="T215">
        <f t="shared" si="68"/>
        <v>0</v>
      </c>
      <c r="U215">
        <f t="shared" si="69"/>
        <v>0</v>
      </c>
      <c r="V215">
        <f t="shared" si="70"/>
        <v>0</v>
      </c>
      <c r="W215" t="s">
        <v>58</v>
      </c>
      <c r="X215">
        <f t="shared" si="71"/>
        <v>0</v>
      </c>
      <c r="Y215">
        <f t="shared" si="72"/>
        <v>1</v>
      </c>
      <c r="Z215">
        <v>5</v>
      </c>
      <c r="AA215">
        <f t="shared" si="73"/>
        <v>1</v>
      </c>
      <c r="AB215" t="s">
        <v>46</v>
      </c>
      <c r="AC215">
        <f t="shared" si="74"/>
        <v>0</v>
      </c>
      <c r="AD215">
        <f t="shared" si="75"/>
        <v>0</v>
      </c>
      <c r="AE215" t="s">
        <v>41</v>
      </c>
      <c r="AF215">
        <f>IF(AE215="website",1,0)</f>
        <v>1</v>
      </c>
    </row>
    <row r="216" spans="1:32">
      <c r="A216" t="s">
        <v>673</v>
      </c>
      <c r="B216" t="s">
        <v>33</v>
      </c>
      <c r="C216" s="3">
        <f t="shared" si="57"/>
        <v>0</v>
      </c>
      <c r="D216">
        <f t="shared" si="58"/>
        <v>1</v>
      </c>
      <c r="E216" t="s">
        <v>639</v>
      </c>
      <c r="F216" t="s">
        <v>674</v>
      </c>
      <c r="G216" s="1">
        <v>36352</v>
      </c>
      <c r="H216" s="2">
        <f t="shared" ca="1" si="59"/>
        <v>27</v>
      </c>
      <c r="I216" s="2">
        <f t="shared" ca="1" si="60"/>
        <v>2.8571428571428571E-2</v>
      </c>
      <c r="J216" t="s">
        <v>36</v>
      </c>
      <c r="K216" t="s">
        <v>113</v>
      </c>
      <c r="L216">
        <f t="shared" si="61"/>
        <v>0</v>
      </c>
      <c r="M216">
        <f t="shared" si="62"/>
        <v>0</v>
      </c>
      <c r="N216">
        <f t="shared" si="63"/>
        <v>1</v>
      </c>
      <c r="O216" t="s">
        <v>675</v>
      </c>
      <c r="P216">
        <f t="shared" si="64"/>
        <v>0</v>
      </c>
      <c r="Q216">
        <f t="shared" si="65"/>
        <v>0</v>
      </c>
      <c r="R216">
        <f t="shared" si="66"/>
        <v>0</v>
      </c>
      <c r="S216">
        <f t="shared" si="67"/>
        <v>0</v>
      </c>
      <c r="T216">
        <f t="shared" si="68"/>
        <v>0</v>
      </c>
      <c r="U216">
        <f t="shared" si="69"/>
        <v>0</v>
      </c>
      <c r="V216">
        <f t="shared" si="70"/>
        <v>0</v>
      </c>
      <c r="W216" t="s">
        <v>58</v>
      </c>
      <c r="X216">
        <f t="shared" si="71"/>
        <v>0</v>
      </c>
      <c r="Y216">
        <f t="shared" si="72"/>
        <v>1</v>
      </c>
      <c r="Z216">
        <v>4</v>
      </c>
      <c r="AA216">
        <f t="shared" si="73"/>
        <v>0.75</v>
      </c>
      <c r="AB216" t="s">
        <v>46</v>
      </c>
      <c r="AC216">
        <f t="shared" si="74"/>
        <v>0</v>
      </c>
      <c r="AD216">
        <f t="shared" si="75"/>
        <v>0</v>
      </c>
      <c r="AE216" t="s">
        <v>41</v>
      </c>
      <c r="AF216">
        <f>IF(AE216="website",1,0)</f>
        <v>1</v>
      </c>
    </row>
    <row r="217" spans="1:32">
      <c r="A217" t="s">
        <v>676</v>
      </c>
      <c r="B217" t="s">
        <v>33</v>
      </c>
      <c r="C217" s="3">
        <f t="shared" si="57"/>
        <v>0</v>
      </c>
      <c r="D217">
        <f t="shared" si="58"/>
        <v>1</v>
      </c>
      <c r="E217" t="s">
        <v>677</v>
      </c>
      <c r="F217" t="s">
        <v>513</v>
      </c>
      <c r="G217" s="1">
        <v>36360</v>
      </c>
      <c r="H217" s="2">
        <f t="shared" ca="1" si="59"/>
        <v>27</v>
      </c>
      <c r="I217" s="2">
        <f t="shared" ca="1" si="60"/>
        <v>2.8571428571428571E-2</v>
      </c>
      <c r="J217" t="s">
        <v>45</v>
      </c>
      <c r="K217" t="s">
        <v>37</v>
      </c>
      <c r="L217">
        <f t="shared" si="61"/>
        <v>1</v>
      </c>
      <c r="M217">
        <f t="shared" si="62"/>
        <v>0</v>
      </c>
      <c r="N217">
        <f t="shared" si="63"/>
        <v>0</v>
      </c>
      <c r="O217" t="s">
        <v>183</v>
      </c>
      <c r="P217">
        <f t="shared" si="64"/>
        <v>0</v>
      </c>
      <c r="Q217">
        <f t="shared" si="65"/>
        <v>0</v>
      </c>
      <c r="R217">
        <f t="shared" si="66"/>
        <v>0</v>
      </c>
      <c r="S217">
        <f t="shared" si="67"/>
        <v>0</v>
      </c>
      <c r="T217">
        <f t="shared" si="68"/>
        <v>0</v>
      </c>
      <c r="U217">
        <f t="shared" si="69"/>
        <v>0</v>
      </c>
      <c r="V217">
        <f t="shared" si="70"/>
        <v>0</v>
      </c>
      <c r="W217" t="s">
        <v>39</v>
      </c>
      <c r="X217">
        <f t="shared" si="71"/>
        <v>1</v>
      </c>
      <c r="Y217">
        <f t="shared" si="72"/>
        <v>0</v>
      </c>
      <c r="Z217">
        <v>1</v>
      </c>
      <c r="AA217">
        <f t="shared" si="73"/>
        <v>0</v>
      </c>
      <c r="AB217" t="s">
        <v>46</v>
      </c>
      <c r="AC217">
        <f t="shared" si="74"/>
        <v>0</v>
      </c>
      <c r="AD217">
        <f t="shared" si="75"/>
        <v>0</v>
      </c>
      <c r="AE217" t="s">
        <v>41</v>
      </c>
      <c r="AF217">
        <f>IF(AE217="website",1,0)</f>
        <v>1</v>
      </c>
    </row>
    <row r="218" spans="1:32">
      <c r="A218" t="s">
        <v>678</v>
      </c>
      <c r="B218" t="s">
        <v>33</v>
      </c>
      <c r="C218" s="3">
        <f t="shared" si="57"/>
        <v>0</v>
      </c>
      <c r="D218">
        <f t="shared" si="58"/>
        <v>1</v>
      </c>
      <c r="E218" t="s">
        <v>679</v>
      </c>
      <c r="F218" t="s">
        <v>364</v>
      </c>
      <c r="G218" s="1">
        <v>30874</v>
      </c>
      <c r="H218" s="2">
        <f t="shared" ca="1" si="59"/>
        <v>42</v>
      </c>
      <c r="I218" s="2">
        <f t="shared" ca="1" si="60"/>
        <v>0.24285714285714285</v>
      </c>
      <c r="J218" t="s">
        <v>36</v>
      </c>
      <c r="K218" t="s">
        <v>37</v>
      </c>
      <c r="L218">
        <f t="shared" si="61"/>
        <v>1</v>
      </c>
      <c r="M218">
        <f t="shared" si="62"/>
        <v>0</v>
      </c>
      <c r="N218">
        <f t="shared" si="63"/>
        <v>0</v>
      </c>
      <c r="O218" t="s">
        <v>137</v>
      </c>
      <c r="P218">
        <f t="shared" si="64"/>
        <v>0</v>
      </c>
      <c r="Q218">
        <f t="shared" si="65"/>
        <v>0</v>
      </c>
      <c r="R218">
        <f t="shared" si="66"/>
        <v>0</v>
      </c>
      <c r="S218">
        <f t="shared" si="67"/>
        <v>0</v>
      </c>
      <c r="T218">
        <f t="shared" si="68"/>
        <v>0</v>
      </c>
      <c r="U218">
        <f t="shared" si="69"/>
        <v>0</v>
      </c>
      <c r="V218">
        <f t="shared" si="70"/>
        <v>0</v>
      </c>
      <c r="W218" t="s">
        <v>39</v>
      </c>
      <c r="X218">
        <f t="shared" si="71"/>
        <v>1</v>
      </c>
      <c r="Y218">
        <f t="shared" si="72"/>
        <v>0</v>
      </c>
      <c r="Z218">
        <v>3</v>
      </c>
      <c r="AA218">
        <f t="shared" si="73"/>
        <v>0.5</v>
      </c>
      <c r="AB218" t="s">
        <v>46</v>
      </c>
      <c r="AC218">
        <f t="shared" si="74"/>
        <v>0</v>
      </c>
      <c r="AD218">
        <f t="shared" si="75"/>
        <v>0</v>
      </c>
      <c r="AE218" t="s">
        <v>41</v>
      </c>
      <c r="AF218">
        <f>IF(AE218="website",1,0)</f>
        <v>1</v>
      </c>
    </row>
    <row r="219" spans="1:32">
      <c r="A219" t="s">
        <v>680</v>
      </c>
      <c r="B219" t="s">
        <v>33</v>
      </c>
      <c r="C219" s="3">
        <f t="shared" si="57"/>
        <v>0</v>
      </c>
      <c r="D219">
        <f t="shared" si="58"/>
        <v>1</v>
      </c>
      <c r="E219" t="s">
        <v>681</v>
      </c>
      <c r="F219" t="s">
        <v>366</v>
      </c>
      <c r="G219" s="1">
        <v>25592</v>
      </c>
      <c r="H219" s="2">
        <f t="shared" ca="1" si="59"/>
        <v>56</v>
      </c>
      <c r="I219" s="2">
        <f t="shared" ca="1" si="60"/>
        <v>0.44285714285714284</v>
      </c>
      <c r="J219" t="s">
        <v>36</v>
      </c>
      <c r="K219" t="s">
        <v>37</v>
      </c>
      <c r="L219">
        <f t="shared" si="61"/>
        <v>1</v>
      </c>
      <c r="M219">
        <f t="shared" si="62"/>
        <v>0</v>
      </c>
      <c r="N219">
        <f t="shared" si="63"/>
        <v>0</v>
      </c>
      <c r="O219" t="s">
        <v>38</v>
      </c>
      <c r="P219">
        <f t="shared" si="64"/>
        <v>1</v>
      </c>
      <c r="Q219">
        <f t="shared" si="65"/>
        <v>0</v>
      </c>
      <c r="R219">
        <f t="shared" si="66"/>
        <v>0</v>
      </c>
      <c r="S219">
        <f t="shared" si="67"/>
        <v>0</v>
      </c>
      <c r="T219">
        <f t="shared" si="68"/>
        <v>0</v>
      </c>
      <c r="U219">
        <f t="shared" si="69"/>
        <v>0</v>
      </c>
      <c r="V219">
        <f t="shared" si="70"/>
        <v>0</v>
      </c>
      <c r="W219" t="s">
        <v>39</v>
      </c>
      <c r="X219">
        <f t="shared" si="71"/>
        <v>1</v>
      </c>
      <c r="Y219">
        <f t="shared" si="72"/>
        <v>0</v>
      </c>
      <c r="Z219">
        <v>2</v>
      </c>
      <c r="AA219">
        <f t="shared" si="73"/>
        <v>0.25</v>
      </c>
      <c r="AB219" t="s">
        <v>46</v>
      </c>
      <c r="AC219">
        <f t="shared" si="74"/>
        <v>0</v>
      </c>
      <c r="AD219">
        <f t="shared" si="75"/>
        <v>0</v>
      </c>
      <c r="AE219" t="s">
        <v>41</v>
      </c>
      <c r="AF219">
        <f>IF(AE219="website",1,0)</f>
        <v>1</v>
      </c>
    </row>
    <row r="220" spans="1:32">
      <c r="A220" t="s">
        <v>682</v>
      </c>
      <c r="B220" t="s">
        <v>33</v>
      </c>
      <c r="C220" s="3">
        <f t="shared" si="57"/>
        <v>0</v>
      </c>
      <c r="D220">
        <f t="shared" si="58"/>
        <v>1</v>
      </c>
      <c r="E220" t="s">
        <v>683</v>
      </c>
      <c r="F220" t="s">
        <v>430</v>
      </c>
      <c r="G220" s="1">
        <v>32162</v>
      </c>
      <c r="H220" s="2">
        <f t="shared" ca="1" si="59"/>
        <v>38</v>
      </c>
      <c r="I220" s="2">
        <f t="shared" ca="1" si="60"/>
        <v>0.18571428571428572</v>
      </c>
      <c r="J220" t="s">
        <v>45</v>
      </c>
      <c r="K220" t="s">
        <v>37</v>
      </c>
      <c r="L220">
        <f t="shared" si="61"/>
        <v>1</v>
      </c>
      <c r="M220">
        <f t="shared" si="62"/>
        <v>0</v>
      </c>
      <c r="N220">
        <f t="shared" si="63"/>
        <v>0</v>
      </c>
      <c r="O220" t="s">
        <v>38</v>
      </c>
      <c r="P220">
        <f t="shared" si="64"/>
        <v>1</v>
      </c>
      <c r="Q220">
        <f t="shared" si="65"/>
        <v>0</v>
      </c>
      <c r="R220">
        <f t="shared" si="66"/>
        <v>0</v>
      </c>
      <c r="S220">
        <f t="shared" si="67"/>
        <v>0</v>
      </c>
      <c r="T220">
        <f t="shared" si="68"/>
        <v>0</v>
      </c>
      <c r="U220">
        <f t="shared" si="69"/>
        <v>0</v>
      </c>
      <c r="V220">
        <f t="shared" si="70"/>
        <v>0</v>
      </c>
      <c r="W220" t="s">
        <v>39</v>
      </c>
      <c r="X220">
        <f t="shared" si="71"/>
        <v>1</v>
      </c>
      <c r="Y220">
        <f t="shared" si="72"/>
        <v>0</v>
      </c>
      <c r="Z220">
        <v>4</v>
      </c>
      <c r="AA220">
        <f t="shared" si="73"/>
        <v>0.75</v>
      </c>
      <c r="AB220" t="s">
        <v>46</v>
      </c>
      <c r="AC220">
        <f t="shared" si="74"/>
        <v>0</v>
      </c>
      <c r="AD220">
        <f t="shared" si="75"/>
        <v>0</v>
      </c>
      <c r="AE220" t="s">
        <v>41</v>
      </c>
      <c r="AF220">
        <f>IF(AE220="website",1,0)</f>
        <v>1</v>
      </c>
    </row>
    <row r="221" spans="1:32">
      <c r="A221" t="s">
        <v>684</v>
      </c>
      <c r="B221" t="s">
        <v>33</v>
      </c>
      <c r="C221" s="3">
        <f t="shared" si="57"/>
        <v>0</v>
      </c>
      <c r="D221">
        <f t="shared" si="58"/>
        <v>1</v>
      </c>
      <c r="E221" t="s">
        <v>216</v>
      </c>
      <c r="F221" t="s">
        <v>685</v>
      </c>
      <c r="G221" s="1">
        <v>18785</v>
      </c>
      <c r="H221" s="2">
        <f t="shared" ca="1" si="59"/>
        <v>75</v>
      </c>
      <c r="I221" s="2">
        <f t="shared" ca="1" si="60"/>
        <v>0.7142857142857143</v>
      </c>
      <c r="J221" t="s">
        <v>45</v>
      </c>
      <c r="K221" t="s">
        <v>65</v>
      </c>
      <c r="L221">
        <f t="shared" si="61"/>
        <v>0</v>
      </c>
      <c r="M221">
        <f t="shared" si="62"/>
        <v>1</v>
      </c>
      <c r="N221">
        <f t="shared" si="63"/>
        <v>0</v>
      </c>
      <c r="O221" t="s">
        <v>686</v>
      </c>
      <c r="P221">
        <f t="shared" si="64"/>
        <v>0</v>
      </c>
      <c r="Q221">
        <f t="shared" si="65"/>
        <v>0</v>
      </c>
      <c r="R221">
        <f t="shared" si="66"/>
        <v>0</v>
      </c>
      <c r="S221">
        <f t="shared" si="67"/>
        <v>0</v>
      </c>
      <c r="T221">
        <f t="shared" si="68"/>
        <v>0</v>
      </c>
      <c r="U221">
        <f t="shared" si="69"/>
        <v>0</v>
      </c>
      <c r="V221">
        <f t="shared" si="70"/>
        <v>0</v>
      </c>
      <c r="W221" t="s">
        <v>58</v>
      </c>
      <c r="X221">
        <f t="shared" si="71"/>
        <v>0</v>
      </c>
      <c r="Y221">
        <f t="shared" si="72"/>
        <v>1</v>
      </c>
      <c r="Z221">
        <v>1</v>
      </c>
      <c r="AA221">
        <f t="shared" si="73"/>
        <v>0</v>
      </c>
      <c r="AB221" t="s">
        <v>46</v>
      </c>
      <c r="AC221">
        <f t="shared" si="74"/>
        <v>0</v>
      </c>
      <c r="AD221">
        <f t="shared" si="75"/>
        <v>0</v>
      </c>
      <c r="AE221" t="s">
        <v>41</v>
      </c>
      <c r="AF221">
        <f>IF(AE221="website",1,0)</f>
        <v>1</v>
      </c>
    </row>
    <row r="222" spans="1:32">
      <c r="A222" t="s">
        <v>687</v>
      </c>
      <c r="B222" t="s">
        <v>55</v>
      </c>
      <c r="C222" s="3">
        <f t="shared" si="57"/>
        <v>1</v>
      </c>
      <c r="D222">
        <f t="shared" si="58"/>
        <v>0</v>
      </c>
      <c r="E222" t="s">
        <v>688</v>
      </c>
      <c r="F222" t="s">
        <v>57</v>
      </c>
      <c r="G222" s="1">
        <v>31911</v>
      </c>
      <c r="H222" s="2">
        <f t="shared" ca="1" si="59"/>
        <v>39</v>
      </c>
      <c r="I222" s="2">
        <f t="shared" ca="1" si="60"/>
        <v>0.2</v>
      </c>
      <c r="J222" t="s">
        <v>36</v>
      </c>
      <c r="K222" t="s">
        <v>37</v>
      </c>
      <c r="L222">
        <f t="shared" si="61"/>
        <v>1</v>
      </c>
      <c r="M222">
        <f t="shared" si="62"/>
        <v>0</v>
      </c>
      <c r="N222">
        <f t="shared" si="63"/>
        <v>0</v>
      </c>
      <c r="O222" t="s">
        <v>38</v>
      </c>
      <c r="P222">
        <f t="shared" si="64"/>
        <v>1</v>
      </c>
      <c r="Q222">
        <f t="shared" si="65"/>
        <v>0</v>
      </c>
      <c r="R222">
        <f t="shared" si="66"/>
        <v>0</v>
      </c>
      <c r="S222">
        <f t="shared" si="67"/>
        <v>0</v>
      </c>
      <c r="T222">
        <f t="shared" si="68"/>
        <v>0</v>
      </c>
      <c r="U222">
        <f t="shared" si="69"/>
        <v>0</v>
      </c>
      <c r="V222">
        <f t="shared" si="70"/>
        <v>0</v>
      </c>
      <c r="W222" t="s">
        <v>39</v>
      </c>
      <c r="X222">
        <f t="shared" si="71"/>
        <v>1</v>
      </c>
      <c r="Y222">
        <f t="shared" si="72"/>
        <v>0</v>
      </c>
      <c r="Z222">
        <v>5</v>
      </c>
      <c r="AA222">
        <f t="shared" si="73"/>
        <v>1</v>
      </c>
      <c r="AB222" t="s">
        <v>46</v>
      </c>
      <c r="AC222">
        <f t="shared" si="74"/>
        <v>0</v>
      </c>
      <c r="AD222">
        <f t="shared" si="75"/>
        <v>0</v>
      </c>
      <c r="AE222" t="s">
        <v>41</v>
      </c>
      <c r="AF222">
        <f>IF(AE222="website",1,0)</f>
        <v>1</v>
      </c>
    </row>
    <row r="223" spans="1:32">
      <c r="A223" t="s">
        <v>689</v>
      </c>
      <c r="B223" t="s">
        <v>33</v>
      </c>
      <c r="C223" s="3">
        <f t="shared" si="57"/>
        <v>0</v>
      </c>
      <c r="D223">
        <f t="shared" si="58"/>
        <v>1</v>
      </c>
      <c r="E223" t="s">
        <v>690</v>
      </c>
      <c r="F223" t="s">
        <v>691</v>
      </c>
      <c r="G223" s="1">
        <v>20767</v>
      </c>
      <c r="H223" s="2">
        <f t="shared" ca="1" si="59"/>
        <v>69</v>
      </c>
      <c r="I223" s="2">
        <f t="shared" ca="1" si="60"/>
        <v>0.62857142857142856</v>
      </c>
      <c r="J223" t="s">
        <v>45</v>
      </c>
      <c r="K223" t="s">
        <v>37</v>
      </c>
      <c r="L223">
        <f t="shared" si="61"/>
        <v>1</v>
      </c>
      <c r="M223">
        <f t="shared" si="62"/>
        <v>0</v>
      </c>
      <c r="N223">
        <f t="shared" si="63"/>
        <v>0</v>
      </c>
      <c r="O223" t="s">
        <v>183</v>
      </c>
      <c r="P223">
        <f t="shared" si="64"/>
        <v>0</v>
      </c>
      <c r="Q223">
        <f t="shared" si="65"/>
        <v>0</v>
      </c>
      <c r="R223">
        <f t="shared" si="66"/>
        <v>0</v>
      </c>
      <c r="S223">
        <f t="shared" si="67"/>
        <v>0</v>
      </c>
      <c r="T223">
        <f t="shared" si="68"/>
        <v>0</v>
      </c>
      <c r="U223">
        <f t="shared" si="69"/>
        <v>0</v>
      </c>
      <c r="V223">
        <f t="shared" si="70"/>
        <v>0</v>
      </c>
      <c r="W223" t="s">
        <v>58</v>
      </c>
      <c r="X223">
        <f t="shared" si="71"/>
        <v>0</v>
      </c>
      <c r="Y223">
        <f t="shared" si="72"/>
        <v>1</v>
      </c>
      <c r="Z223">
        <v>3</v>
      </c>
      <c r="AA223">
        <f t="shared" si="73"/>
        <v>0.5</v>
      </c>
      <c r="AB223" t="s">
        <v>46</v>
      </c>
      <c r="AC223">
        <f t="shared" si="74"/>
        <v>1</v>
      </c>
      <c r="AD223">
        <f t="shared" si="75"/>
        <v>0</v>
      </c>
      <c r="AE223" t="s">
        <v>50</v>
      </c>
      <c r="AF223">
        <f>IF(AE223="website",1,0)</f>
        <v>0</v>
      </c>
    </row>
    <row r="224" spans="1:32">
      <c r="A224" t="s">
        <v>692</v>
      </c>
      <c r="B224" t="s">
        <v>33</v>
      </c>
      <c r="C224" s="3">
        <f t="shared" si="57"/>
        <v>0</v>
      </c>
      <c r="D224">
        <f t="shared" si="58"/>
        <v>1</v>
      </c>
      <c r="E224" t="s">
        <v>152</v>
      </c>
      <c r="F224" t="s">
        <v>513</v>
      </c>
      <c r="G224" s="1">
        <v>26980</v>
      </c>
      <c r="H224" s="2">
        <f t="shared" ca="1" si="59"/>
        <v>52</v>
      </c>
      <c r="I224" s="2">
        <f t="shared" ca="1" si="60"/>
        <v>0.38571428571428573</v>
      </c>
      <c r="J224" t="s">
        <v>45</v>
      </c>
      <c r="K224" t="s">
        <v>37</v>
      </c>
      <c r="L224">
        <f t="shared" si="61"/>
        <v>1</v>
      </c>
      <c r="M224">
        <f t="shared" si="62"/>
        <v>0</v>
      </c>
      <c r="N224">
        <f t="shared" si="63"/>
        <v>0</v>
      </c>
      <c r="O224" t="s">
        <v>137</v>
      </c>
      <c r="P224">
        <f t="shared" si="64"/>
        <v>0</v>
      </c>
      <c r="Q224">
        <f t="shared" si="65"/>
        <v>0</v>
      </c>
      <c r="R224">
        <f t="shared" si="66"/>
        <v>0</v>
      </c>
      <c r="S224">
        <f t="shared" si="67"/>
        <v>0</v>
      </c>
      <c r="T224">
        <f t="shared" si="68"/>
        <v>0</v>
      </c>
      <c r="U224">
        <f t="shared" si="69"/>
        <v>0</v>
      </c>
      <c r="V224">
        <f t="shared" si="70"/>
        <v>0</v>
      </c>
      <c r="W224" t="s">
        <v>58</v>
      </c>
      <c r="X224">
        <f t="shared" si="71"/>
        <v>0</v>
      </c>
      <c r="Y224">
        <f t="shared" si="72"/>
        <v>1</v>
      </c>
      <c r="Z224">
        <v>3</v>
      </c>
      <c r="AA224">
        <f t="shared" si="73"/>
        <v>0.5</v>
      </c>
      <c r="AB224" t="s">
        <v>40</v>
      </c>
      <c r="AC224">
        <f t="shared" si="74"/>
        <v>0</v>
      </c>
      <c r="AD224">
        <f t="shared" si="75"/>
        <v>0</v>
      </c>
      <c r="AE224" t="s">
        <v>41</v>
      </c>
      <c r="AF224">
        <f>IF(AE224="website",1,0)</f>
        <v>1</v>
      </c>
    </row>
    <row r="225" spans="1:32">
      <c r="A225" t="s">
        <v>693</v>
      </c>
      <c r="B225" t="s">
        <v>33</v>
      </c>
      <c r="C225" s="3">
        <f t="shared" si="57"/>
        <v>0</v>
      </c>
      <c r="D225">
        <f t="shared" si="58"/>
        <v>1</v>
      </c>
      <c r="E225" t="s">
        <v>694</v>
      </c>
      <c r="F225" t="s">
        <v>695</v>
      </c>
      <c r="G225" s="1">
        <v>22151</v>
      </c>
      <c r="H225" s="2">
        <f t="shared" ca="1" si="59"/>
        <v>66</v>
      </c>
      <c r="I225" s="2">
        <f t="shared" ca="1" si="60"/>
        <v>0.58571428571428574</v>
      </c>
      <c r="J225" t="s">
        <v>45</v>
      </c>
      <c r="K225" t="s">
        <v>37</v>
      </c>
      <c r="L225">
        <f t="shared" si="61"/>
        <v>1</v>
      </c>
      <c r="M225">
        <f t="shared" si="62"/>
        <v>0</v>
      </c>
      <c r="N225">
        <f t="shared" si="63"/>
        <v>0</v>
      </c>
      <c r="O225" t="s">
        <v>137</v>
      </c>
      <c r="P225">
        <f t="shared" si="64"/>
        <v>0</v>
      </c>
      <c r="Q225">
        <f t="shared" si="65"/>
        <v>0</v>
      </c>
      <c r="R225">
        <f t="shared" si="66"/>
        <v>0</v>
      </c>
      <c r="S225">
        <f t="shared" si="67"/>
        <v>0</v>
      </c>
      <c r="T225">
        <f t="shared" si="68"/>
        <v>0</v>
      </c>
      <c r="U225">
        <f t="shared" si="69"/>
        <v>0</v>
      </c>
      <c r="V225">
        <f t="shared" si="70"/>
        <v>0</v>
      </c>
      <c r="W225" t="s">
        <v>39</v>
      </c>
      <c r="X225">
        <f t="shared" si="71"/>
        <v>1</v>
      </c>
      <c r="Y225">
        <f t="shared" si="72"/>
        <v>0</v>
      </c>
      <c r="Z225">
        <v>5</v>
      </c>
      <c r="AA225">
        <f t="shared" si="73"/>
        <v>1</v>
      </c>
      <c r="AB225" t="s">
        <v>46</v>
      </c>
      <c r="AC225">
        <f t="shared" si="74"/>
        <v>0</v>
      </c>
      <c r="AD225">
        <f t="shared" si="75"/>
        <v>0</v>
      </c>
      <c r="AE225" t="s">
        <v>41</v>
      </c>
      <c r="AF225">
        <f>IF(AE225="website",1,0)</f>
        <v>1</v>
      </c>
    </row>
    <row r="226" spans="1:32">
      <c r="A226" t="s">
        <v>696</v>
      </c>
      <c r="B226" t="s">
        <v>33</v>
      </c>
      <c r="C226" s="3">
        <f t="shared" si="57"/>
        <v>0</v>
      </c>
      <c r="D226">
        <f t="shared" si="58"/>
        <v>1</v>
      </c>
      <c r="E226" t="s">
        <v>697</v>
      </c>
      <c r="F226" t="s">
        <v>641</v>
      </c>
      <c r="G226" s="1">
        <v>17886</v>
      </c>
      <c r="H226" s="2">
        <f t="shared" ca="1" si="59"/>
        <v>77</v>
      </c>
      <c r="I226" s="2">
        <f t="shared" ca="1" si="60"/>
        <v>0.74285714285714288</v>
      </c>
      <c r="J226" t="s">
        <v>36</v>
      </c>
      <c r="K226" t="s">
        <v>37</v>
      </c>
      <c r="L226">
        <f t="shared" si="61"/>
        <v>1</v>
      </c>
      <c r="M226">
        <f t="shared" si="62"/>
        <v>0</v>
      </c>
      <c r="N226">
        <f t="shared" si="63"/>
        <v>0</v>
      </c>
      <c r="O226" t="s">
        <v>38</v>
      </c>
      <c r="P226">
        <f t="shared" si="64"/>
        <v>1</v>
      </c>
      <c r="Q226">
        <f t="shared" si="65"/>
        <v>0</v>
      </c>
      <c r="R226">
        <f t="shared" si="66"/>
        <v>0</v>
      </c>
      <c r="S226">
        <f t="shared" si="67"/>
        <v>0</v>
      </c>
      <c r="T226">
        <f t="shared" si="68"/>
        <v>0</v>
      </c>
      <c r="U226">
        <f t="shared" si="69"/>
        <v>0</v>
      </c>
      <c r="V226">
        <f t="shared" si="70"/>
        <v>0</v>
      </c>
      <c r="W226" t="s">
        <v>39</v>
      </c>
      <c r="X226">
        <f t="shared" si="71"/>
        <v>1</v>
      </c>
      <c r="Y226">
        <f t="shared" si="72"/>
        <v>0</v>
      </c>
      <c r="Z226">
        <v>1</v>
      </c>
      <c r="AA226">
        <f t="shared" si="73"/>
        <v>0</v>
      </c>
      <c r="AB226" t="s">
        <v>40</v>
      </c>
      <c r="AC226">
        <f t="shared" si="74"/>
        <v>1</v>
      </c>
      <c r="AD226">
        <f t="shared" si="75"/>
        <v>0</v>
      </c>
      <c r="AE226" t="s">
        <v>50</v>
      </c>
      <c r="AF226">
        <f>IF(AE226="website",1,0)</f>
        <v>0</v>
      </c>
    </row>
    <row r="227" spans="1:32">
      <c r="A227" t="s">
        <v>698</v>
      </c>
      <c r="B227" t="s">
        <v>33</v>
      </c>
      <c r="C227" s="3">
        <f t="shared" si="57"/>
        <v>0</v>
      </c>
      <c r="D227">
        <f t="shared" si="58"/>
        <v>1</v>
      </c>
      <c r="E227" t="s">
        <v>699</v>
      </c>
      <c r="F227" t="s">
        <v>700</v>
      </c>
      <c r="G227" s="1">
        <v>21377</v>
      </c>
      <c r="H227" s="2">
        <f t="shared" ca="1" si="59"/>
        <v>68</v>
      </c>
      <c r="I227" s="2">
        <f t="shared" ca="1" si="60"/>
        <v>0.61428571428571432</v>
      </c>
      <c r="J227" t="s">
        <v>36</v>
      </c>
      <c r="K227" t="s">
        <v>37</v>
      </c>
      <c r="L227">
        <f t="shared" si="61"/>
        <v>1</v>
      </c>
      <c r="M227">
        <f t="shared" si="62"/>
        <v>0</v>
      </c>
      <c r="N227">
        <f t="shared" si="63"/>
        <v>0</v>
      </c>
      <c r="O227" t="s">
        <v>137</v>
      </c>
      <c r="P227">
        <f t="shared" si="64"/>
        <v>0</v>
      </c>
      <c r="Q227">
        <f t="shared" si="65"/>
        <v>0</v>
      </c>
      <c r="R227">
        <f t="shared" si="66"/>
        <v>0</v>
      </c>
      <c r="S227">
        <f t="shared" si="67"/>
        <v>0</v>
      </c>
      <c r="T227">
        <f t="shared" si="68"/>
        <v>0</v>
      </c>
      <c r="U227">
        <f t="shared" si="69"/>
        <v>0</v>
      </c>
      <c r="V227">
        <f t="shared" si="70"/>
        <v>0</v>
      </c>
      <c r="W227" t="s">
        <v>39</v>
      </c>
      <c r="X227">
        <f t="shared" si="71"/>
        <v>1</v>
      </c>
      <c r="Y227">
        <f t="shared" si="72"/>
        <v>0</v>
      </c>
      <c r="Z227">
        <v>2</v>
      </c>
      <c r="AA227">
        <f t="shared" si="73"/>
        <v>0.25</v>
      </c>
      <c r="AB227" t="s">
        <v>46</v>
      </c>
      <c r="AC227">
        <f t="shared" si="74"/>
        <v>0</v>
      </c>
      <c r="AD227">
        <f t="shared" si="75"/>
        <v>0</v>
      </c>
      <c r="AE227" t="s">
        <v>41</v>
      </c>
      <c r="AF227">
        <f>IF(AE227="website",1,0)</f>
        <v>1</v>
      </c>
    </row>
    <row r="228" spans="1:32">
      <c r="A228" t="s">
        <v>701</v>
      </c>
      <c r="B228" t="s">
        <v>33</v>
      </c>
      <c r="C228" s="3">
        <f t="shared" si="57"/>
        <v>0</v>
      </c>
      <c r="D228">
        <f t="shared" si="58"/>
        <v>1</v>
      </c>
      <c r="E228" t="s">
        <v>476</v>
      </c>
      <c r="F228" t="s">
        <v>667</v>
      </c>
      <c r="G228" s="1">
        <v>16368</v>
      </c>
      <c r="H228" s="2">
        <f t="shared" ca="1" si="59"/>
        <v>81</v>
      </c>
      <c r="I228" s="2">
        <f t="shared" ca="1" si="60"/>
        <v>0.8</v>
      </c>
      <c r="J228" t="s">
        <v>36</v>
      </c>
      <c r="K228" t="s">
        <v>37</v>
      </c>
      <c r="L228">
        <f t="shared" si="61"/>
        <v>1</v>
      </c>
      <c r="M228">
        <f t="shared" si="62"/>
        <v>0</v>
      </c>
      <c r="N228">
        <f t="shared" si="63"/>
        <v>0</v>
      </c>
      <c r="O228" t="s">
        <v>97</v>
      </c>
      <c r="P228">
        <f t="shared" si="64"/>
        <v>0</v>
      </c>
      <c r="Q228">
        <f t="shared" si="65"/>
        <v>0</v>
      </c>
      <c r="R228">
        <f t="shared" si="66"/>
        <v>0</v>
      </c>
      <c r="S228">
        <f t="shared" si="67"/>
        <v>0</v>
      </c>
      <c r="T228">
        <f t="shared" si="68"/>
        <v>1</v>
      </c>
      <c r="U228">
        <f t="shared" si="69"/>
        <v>0</v>
      </c>
      <c r="V228">
        <f t="shared" si="70"/>
        <v>0</v>
      </c>
      <c r="W228" t="s">
        <v>39</v>
      </c>
      <c r="X228">
        <f t="shared" si="71"/>
        <v>1</v>
      </c>
      <c r="Y228">
        <f t="shared" si="72"/>
        <v>0</v>
      </c>
      <c r="Z228">
        <v>5</v>
      </c>
      <c r="AA228">
        <f t="shared" si="73"/>
        <v>1</v>
      </c>
      <c r="AB228" t="s">
        <v>40</v>
      </c>
      <c r="AC228">
        <f t="shared" si="74"/>
        <v>0</v>
      </c>
      <c r="AD228">
        <f t="shared" si="75"/>
        <v>0</v>
      </c>
      <c r="AE228" t="s">
        <v>41</v>
      </c>
      <c r="AF228">
        <f>IF(AE228="website",1,0)</f>
        <v>1</v>
      </c>
    </row>
    <row r="229" spans="1:32">
      <c r="A229" t="s">
        <v>702</v>
      </c>
      <c r="B229" t="s">
        <v>33</v>
      </c>
      <c r="C229" s="3">
        <f t="shared" si="57"/>
        <v>0</v>
      </c>
      <c r="D229">
        <f t="shared" si="58"/>
        <v>1</v>
      </c>
      <c r="E229" t="s">
        <v>578</v>
      </c>
      <c r="F229" t="s">
        <v>703</v>
      </c>
      <c r="G229" s="1">
        <v>19107</v>
      </c>
      <c r="H229" s="2">
        <f t="shared" ca="1" si="59"/>
        <v>74</v>
      </c>
      <c r="I229" s="2">
        <f t="shared" ca="1" si="60"/>
        <v>0.7</v>
      </c>
      <c r="J229" t="s">
        <v>36</v>
      </c>
      <c r="K229" t="s">
        <v>37</v>
      </c>
      <c r="L229">
        <f t="shared" si="61"/>
        <v>1</v>
      </c>
      <c r="M229">
        <f t="shared" si="62"/>
        <v>0</v>
      </c>
      <c r="N229">
        <f t="shared" si="63"/>
        <v>0</v>
      </c>
      <c r="O229" t="s">
        <v>76</v>
      </c>
      <c r="P229">
        <f t="shared" si="64"/>
        <v>0</v>
      </c>
      <c r="Q229">
        <f t="shared" si="65"/>
        <v>1</v>
      </c>
      <c r="R229">
        <f t="shared" si="66"/>
        <v>0</v>
      </c>
      <c r="S229">
        <f t="shared" si="67"/>
        <v>0</v>
      </c>
      <c r="T229">
        <f t="shared" si="68"/>
        <v>0</v>
      </c>
      <c r="U229">
        <f t="shared" si="69"/>
        <v>0</v>
      </c>
      <c r="V229">
        <f t="shared" si="70"/>
        <v>0</v>
      </c>
      <c r="W229" t="s">
        <v>58</v>
      </c>
      <c r="X229">
        <f t="shared" si="71"/>
        <v>0</v>
      </c>
      <c r="Y229">
        <f t="shared" si="72"/>
        <v>1</v>
      </c>
      <c r="Z229">
        <v>4</v>
      </c>
      <c r="AA229">
        <f t="shared" si="73"/>
        <v>0.75</v>
      </c>
      <c r="AB229" t="s">
        <v>46</v>
      </c>
      <c r="AC229">
        <f t="shared" si="74"/>
        <v>0</v>
      </c>
      <c r="AD229">
        <f t="shared" si="75"/>
        <v>0</v>
      </c>
      <c r="AE229" t="s">
        <v>41</v>
      </c>
      <c r="AF229">
        <f>IF(AE229="website",1,0)</f>
        <v>1</v>
      </c>
    </row>
    <row r="230" spans="1:32">
      <c r="A230" t="s">
        <v>704</v>
      </c>
      <c r="B230" t="s">
        <v>33</v>
      </c>
      <c r="C230" s="3">
        <f t="shared" si="57"/>
        <v>0</v>
      </c>
      <c r="D230">
        <f t="shared" si="58"/>
        <v>1</v>
      </c>
      <c r="E230" t="s">
        <v>609</v>
      </c>
      <c r="F230" t="s">
        <v>430</v>
      </c>
      <c r="G230" s="1">
        <v>29909</v>
      </c>
      <c r="H230" s="2">
        <f t="shared" ca="1" si="59"/>
        <v>44</v>
      </c>
      <c r="I230" s="2">
        <f t="shared" ca="1" si="60"/>
        <v>0.27142857142857141</v>
      </c>
      <c r="J230" t="s">
        <v>45</v>
      </c>
      <c r="K230" t="s">
        <v>37</v>
      </c>
      <c r="L230">
        <f t="shared" si="61"/>
        <v>1</v>
      </c>
      <c r="M230">
        <f t="shared" si="62"/>
        <v>0</v>
      </c>
      <c r="N230">
        <f t="shared" si="63"/>
        <v>0</v>
      </c>
      <c r="O230" t="s">
        <v>137</v>
      </c>
      <c r="P230">
        <f t="shared" si="64"/>
        <v>0</v>
      </c>
      <c r="Q230">
        <f t="shared" si="65"/>
        <v>0</v>
      </c>
      <c r="R230">
        <f t="shared" si="66"/>
        <v>0</v>
      </c>
      <c r="S230">
        <f t="shared" si="67"/>
        <v>0</v>
      </c>
      <c r="T230">
        <f t="shared" si="68"/>
        <v>0</v>
      </c>
      <c r="U230">
        <f t="shared" si="69"/>
        <v>0</v>
      </c>
      <c r="V230">
        <f t="shared" si="70"/>
        <v>0</v>
      </c>
      <c r="W230" t="s">
        <v>58</v>
      </c>
      <c r="X230">
        <f t="shared" si="71"/>
        <v>0</v>
      </c>
      <c r="Y230">
        <f t="shared" si="72"/>
        <v>1</v>
      </c>
      <c r="Z230">
        <v>5</v>
      </c>
      <c r="AA230">
        <f t="shared" si="73"/>
        <v>1</v>
      </c>
      <c r="AB230" t="s">
        <v>46</v>
      </c>
      <c r="AC230">
        <f t="shared" si="74"/>
        <v>0</v>
      </c>
      <c r="AD230">
        <f t="shared" si="75"/>
        <v>0</v>
      </c>
      <c r="AE230" t="s">
        <v>41</v>
      </c>
      <c r="AF230">
        <f>IF(AE230="website",1,0)</f>
        <v>1</v>
      </c>
    </row>
    <row r="231" spans="1:32">
      <c r="A231" t="s">
        <v>705</v>
      </c>
      <c r="B231" t="s">
        <v>55</v>
      </c>
      <c r="C231" s="3">
        <f t="shared" si="57"/>
        <v>1</v>
      </c>
      <c r="D231">
        <f t="shared" si="58"/>
        <v>0</v>
      </c>
      <c r="E231" t="s">
        <v>706</v>
      </c>
      <c r="F231" t="s">
        <v>57</v>
      </c>
      <c r="G231" s="1">
        <v>28328</v>
      </c>
      <c r="H231" s="2">
        <f t="shared" ca="1" si="59"/>
        <v>49</v>
      </c>
      <c r="I231" s="2">
        <f t="shared" ca="1" si="60"/>
        <v>0.34285714285714286</v>
      </c>
      <c r="J231" t="s">
        <v>45</v>
      </c>
      <c r="K231" t="s">
        <v>37</v>
      </c>
      <c r="L231">
        <f t="shared" si="61"/>
        <v>1</v>
      </c>
      <c r="M231">
        <f t="shared" si="62"/>
        <v>0</v>
      </c>
      <c r="N231">
        <f t="shared" si="63"/>
        <v>0</v>
      </c>
      <c r="O231" t="s">
        <v>124</v>
      </c>
      <c r="P231">
        <f t="shared" si="64"/>
        <v>0</v>
      </c>
      <c r="Q231">
        <f t="shared" si="65"/>
        <v>0</v>
      </c>
      <c r="R231">
        <f t="shared" si="66"/>
        <v>0</v>
      </c>
      <c r="S231">
        <f t="shared" si="67"/>
        <v>0</v>
      </c>
      <c r="T231">
        <f t="shared" si="68"/>
        <v>0</v>
      </c>
      <c r="U231">
        <f t="shared" si="69"/>
        <v>1</v>
      </c>
      <c r="V231">
        <f t="shared" si="70"/>
        <v>0</v>
      </c>
      <c r="W231" t="s">
        <v>58</v>
      </c>
      <c r="X231">
        <f t="shared" si="71"/>
        <v>0</v>
      </c>
      <c r="Y231">
        <f t="shared" si="72"/>
        <v>1</v>
      </c>
      <c r="Z231">
        <v>4</v>
      </c>
      <c r="AA231">
        <f t="shared" si="73"/>
        <v>0.75</v>
      </c>
      <c r="AB231" t="s">
        <v>40</v>
      </c>
      <c r="AC231">
        <f t="shared" si="74"/>
        <v>0</v>
      </c>
      <c r="AD231">
        <f t="shared" si="75"/>
        <v>0</v>
      </c>
      <c r="AE231" t="s">
        <v>41</v>
      </c>
      <c r="AF231">
        <f>IF(AE231="website",1,0)</f>
        <v>1</v>
      </c>
    </row>
    <row r="232" spans="1:32">
      <c r="A232" t="s">
        <v>707</v>
      </c>
      <c r="B232" t="s">
        <v>33</v>
      </c>
      <c r="C232" s="3">
        <f t="shared" si="57"/>
        <v>0</v>
      </c>
      <c r="D232">
        <f t="shared" si="58"/>
        <v>1</v>
      </c>
      <c r="E232" t="s">
        <v>708</v>
      </c>
      <c r="F232" t="s">
        <v>709</v>
      </c>
      <c r="G232" s="1">
        <v>34321</v>
      </c>
      <c r="H232" s="2">
        <f t="shared" ca="1" si="59"/>
        <v>32</v>
      </c>
      <c r="I232" s="2">
        <f t="shared" ca="1" si="60"/>
        <v>0.1</v>
      </c>
      <c r="J232" t="s">
        <v>45</v>
      </c>
      <c r="K232" t="s">
        <v>276</v>
      </c>
      <c r="L232">
        <f t="shared" si="61"/>
        <v>0</v>
      </c>
      <c r="M232">
        <f t="shared" si="62"/>
        <v>0</v>
      </c>
      <c r="N232">
        <f t="shared" si="63"/>
        <v>0</v>
      </c>
      <c r="O232" t="s">
        <v>710</v>
      </c>
      <c r="P232">
        <f t="shared" si="64"/>
        <v>0</v>
      </c>
      <c r="Q232">
        <f t="shared" si="65"/>
        <v>0</v>
      </c>
      <c r="R232">
        <f t="shared" si="66"/>
        <v>0</v>
      </c>
      <c r="S232">
        <f t="shared" si="67"/>
        <v>0</v>
      </c>
      <c r="T232">
        <f t="shared" si="68"/>
        <v>0</v>
      </c>
      <c r="U232">
        <f t="shared" si="69"/>
        <v>0</v>
      </c>
      <c r="V232">
        <f t="shared" si="70"/>
        <v>0</v>
      </c>
      <c r="W232" t="s">
        <v>58</v>
      </c>
      <c r="X232">
        <f t="shared" si="71"/>
        <v>0</v>
      </c>
      <c r="Y232">
        <f t="shared" si="72"/>
        <v>1</v>
      </c>
      <c r="Z232">
        <v>2</v>
      </c>
      <c r="AA232">
        <f t="shared" si="73"/>
        <v>0.25</v>
      </c>
      <c r="AB232" t="s">
        <v>40</v>
      </c>
      <c r="AC232">
        <f t="shared" si="74"/>
        <v>0</v>
      </c>
      <c r="AD232">
        <f t="shared" si="75"/>
        <v>0</v>
      </c>
      <c r="AE232" t="s">
        <v>41</v>
      </c>
      <c r="AF232">
        <f>IF(AE232="website",1,0)</f>
        <v>1</v>
      </c>
    </row>
    <row r="233" spans="1:32">
      <c r="A233" t="s">
        <v>711</v>
      </c>
      <c r="B233" t="s">
        <v>33</v>
      </c>
      <c r="C233" s="3">
        <f t="shared" si="57"/>
        <v>0</v>
      </c>
      <c r="D233">
        <f t="shared" si="58"/>
        <v>1</v>
      </c>
      <c r="E233" t="s">
        <v>712</v>
      </c>
      <c r="F233" t="s">
        <v>607</v>
      </c>
      <c r="G233" s="1">
        <v>22770</v>
      </c>
      <c r="H233" s="2">
        <f t="shared" ca="1" si="59"/>
        <v>64</v>
      </c>
      <c r="I233" s="2">
        <f t="shared" ca="1" si="60"/>
        <v>0.55714285714285716</v>
      </c>
      <c r="J233" t="s">
        <v>36</v>
      </c>
      <c r="K233" t="s">
        <v>37</v>
      </c>
      <c r="L233">
        <f t="shared" si="61"/>
        <v>1</v>
      </c>
      <c r="M233">
        <f t="shared" si="62"/>
        <v>0</v>
      </c>
      <c r="N233">
        <f t="shared" si="63"/>
        <v>0</v>
      </c>
      <c r="O233" t="s">
        <v>38</v>
      </c>
      <c r="P233">
        <f t="shared" si="64"/>
        <v>1</v>
      </c>
      <c r="Q233">
        <f t="shared" si="65"/>
        <v>0</v>
      </c>
      <c r="R233">
        <f t="shared" si="66"/>
        <v>0</v>
      </c>
      <c r="S233">
        <f t="shared" si="67"/>
        <v>0</v>
      </c>
      <c r="T233">
        <f t="shared" si="68"/>
        <v>0</v>
      </c>
      <c r="U233">
        <f t="shared" si="69"/>
        <v>0</v>
      </c>
      <c r="V233">
        <f t="shared" si="70"/>
        <v>0</v>
      </c>
      <c r="W233" t="s">
        <v>39</v>
      </c>
      <c r="X233">
        <f t="shared" si="71"/>
        <v>1</v>
      </c>
      <c r="Y233">
        <f t="shared" si="72"/>
        <v>0</v>
      </c>
      <c r="Z233">
        <v>3</v>
      </c>
      <c r="AA233">
        <f t="shared" si="73"/>
        <v>0.5</v>
      </c>
      <c r="AB233" t="s">
        <v>40</v>
      </c>
      <c r="AC233">
        <f t="shared" si="74"/>
        <v>0</v>
      </c>
      <c r="AD233">
        <f t="shared" si="75"/>
        <v>0</v>
      </c>
      <c r="AE233" t="s">
        <v>41</v>
      </c>
      <c r="AF233">
        <f>IF(AE233="website",1,0)</f>
        <v>1</v>
      </c>
    </row>
    <row r="234" spans="1:32">
      <c r="A234" t="s">
        <v>713</v>
      </c>
      <c r="B234" t="s">
        <v>33</v>
      </c>
      <c r="C234" s="3">
        <f t="shared" si="57"/>
        <v>0</v>
      </c>
      <c r="D234">
        <f t="shared" si="58"/>
        <v>1</v>
      </c>
      <c r="E234" t="s">
        <v>544</v>
      </c>
      <c r="F234" t="s">
        <v>714</v>
      </c>
      <c r="G234" s="1">
        <v>35683</v>
      </c>
      <c r="H234" s="2">
        <f t="shared" ca="1" si="59"/>
        <v>29</v>
      </c>
      <c r="I234" s="2">
        <f t="shared" ca="1" si="60"/>
        <v>5.7142857142857141E-2</v>
      </c>
      <c r="J234" t="s">
        <v>45</v>
      </c>
      <c r="K234" t="s">
        <v>626</v>
      </c>
      <c r="L234">
        <f t="shared" si="61"/>
        <v>0</v>
      </c>
      <c r="M234">
        <f t="shared" si="62"/>
        <v>0</v>
      </c>
      <c r="N234">
        <f t="shared" si="63"/>
        <v>0</v>
      </c>
      <c r="O234" t="s">
        <v>660</v>
      </c>
      <c r="P234">
        <f t="shared" si="64"/>
        <v>0</v>
      </c>
      <c r="Q234">
        <f t="shared" si="65"/>
        <v>0</v>
      </c>
      <c r="R234">
        <f t="shared" si="66"/>
        <v>0</v>
      </c>
      <c r="S234">
        <f t="shared" si="67"/>
        <v>0</v>
      </c>
      <c r="T234">
        <f t="shared" si="68"/>
        <v>0</v>
      </c>
      <c r="U234">
        <f t="shared" si="69"/>
        <v>0</v>
      </c>
      <c r="V234">
        <f t="shared" si="70"/>
        <v>0</v>
      </c>
      <c r="W234" t="s">
        <v>39</v>
      </c>
      <c r="X234">
        <f t="shared" si="71"/>
        <v>1</v>
      </c>
      <c r="Y234">
        <f t="shared" si="72"/>
        <v>0</v>
      </c>
      <c r="Z234">
        <v>4</v>
      </c>
      <c r="AA234">
        <f t="shared" si="73"/>
        <v>0.75</v>
      </c>
      <c r="AB234" t="s">
        <v>40</v>
      </c>
      <c r="AC234">
        <f t="shared" si="74"/>
        <v>0</v>
      </c>
      <c r="AD234">
        <f t="shared" si="75"/>
        <v>0</v>
      </c>
      <c r="AE234" t="s">
        <v>41</v>
      </c>
      <c r="AF234">
        <f>IF(AE234="website",1,0)</f>
        <v>1</v>
      </c>
    </row>
    <row r="235" spans="1:32">
      <c r="A235" t="s">
        <v>715</v>
      </c>
      <c r="B235" t="s">
        <v>33</v>
      </c>
      <c r="C235" s="3">
        <f t="shared" si="57"/>
        <v>0</v>
      </c>
      <c r="D235">
        <f t="shared" si="58"/>
        <v>1</v>
      </c>
      <c r="E235" t="s">
        <v>602</v>
      </c>
      <c r="F235" t="s">
        <v>716</v>
      </c>
      <c r="G235" s="1">
        <v>28916</v>
      </c>
      <c r="H235" s="2">
        <f t="shared" ca="1" si="59"/>
        <v>47</v>
      </c>
      <c r="I235" s="2">
        <f t="shared" ca="1" si="60"/>
        <v>0.31428571428571428</v>
      </c>
      <c r="J235" t="s">
        <v>36</v>
      </c>
      <c r="K235" t="s">
        <v>37</v>
      </c>
      <c r="L235">
        <f t="shared" si="61"/>
        <v>1</v>
      </c>
      <c r="M235">
        <f t="shared" si="62"/>
        <v>0</v>
      </c>
      <c r="N235">
        <f t="shared" si="63"/>
        <v>0</v>
      </c>
      <c r="O235" t="s">
        <v>717</v>
      </c>
      <c r="P235">
        <f t="shared" si="64"/>
        <v>0</v>
      </c>
      <c r="Q235">
        <f t="shared" si="65"/>
        <v>0</v>
      </c>
      <c r="R235">
        <f t="shared" si="66"/>
        <v>0</v>
      </c>
      <c r="S235">
        <f t="shared" si="67"/>
        <v>0</v>
      </c>
      <c r="T235">
        <f t="shared" si="68"/>
        <v>0</v>
      </c>
      <c r="U235">
        <f t="shared" si="69"/>
        <v>0</v>
      </c>
      <c r="V235">
        <f t="shared" si="70"/>
        <v>0</v>
      </c>
      <c r="W235" t="s">
        <v>39</v>
      </c>
      <c r="X235">
        <f t="shared" si="71"/>
        <v>1</v>
      </c>
      <c r="Y235">
        <f t="shared" si="72"/>
        <v>0</v>
      </c>
      <c r="Z235">
        <v>1</v>
      </c>
      <c r="AA235">
        <f t="shared" si="73"/>
        <v>0</v>
      </c>
      <c r="AB235" t="s">
        <v>40</v>
      </c>
      <c r="AC235">
        <f t="shared" si="74"/>
        <v>0</v>
      </c>
      <c r="AD235">
        <f t="shared" si="75"/>
        <v>0</v>
      </c>
      <c r="AE235" t="s">
        <v>41</v>
      </c>
      <c r="AF235">
        <f>IF(AE235="website",1,0)</f>
        <v>1</v>
      </c>
    </row>
    <row r="236" spans="1:32">
      <c r="A236" t="s">
        <v>718</v>
      </c>
      <c r="B236" t="s">
        <v>33</v>
      </c>
      <c r="C236" s="3">
        <f t="shared" si="57"/>
        <v>0</v>
      </c>
      <c r="D236">
        <f t="shared" si="58"/>
        <v>1</v>
      </c>
      <c r="E236" t="s">
        <v>719</v>
      </c>
      <c r="F236" t="s">
        <v>720</v>
      </c>
      <c r="G236" s="1">
        <v>18181</v>
      </c>
      <c r="H236" s="2">
        <f t="shared" ca="1" si="59"/>
        <v>76</v>
      </c>
      <c r="I236" s="2">
        <f t="shared" ca="1" si="60"/>
        <v>0.72857142857142854</v>
      </c>
      <c r="J236" t="s">
        <v>45</v>
      </c>
      <c r="K236" t="s">
        <v>37</v>
      </c>
      <c r="L236">
        <f t="shared" si="61"/>
        <v>1</v>
      </c>
      <c r="M236">
        <f t="shared" si="62"/>
        <v>0</v>
      </c>
      <c r="N236">
        <f t="shared" si="63"/>
        <v>0</v>
      </c>
      <c r="O236" t="s">
        <v>38</v>
      </c>
      <c r="P236">
        <f t="shared" si="64"/>
        <v>1</v>
      </c>
      <c r="Q236">
        <f t="shared" si="65"/>
        <v>0</v>
      </c>
      <c r="R236">
        <f t="shared" si="66"/>
        <v>0</v>
      </c>
      <c r="S236">
        <f t="shared" si="67"/>
        <v>0</v>
      </c>
      <c r="T236">
        <f t="shared" si="68"/>
        <v>0</v>
      </c>
      <c r="U236">
        <f t="shared" si="69"/>
        <v>0</v>
      </c>
      <c r="V236">
        <f t="shared" si="70"/>
        <v>0</v>
      </c>
      <c r="W236" t="s">
        <v>39</v>
      </c>
      <c r="X236">
        <f t="shared" si="71"/>
        <v>1</v>
      </c>
      <c r="Y236">
        <f t="shared" si="72"/>
        <v>0</v>
      </c>
      <c r="Z236">
        <v>5</v>
      </c>
      <c r="AA236">
        <f t="shared" si="73"/>
        <v>1</v>
      </c>
      <c r="AB236" t="s">
        <v>46</v>
      </c>
      <c r="AC236">
        <f t="shared" si="74"/>
        <v>0</v>
      </c>
      <c r="AD236">
        <f t="shared" si="75"/>
        <v>0</v>
      </c>
      <c r="AE236" t="s">
        <v>41</v>
      </c>
      <c r="AF236">
        <f>IF(AE236="website",1,0)</f>
        <v>1</v>
      </c>
    </row>
    <row r="237" spans="1:32">
      <c r="A237" t="s">
        <v>721</v>
      </c>
      <c r="B237" t="s">
        <v>33</v>
      </c>
      <c r="C237" s="3">
        <f t="shared" si="57"/>
        <v>0</v>
      </c>
      <c r="D237">
        <f t="shared" si="58"/>
        <v>1</v>
      </c>
      <c r="E237" t="s">
        <v>722</v>
      </c>
      <c r="F237" t="s">
        <v>339</v>
      </c>
      <c r="G237" s="1">
        <v>26521</v>
      </c>
      <c r="H237" s="2">
        <f t="shared" ca="1" si="59"/>
        <v>54</v>
      </c>
      <c r="I237" s="2">
        <f t="shared" ca="1" si="60"/>
        <v>0.41428571428571431</v>
      </c>
      <c r="J237" t="s">
        <v>45</v>
      </c>
      <c r="K237" t="s">
        <v>65</v>
      </c>
      <c r="L237">
        <f t="shared" si="61"/>
        <v>0</v>
      </c>
      <c r="M237">
        <f t="shared" si="62"/>
        <v>1</v>
      </c>
      <c r="N237">
        <f t="shared" si="63"/>
        <v>0</v>
      </c>
      <c r="O237" t="s">
        <v>723</v>
      </c>
      <c r="P237">
        <f t="shared" si="64"/>
        <v>0</v>
      </c>
      <c r="Q237">
        <f t="shared" si="65"/>
        <v>0</v>
      </c>
      <c r="R237">
        <f t="shared" si="66"/>
        <v>0</v>
      </c>
      <c r="S237">
        <f t="shared" si="67"/>
        <v>0</v>
      </c>
      <c r="T237">
        <f t="shared" si="68"/>
        <v>0</v>
      </c>
      <c r="U237">
        <f t="shared" si="69"/>
        <v>0</v>
      </c>
      <c r="V237">
        <f t="shared" si="70"/>
        <v>0</v>
      </c>
      <c r="W237" t="s">
        <v>39</v>
      </c>
      <c r="X237">
        <f t="shared" si="71"/>
        <v>1</v>
      </c>
      <c r="Y237">
        <f t="shared" si="72"/>
        <v>0</v>
      </c>
      <c r="Z237">
        <v>3</v>
      </c>
      <c r="AA237">
        <f t="shared" si="73"/>
        <v>0.5</v>
      </c>
      <c r="AB237" t="s">
        <v>46</v>
      </c>
      <c r="AC237">
        <f t="shared" si="74"/>
        <v>1</v>
      </c>
      <c r="AD237">
        <f t="shared" si="75"/>
        <v>0</v>
      </c>
      <c r="AE237" t="s">
        <v>50</v>
      </c>
      <c r="AF237">
        <f>IF(AE237="website",1,0)</f>
        <v>0</v>
      </c>
    </row>
    <row r="238" spans="1:32">
      <c r="A238" t="s">
        <v>724</v>
      </c>
      <c r="B238" t="s">
        <v>33</v>
      </c>
      <c r="C238" s="3">
        <f t="shared" si="57"/>
        <v>0</v>
      </c>
      <c r="D238">
        <f t="shared" si="58"/>
        <v>1</v>
      </c>
      <c r="E238" t="s">
        <v>671</v>
      </c>
      <c r="F238" t="s">
        <v>112</v>
      </c>
      <c r="G238" s="1">
        <v>30989</v>
      </c>
      <c r="H238" s="2">
        <f t="shared" ca="1" si="59"/>
        <v>41</v>
      </c>
      <c r="I238" s="2">
        <f t="shared" ca="1" si="60"/>
        <v>0.22857142857142856</v>
      </c>
      <c r="J238" t="s">
        <v>45</v>
      </c>
      <c r="K238" t="s">
        <v>37</v>
      </c>
      <c r="L238">
        <f t="shared" si="61"/>
        <v>1</v>
      </c>
      <c r="M238">
        <f t="shared" si="62"/>
        <v>0</v>
      </c>
      <c r="N238">
        <f t="shared" si="63"/>
        <v>0</v>
      </c>
      <c r="O238" t="s">
        <v>38</v>
      </c>
      <c r="P238">
        <f t="shared" si="64"/>
        <v>1</v>
      </c>
      <c r="Q238">
        <f t="shared" si="65"/>
        <v>0</v>
      </c>
      <c r="R238">
        <f t="shared" si="66"/>
        <v>0</v>
      </c>
      <c r="S238">
        <f t="shared" si="67"/>
        <v>0</v>
      </c>
      <c r="T238">
        <f t="shared" si="68"/>
        <v>0</v>
      </c>
      <c r="U238">
        <f t="shared" si="69"/>
        <v>0</v>
      </c>
      <c r="V238">
        <f t="shared" si="70"/>
        <v>0</v>
      </c>
      <c r="W238" t="s">
        <v>39</v>
      </c>
      <c r="X238">
        <f t="shared" si="71"/>
        <v>1</v>
      </c>
      <c r="Y238">
        <f t="shared" si="72"/>
        <v>0</v>
      </c>
      <c r="Z238">
        <v>5</v>
      </c>
      <c r="AA238">
        <f t="shared" si="73"/>
        <v>1</v>
      </c>
      <c r="AB238" t="s">
        <v>40</v>
      </c>
      <c r="AC238">
        <f t="shared" si="74"/>
        <v>0</v>
      </c>
      <c r="AD238">
        <f t="shared" si="75"/>
        <v>0</v>
      </c>
      <c r="AE238" t="s">
        <v>41</v>
      </c>
      <c r="AF238">
        <f>IF(AE238="website",1,0)</f>
        <v>1</v>
      </c>
    </row>
    <row r="239" spans="1:32">
      <c r="A239" t="s">
        <v>725</v>
      </c>
      <c r="B239" t="s">
        <v>33</v>
      </c>
      <c r="C239" s="3">
        <f t="shared" si="57"/>
        <v>0</v>
      </c>
      <c r="D239">
        <f t="shared" si="58"/>
        <v>1</v>
      </c>
      <c r="E239" t="s">
        <v>570</v>
      </c>
      <c r="F239" t="s">
        <v>726</v>
      </c>
      <c r="G239" s="1">
        <v>29959</v>
      </c>
      <c r="H239" s="2">
        <f t="shared" ca="1" si="59"/>
        <v>44</v>
      </c>
      <c r="I239" s="2">
        <f t="shared" ca="1" si="60"/>
        <v>0.27142857142857141</v>
      </c>
      <c r="J239" t="s">
        <v>36</v>
      </c>
      <c r="K239" t="s">
        <v>37</v>
      </c>
      <c r="L239">
        <f t="shared" si="61"/>
        <v>1</v>
      </c>
      <c r="M239">
        <f t="shared" si="62"/>
        <v>0</v>
      </c>
      <c r="N239">
        <f t="shared" si="63"/>
        <v>0</v>
      </c>
      <c r="O239" t="s">
        <v>305</v>
      </c>
      <c r="P239">
        <f t="shared" si="64"/>
        <v>0</v>
      </c>
      <c r="Q239">
        <f t="shared" si="65"/>
        <v>0</v>
      </c>
      <c r="R239">
        <f t="shared" si="66"/>
        <v>0</v>
      </c>
      <c r="S239">
        <f t="shared" si="67"/>
        <v>0</v>
      </c>
      <c r="T239">
        <f t="shared" si="68"/>
        <v>0</v>
      </c>
      <c r="U239">
        <f t="shared" si="69"/>
        <v>0</v>
      </c>
      <c r="V239">
        <f t="shared" si="70"/>
        <v>0</v>
      </c>
      <c r="W239" t="s">
        <v>39</v>
      </c>
      <c r="X239">
        <f t="shared" si="71"/>
        <v>1</v>
      </c>
      <c r="Y239">
        <f t="shared" si="72"/>
        <v>0</v>
      </c>
      <c r="Z239">
        <v>4</v>
      </c>
      <c r="AA239">
        <f t="shared" si="73"/>
        <v>0.75</v>
      </c>
      <c r="AB239" t="s">
        <v>40</v>
      </c>
      <c r="AC239">
        <f t="shared" si="74"/>
        <v>1</v>
      </c>
      <c r="AD239">
        <f t="shared" si="75"/>
        <v>0</v>
      </c>
      <c r="AE239" t="s">
        <v>50</v>
      </c>
      <c r="AF239">
        <f>IF(AE239="website",1,0)</f>
        <v>0</v>
      </c>
    </row>
    <row r="240" spans="1:32">
      <c r="A240" t="s">
        <v>727</v>
      </c>
      <c r="B240" t="s">
        <v>33</v>
      </c>
      <c r="C240" s="3">
        <f t="shared" si="57"/>
        <v>0</v>
      </c>
      <c r="D240">
        <f t="shared" si="58"/>
        <v>1</v>
      </c>
      <c r="E240" t="s">
        <v>712</v>
      </c>
      <c r="F240" t="s">
        <v>728</v>
      </c>
      <c r="G240" s="1">
        <v>26713</v>
      </c>
      <c r="H240" s="2">
        <f t="shared" ca="1" si="59"/>
        <v>53</v>
      </c>
      <c r="I240" s="2">
        <f t="shared" ca="1" si="60"/>
        <v>0.4</v>
      </c>
      <c r="J240" t="s">
        <v>36</v>
      </c>
      <c r="K240" t="s">
        <v>37</v>
      </c>
      <c r="L240">
        <f t="shared" si="61"/>
        <v>1</v>
      </c>
      <c r="M240">
        <f t="shared" si="62"/>
        <v>0</v>
      </c>
      <c r="N240">
        <f t="shared" si="63"/>
        <v>0</v>
      </c>
      <c r="O240" t="s">
        <v>76</v>
      </c>
      <c r="P240">
        <f t="shared" si="64"/>
        <v>0</v>
      </c>
      <c r="Q240">
        <f t="shared" si="65"/>
        <v>1</v>
      </c>
      <c r="R240">
        <f t="shared" si="66"/>
        <v>0</v>
      </c>
      <c r="S240">
        <f t="shared" si="67"/>
        <v>0</v>
      </c>
      <c r="T240">
        <f t="shared" si="68"/>
        <v>0</v>
      </c>
      <c r="U240">
        <f t="shared" si="69"/>
        <v>0</v>
      </c>
      <c r="V240">
        <f t="shared" si="70"/>
        <v>0</v>
      </c>
      <c r="W240" t="s">
        <v>39</v>
      </c>
      <c r="X240">
        <f t="shared" si="71"/>
        <v>1</v>
      </c>
      <c r="Y240">
        <f t="shared" si="72"/>
        <v>0</v>
      </c>
      <c r="Z240">
        <v>3</v>
      </c>
      <c r="AA240">
        <f t="shared" si="73"/>
        <v>0.5</v>
      </c>
      <c r="AB240" t="s">
        <v>40</v>
      </c>
      <c r="AC240">
        <f t="shared" si="74"/>
        <v>0</v>
      </c>
      <c r="AD240">
        <f t="shared" si="75"/>
        <v>0</v>
      </c>
      <c r="AE240" t="s">
        <v>41</v>
      </c>
      <c r="AF240">
        <f>IF(AE240="website",1,0)</f>
        <v>1</v>
      </c>
    </row>
    <row r="241" spans="1:32">
      <c r="A241" t="s">
        <v>729</v>
      </c>
      <c r="B241" t="s">
        <v>33</v>
      </c>
      <c r="C241" s="3">
        <f t="shared" si="57"/>
        <v>0</v>
      </c>
      <c r="D241">
        <f t="shared" si="58"/>
        <v>1</v>
      </c>
      <c r="E241" t="s">
        <v>570</v>
      </c>
      <c r="F241" t="s">
        <v>730</v>
      </c>
      <c r="G241" s="1">
        <v>15476</v>
      </c>
      <c r="H241" s="2">
        <f t="shared" ca="1" si="59"/>
        <v>84</v>
      </c>
      <c r="I241" s="2">
        <f t="shared" ca="1" si="60"/>
        <v>0.84285714285714286</v>
      </c>
      <c r="J241" t="s">
        <v>36</v>
      </c>
      <c r="K241" t="s">
        <v>37</v>
      </c>
      <c r="L241">
        <f t="shared" si="61"/>
        <v>1</v>
      </c>
      <c r="M241">
        <f t="shared" si="62"/>
        <v>0</v>
      </c>
      <c r="N241">
        <f t="shared" si="63"/>
        <v>0</v>
      </c>
      <c r="O241" t="s">
        <v>137</v>
      </c>
      <c r="P241">
        <f t="shared" si="64"/>
        <v>0</v>
      </c>
      <c r="Q241">
        <f t="shared" si="65"/>
        <v>0</v>
      </c>
      <c r="R241">
        <f t="shared" si="66"/>
        <v>0</v>
      </c>
      <c r="S241">
        <f t="shared" si="67"/>
        <v>0</v>
      </c>
      <c r="T241">
        <f t="shared" si="68"/>
        <v>0</v>
      </c>
      <c r="U241">
        <f t="shared" si="69"/>
        <v>0</v>
      </c>
      <c r="V241">
        <f t="shared" si="70"/>
        <v>0</v>
      </c>
      <c r="W241" t="s">
        <v>58</v>
      </c>
      <c r="X241">
        <f t="shared" si="71"/>
        <v>0</v>
      </c>
      <c r="Y241">
        <f t="shared" si="72"/>
        <v>1</v>
      </c>
      <c r="Z241">
        <v>3</v>
      </c>
      <c r="AA241">
        <f t="shared" si="73"/>
        <v>0.5</v>
      </c>
      <c r="AB241" t="s">
        <v>46</v>
      </c>
      <c r="AC241">
        <f t="shared" si="74"/>
        <v>0</v>
      </c>
      <c r="AD241">
        <f t="shared" si="75"/>
        <v>0</v>
      </c>
      <c r="AE241" t="s">
        <v>41</v>
      </c>
      <c r="AF241">
        <f>IF(AE241="website",1,0)</f>
        <v>1</v>
      </c>
    </row>
    <row r="242" spans="1:32">
      <c r="A242" t="s">
        <v>731</v>
      </c>
      <c r="B242" t="s">
        <v>33</v>
      </c>
      <c r="C242" s="3">
        <f t="shared" si="57"/>
        <v>0</v>
      </c>
      <c r="D242">
        <f t="shared" si="58"/>
        <v>1</v>
      </c>
      <c r="E242" t="s">
        <v>649</v>
      </c>
      <c r="F242" t="s">
        <v>366</v>
      </c>
      <c r="G242" s="1">
        <v>22660</v>
      </c>
      <c r="H242" s="2">
        <f t="shared" ca="1" si="59"/>
        <v>64</v>
      </c>
      <c r="I242" s="2">
        <f t="shared" ca="1" si="60"/>
        <v>0.55714285714285716</v>
      </c>
      <c r="J242" t="s">
        <v>36</v>
      </c>
      <c r="K242" t="s">
        <v>158</v>
      </c>
      <c r="L242">
        <f t="shared" si="61"/>
        <v>0</v>
      </c>
      <c r="M242">
        <f t="shared" si="62"/>
        <v>0</v>
      </c>
      <c r="N242">
        <f t="shared" si="63"/>
        <v>0</v>
      </c>
      <c r="O242" t="s">
        <v>732</v>
      </c>
      <c r="P242">
        <f t="shared" si="64"/>
        <v>0</v>
      </c>
      <c r="Q242">
        <f t="shared" si="65"/>
        <v>0</v>
      </c>
      <c r="R242">
        <f t="shared" si="66"/>
        <v>0</v>
      </c>
      <c r="S242">
        <f t="shared" si="67"/>
        <v>0</v>
      </c>
      <c r="T242">
        <f t="shared" si="68"/>
        <v>0</v>
      </c>
      <c r="U242">
        <f t="shared" si="69"/>
        <v>0</v>
      </c>
      <c r="V242">
        <f t="shared" si="70"/>
        <v>0</v>
      </c>
      <c r="W242" t="s">
        <v>39</v>
      </c>
      <c r="X242">
        <f t="shared" si="71"/>
        <v>1</v>
      </c>
      <c r="Y242">
        <f t="shared" si="72"/>
        <v>0</v>
      </c>
      <c r="Z242">
        <v>5</v>
      </c>
      <c r="AA242">
        <f t="shared" si="73"/>
        <v>1</v>
      </c>
      <c r="AB242" t="s">
        <v>40</v>
      </c>
      <c r="AC242">
        <f t="shared" si="74"/>
        <v>0</v>
      </c>
      <c r="AD242">
        <f t="shared" si="75"/>
        <v>0</v>
      </c>
      <c r="AE242" t="s">
        <v>41</v>
      </c>
      <c r="AF242">
        <f>IF(AE242="website",1,0)</f>
        <v>1</v>
      </c>
    </row>
    <row r="243" spans="1:32">
      <c r="A243" t="s">
        <v>733</v>
      </c>
      <c r="B243" t="s">
        <v>33</v>
      </c>
      <c r="C243" s="3">
        <f t="shared" si="57"/>
        <v>0</v>
      </c>
      <c r="D243">
        <f t="shared" si="58"/>
        <v>1</v>
      </c>
      <c r="E243" t="s">
        <v>734</v>
      </c>
      <c r="F243" t="s">
        <v>591</v>
      </c>
      <c r="G243" s="1">
        <v>35870</v>
      </c>
      <c r="H243" s="2">
        <f t="shared" ca="1" si="59"/>
        <v>28</v>
      </c>
      <c r="I243" s="2">
        <f t="shared" ca="1" si="60"/>
        <v>4.2857142857142858E-2</v>
      </c>
      <c r="J243" t="s">
        <v>45</v>
      </c>
      <c r="K243" t="s">
        <v>37</v>
      </c>
      <c r="L243">
        <f t="shared" si="61"/>
        <v>1</v>
      </c>
      <c r="M243">
        <f t="shared" si="62"/>
        <v>0</v>
      </c>
      <c r="N243">
        <f t="shared" si="63"/>
        <v>0</v>
      </c>
      <c r="O243" t="s">
        <v>183</v>
      </c>
      <c r="P243">
        <f t="shared" si="64"/>
        <v>0</v>
      </c>
      <c r="Q243">
        <f t="shared" si="65"/>
        <v>0</v>
      </c>
      <c r="R243">
        <f t="shared" si="66"/>
        <v>0</v>
      </c>
      <c r="S243">
        <f t="shared" si="67"/>
        <v>0</v>
      </c>
      <c r="T243">
        <f t="shared" si="68"/>
        <v>0</v>
      </c>
      <c r="U243">
        <f t="shared" si="69"/>
        <v>0</v>
      </c>
      <c r="V243">
        <f t="shared" si="70"/>
        <v>0</v>
      </c>
      <c r="W243" t="s">
        <v>39</v>
      </c>
      <c r="X243">
        <f t="shared" si="71"/>
        <v>1</v>
      </c>
      <c r="Y243">
        <f t="shared" si="72"/>
        <v>0</v>
      </c>
      <c r="Z243">
        <v>3</v>
      </c>
      <c r="AA243">
        <f t="shared" si="73"/>
        <v>0.5</v>
      </c>
      <c r="AB243" t="s">
        <v>40</v>
      </c>
      <c r="AC243">
        <f t="shared" si="74"/>
        <v>1</v>
      </c>
      <c r="AD243">
        <f t="shared" si="75"/>
        <v>0</v>
      </c>
      <c r="AE243" t="s">
        <v>50</v>
      </c>
      <c r="AF243">
        <f>IF(AE243="website",1,0)</f>
        <v>0</v>
      </c>
    </row>
    <row r="244" spans="1:32">
      <c r="A244" t="s">
        <v>735</v>
      </c>
      <c r="B244" t="s">
        <v>33</v>
      </c>
      <c r="C244" s="3">
        <f t="shared" si="57"/>
        <v>0</v>
      </c>
      <c r="D244">
        <f t="shared" si="58"/>
        <v>1</v>
      </c>
      <c r="E244" t="s">
        <v>652</v>
      </c>
      <c r="F244" t="s">
        <v>726</v>
      </c>
      <c r="G244" s="1">
        <v>28682</v>
      </c>
      <c r="H244" s="2">
        <f t="shared" ca="1" si="59"/>
        <v>48</v>
      </c>
      <c r="I244" s="2">
        <f t="shared" ca="1" si="60"/>
        <v>0.32857142857142857</v>
      </c>
      <c r="J244" t="s">
        <v>36</v>
      </c>
      <c r="K244" t="s">
        <v>37</v>
      </c>
      <c r="L244">
        <f t="shared" si="61"/>
        <v>1</v>
      </c>
      <c r="M244">
        <f t="shared" si="62"/>
        <v>0</v>
      </c>
      <c r="N244">
        <f t="shared" si="63"/>
        <v>0</v>
      </c>
      <c r="O244" t="s">
        <v>183</v>
      </c>
      <c r="P244">
        <f t="shared" si="64"/>
        <v>0</v>
      </c>
      <c r="Q244">
        <f t="shared" si="65"/>
        <v>0</v>
      </c>
      <c r="R244">
        <f t="shared" si="66"/>
        <v>0</v>
      </c>
      <c r="S244">
        <f t="shared" si="67"/>
        <v>0</v>
      </c>
      <c r="T244">
        <f t="shared" si="68"/>
        <v>0</v>
      </c>
      <c r="U244">
        <f t="shared" si="69"/>
        <v>0</v>
      </c>
      <c r="V244">
        <f t="shared" si="70"/>
        <v>0</v>
      </c>
      <c r="W244" t="s">
        <v>39</v>
      </c>
      <c r="X244">
        <f t="shared" si="71"/>
        <v>1</v>
      </c>
      <c r="Y244">
        <f t="shared" si="72"/>
        <v>0</v>
      </c>
      <c r="Z244">
        <v>2</v>
      </c>
      <c r="AA244">
        <f t="shared" si="73"/>
        <v>0.25</v>
      </c>
      <c r="AB244" t="s">
        <v>46</v>
      </c>
      <c r="AC244">
        <f t="shared" si="74"/>
        <v>0</v>
      </c>
      <c r="AD244">
        <f t="shared" si="75"/>
        <v>0</v>
      </c>
      <c r="AE244" t="s">
        <v>41</v>
      </c>
      <c r="AF244">
        <f>IF(AE244="website",1,0)</f>
        <v>1</v>
      </c>
    </row>
    <row r="245" spans="1:32">
      <c r="A245" t="s">
        <v>736</v>
      </c>
      <c r="B245" t="s">
        <v>33</v>
      </c>
      <c r="C245" s="3">
        <f t="shared" si="57"/>
        <v>0</v>
      </c>
      <c r="D245">
        <f t="shared" si="58"/>
        <v>1</v>
      </c>
      <c r="E245" t="s">
        <v>647</v>
      </c>
      <c r="F245" t="s">
        <v>599</v>
      </c>
      <c r="G245" s="1">
        <v>36010</v>
      </c>
      <c r="H245" s="2">
        <f t="shared" ca="1" si="59"/>
        <v>28</v>
      </c>
      <c r="I245" s="2">
        <f t="shared" ca="1" si="60"/>
        <v>4.2857142857142858E-2</v>
      </c>
      <c r="J245" t="s">
        <v>36</v>
      </c>
      <c r="K245" t="s">
        <v>37</v>
      </c>
      <c r="L245">
        <f t="shared" si="61"/>
        <v>1</v>
      </c>
      <c r="M245">
        <f t="shared" si="62"/>
        <v>0</v>
      </c>
      <c r="N245">
        <f t="shared" si="63"/>
        <v>0</v>
      </c>
      <c r="O245" t="s">
        <v>38</v>
      </c>
      <c r="P245">
        <f t="shared" si="64"/>
        <v>1</v>
      </c>
      <c r="Q245">
        <f t="shared" si="65"/>
        <v>0</v>
      </c>
      <c r="R245">
        <f t="shared" si="66"/>
        <v>0</v>
      </c>
      <c r="S245">
        <f t="shared" si="67"/>
        <v>0</v>
      </c>
      <c r="T245">
        <f t="shared" si="68"/>
        <v>0</v>
      </c>
      <c r="U245">
        <f t="shared" si="69"/>
        <v>0</v>
      </c>
      <c r="V245">
        <f t="shared" si="70"/>
        <v>0</v>
      </c>
      <c r="W245" t="s">
        <v>39</v>
      </c>
      <c r="X245">
        <f t="shared" si="71"/>
        <v>1</v>
      </c>
      <c r="Y245">
        <f t="shared" si="72"/>
        <v>0</v>
      </c>
      <c r="Z245">
        <v>1</v>
      </c>
      <c r="AA245">
        <f t="shared" si="73"/>
        <v>0</v>
      </c>
      <c r="AB245" t="s">
        <v>46</v>
      </c>
      <c r="AC245">
        <f t="shared" si="74"/>
        <v>0</v>
      </c>
      <c r="AD245">
        <f t="shared" si="75"/>
        <v>0</v>
      </c>
      <c r="AE245" t="s">
        <v>41</v>
      </c>
      <c r="AF245">
        <f>IF(AE245="website",1,0)</f>
        <v>1</v>
      </c>
    </row>
    <row r="246" spans="1:32">
      <c r="A246" t="s">
        <v>737</v>
      </c>
      <c r="B246" t="s">
        <v>33</v>
      </c>
      <c r="C246" s="3">
        <f t="shared" si="57"/>
        <v>0</v>
      </c>
      <c r="D246">
        <f t="shared" si="58"/>
        <v>1</v>
      </c>
      <c r="E246" t="s">
        <v>629</v>
      </c>
      <c r="F246" t="s">
        <v>738</v>
      </c>
      <c r="G246" s="1">
        <v>27036</v>
      </c>
      <c r="H246" s="2">
        <f t="shared" ca="1" si="59"/>
        <v>52</v>
      </c>
      <c r="I246" s="2">
        <f t="shared" ca="1" si="60"/>
        <v>0.38571428571428573</v>
      </c>
      <c r="J246" t="s">
        <v>45</v>
      </c>
      <c r="K246" t="s">
        <v>37</v>
      </c>
      <c r="L246">
        <f t="shared" si="61"/>
        <v>1</v>
      </c>
      <c r="M246">
        <f t="shared" si="62"/>
        <v>0</v>
      </c>
      <c r="N246">
        <f t="shared" si="63"/>
        <v>0</v>
      </c>
      <c r="O246" t="s">
        <v>124</v>
      </c>
      <c r="P246">
        <f t="shared" si="64"/>
        <v>0</v>
      </c>
      <c r="Q246">
        <f t="shared" si="65"/>
        <v>0</v>
      </c>
      <c r="R246">
        <f t="shared" si="66"/>
        <v>0</v>
      </c>
      <c r="S246">
        <f t="shared" si="67"/>
        <v>0</v>
      </c>
      <c r="T246">
        <f t="shared" si="68"/>
        <v>0</v>
      </c>
      <c r="U246">
        <f t="shared" si="69"/>
        <v>1</v>
      </c>
      <c r="V246">
        <f t="shared" si="70"/>
        <v>0</v>
      </c>
      <c r="W246" t="s">
        <v>58</v>
      </c>
      <c r="X246">
        <f t="shared" si="71"/>
        <v>0</v>
      </c>
      <c r="Y246">
        <f t="shared" si="72"/>
        <v>1</v>
      </c>
      <c r="Z246">
        <v>4</v>
      </c>
      <c r="AA246">
        <f t="shared" si="73"/>
        <v>0.75</v>
      </c>
      <c r="AB246" t="s">
        <v>46</v>
      </c>
      <c r="AC246">
        <f t="shared" si="74"/>
        <v>1</v>
      </c>
      <c r="AD246">
        <f t="shared" si="75"/>
        <v>0</v>
      </c>
      <c r="AE246" t="s">
        <v>50</v>
      </c>
      <c r="AF246">
        <f>IF(AE246="website",1,0)</f>
        <v>0</v>
      </c>
    </row>
    <row r="247" spans="1:32">
      <c r="A247" t="s">
        <v>739</v>
      </c>
      <c r="B247" t="s">
        <v>33</v>
      </c>
      <c r="C247" s="3">
        <f t="shared" si="57"/>
        <v>0</v>
      </c>
      <c r="D247">
        <f t="shared" si="58"/>
        <v>1</v>
      </c>
      <c r="E247" t="s">
        <v>734</v>
      </c>
      <c r="F247" t="s">
        <v>599</v>
      </c>
      <c r="G247" s="1">
        <v>33739</v>
      </c>
      <c r="H247" s="2">
        <f t="shared" ca="1" si="59"/>
        <v>34</v>
      </c>
      <c r="I247" s="2">
        <f t="shared" ca="1" si="60"/>
        <v>0.12857142857142856</v>
      </c>
      <c r="J247" t="s">
        <v>45</v>
      </c>
      <c r="K247" t="s">
        <v>626</v>
      </c>
      <c r="L247">
        <f t="shared" si="61"/>
        <v>0</v>
      </c>
      <c r="M247">
        <f t="shared" si="62"/>
        <v>0</v>
      </c>
      <c r="N247">
        <f t="shared" si="63"/>
        <v>0</v>
      </c>
      <c r="O247" t="s">
        <v>740</v>
      </c>
      <c r="P247">
        <f t="shared" si="64"/>
        <v>0</v>
      </c>
      <c r="Q247">
        <f t="shared" si="65"/>
        <v>0</v>
      </c>
      <c r="R247">
        <f t="shared" si="66"/>
        <v>0</v>
      </c>
      <c r="S247">
        <f t="shared" si="67"/>
        <v>0</v>
      </c>
      <c r="T247">
        <f t="shared" si="68"/>
        <v>0</v>
      </c>
      <c r="U247">
        <f t="shared" si="69"/>
        <v>0</v>
      </c>
      <c r="V247">
        <f t="shared" si="70"/>
        <v>0</v>
      </c>
      <c r="W247" t="s">
        <v>39</v>
      </c>
      <c r="X247">
        <f t="shared" si="71"/>
        <v>1</v>
      </c>
      <c r="Y247">
        <f t="shared" si="72"/>
        <v>0</v>
      </c>
      <c r="Z247">
        <v>1</v>
      </c>
      <c r="AA247">
        <f t="shared" si="73"/>
        <v>0</v>
      </c>
      <c r="AB247" t="s">
        <v>40</v>
      </c>
      <c r="AC247">
        <f t="shared" si="74"/>
        <v>1</v>
      </c>
      <c r="AD247">
        <f t="shared" si="75"/>
        <v>0</v>
      </c>
      <c r="AE247" t="s">
        <v>50</v>
      </c>
      <c r="AF247">
        <f>IF(AE247="website",1,0)</f>
        <v>0</v>
      </c>
    </row>
    <row r="248" spans="1:32">
      <c r="A248" t="s">
        <v>741</v>
      </c>
      <c r="B248" t="s">
        <v>33</v>
      </c>
      <c r="C248" s="3">
        <f t="shared" si="57"/>
        <v>0</v>
      </c>
      <c r="D248">
        <f t="shared" si="58"/>
        <v>1</v>
      </c>
      <c r="E248" t="s">
        <v>191</v>
      </c>
      <c r="F248" t="s">
        <v>742</v>
      </c>
      <c r="G248" s="1">
        <v>23760</v>
      </c>
      <c r="H248" s="2">
        <f t="shared" ca="1" si="59"/>
        <v>61</v>
      </c>
      <c r="I248" s="2">
        <f t="shared" ca="1" si="60"/>
        <v>0.51428571428571423</v>
      </c>
      <c r="J248" t="s">
        <v>45</v>
      </c>
      <c r="K248" t="s">
        <v>37</v>
      </c>
      <c r="L248">
        <f t="shared" si="61"/>
        <v>1</v>
      </c>
      <c r="M248">
        <f t="shared" si="62"/>
        <v>0</v>
      </c>
      <c r="N248">
        <f t="shared" si="63"/>
        <v>0</v>
      </c>
      <c r="O248" t="s">
        <v>38</v>
      </c>
      <c r="P248">
        <f t="shared" si="64"/>
        <v>1</v>
      </c>
      <c r="Q248">
        <f t="shared" si="65"/>
        <v>0</v>
      </c>
      <c r="R248">
        <f t="shared" si="66"/>
        <v>0</v>
      </c>
      <c r="S248">
        <f t="shared" si="67"/>
        <v>0</v>
      </c>
      <c r="T248">
        <f t="shared" si="68"/>
        <v>0</v>
      </c>
      <c r="U248">
        <f t="shared" si="69"/>
        <v>0</v>
      </c>
      <c r="V248">
        <f t="shared" si="70"/>
        <v>0</v>
      </c>
      <c r="W248" t="s">
        <v>39</v>
      </c>
      <c r="X248">
        <f t="shared" si="71"/>
        <v>1</v>
      </c>
      <c r="Y248">
        <f t="shared" si="72"/>
        <v>0</v>
      </c>
      <c r="Z248">
        <v>1</v>
      </c>
      <c r="AA248">
        <f t="shared" si="73"/>
        <v>0</v>
      </c>
      <c r="AB248" t="s">
        <v>46</v>
      </c>
      <c r="AC248">
        <f t="shared" si="74"/>
        <v>0</v>
      </c>
      <c r="AD248">
        <f t="shared" si="75"/>
        <v>0</v>
      </c>
      <c r="AE248" t="s">
        <v>41</v>
      </c>
      <c r="AF248">
        <f>IF(AE248="website",1,0)</f>
        <v>1</v>
      </c>
    </row>
    <row r="249" spans="1:32">
      <c r="A249" t="s">
        <v>743</v>
      </c>
      <c r="B249" t="s">
        <v>33</v>
      </c>
      <c r="C249" s="3">
        <f t="shared" si="57"/>
        <v>0</v>
      </c>
      <c r="D249">
        <f t="shared" si="58"/>
        <v>1</v>
      </c>
      <c r="E249" t="s">
        <v>744</v>
      </c>
      <c r="F249" t="s">
        <v>745</v>
      </c>
      <c r="G249" s="1">
        <v>25181</v>
      </c>
      <c r="H249" s="2">
        <f t="shared" ca="1" si="59"/>
        <v>57</v>
      </c>
      <c r="I249" s="2">
        <f t="shared" ca="1" si="60"/>
        <v>0.45714285714285713</v>
      </c>
      <c r="J249" t="s">
        <v>45</v>
      </c>
      <c r="K249" t="s">
        <v>37</v>
      </c>
      <c r="L249">
        <f t="shared" si="61"/>
        <v>1</v>
      </c>
      <c r="M249">
        <f t="shared" si="62"/>
        <v>0</v>
      </c>
      <c r="N249">
        <f t="shared" si="63"/>
        <v>0</v>
      </c>
      <c r="O249" t="s">
        <v>600</v>
      </c>
      <c r="P249">
        <f t="shared" si="64"/>
        <v>0</v>
      </c>
      <c r="Q249">
        <f t="shared" si="65"/>
        <v>0</v>
      </c>
      <c r="R249">
        <f t="shared" si="66"/>
        <v>0</v>
      </c>
      <c r="S249">
        <f t="shared" si="67"/>
        <v>0</v>
      </c>
      <c r="T249">
        <f t="shared" si="68"/>
        <v>0</v>
      </c>
      <c r="U249">
        <f t="shared" si="69"/>
        <v>0</v>
      </c>
      <c r="V249">
        <f t="shared" si="70"/>
        <v>0</v>
      </c>
      <c r="W249" t="s">
        <v>39</v>
      </c>
      <c r="X249">
        <f t="shared" si="71"/>
        <v>1</v>
      </c>
      <c r="Y249">
        <f t="shared" si="72"/>
        <v>0</v>
      </c>
      <c r="Z249">
        <v>4</v>
      </c>
      <c r="AA249">
        <f t="shared" si="73"/>
        <v>0.75</v>
      </c>
      <c r="AB249" t="s">
        <v>40</v>
      </c>
      <c r="AC249">
        <f t="shared" si="74"/>
        <v>1</v>
      </c>
      <c r="AD249">
        <f t="shared" si="75"/>
        <v>0</v>
      </c>
      <c r="AE249" t="s">
        <v>50</v>
      </c>
      <c r="AF249">
        <f>IF(AE249="website",1,0)</f>
        <v>0</v>
      </c>
    </row>
    <row r="250" spans="1:32">
      <c r="A250" t="s">
        <v>746</v>
      </c>
      <c r="B250" t="s">
        <v>33</v>
      </c>
      <c r="C250" s="3">
        <f t="shared" si="57"/>
        <v>0</v>
      </c>
      <c r="D250">
        <f t="shared" si="58"/>
        <v>1</v>
      </c>
      <c r="E250" t="s">
        <v>747</v>
      </c>
      <c r="F250" t="s">
        <v>748</v>
      </c>
      <c r="G250" s="1">
        <v>25177</v>
      </c>
      <c r="H250" s="2">
        <f t="shared" ca="1" si="59"/>
        <v>57</v>
      </c>
      <c r="I250" s="2">
        <f t="shared" ca="1" si="60"/>
        <v>0.45714285714285713</v>
      </c>
      <c r="J250" t="s">
        <v>36</v>
      </c>
      <c r="K250" t="s">
        <v>37</v>
      </c>
      <c r="L250">
        <f t="shared" si="61"/>
        <v>1</v>
      </c>
      <c r="M250">
        <f t="shared" si="62"/>
        <v>0</v>
      </c>
      <c r="N250">
        <f t="shared" si="63"/>
        <v>0</v>
      </c>
      <c r="O250" t="s">
        <v>38</v>
      </c>
      <c r="P250">
        <f t="shared" si="64"/>
        <v>1</v>
      </c>
      <c r="Q250">
        <f t="shared" si="65"/>
        <v>0</v>
      </c>
      <c r="R250">
        <f t="shared" si="66"/>
        <v>0</v>
      </c>
      <c r="S250">
        <f t="shared" si="67"/>
        <v>0</v>
      </c>
      <c r="T250">
        <f t="shared" si="68"/>
        <v>0</v>
      </c>
      <c r="U250">
        <f t="shared" si="69"/>
        <v>0</v>
      </c>
      <c r="V250">
        <f t="shared" si="70"/>
        <v>0</v>
      </c>
      <c r="W250" t="s">
        <v>58</v>
      </c>
      <c r="X250">
        <f t="shared" si="71"/>
        <v>0</v>
      </c>
      <c r="Y250">
        <f t="shared" si="72"/>
        <v>1</v>
      </c>
      <c r="Z250">
        <v>4</v>
      </c>
      <c r="AA250">
        <f t="shared" si="73"/>
        <v>0.75</v>
      </c>
      <c r="AB250" t="s">
        <v>46</v>
      </c>
      <c r="AC250">
        <f t="shared" si="74"/>
        <v>1</v>
      </c>
      <c r="AD250">
        <f t="shared" si="75"/>
        <v>0</v>
      </c>
      <c r="AE250" t="s">
        <v>50</v>
      </c>
      <c r="AF250">
        <f>IF(AE250="website",1,0)</f>
        <v>0</v>
      </c>
    </row>
    <row r="251" spans="1:32">
      <c r="A251" t="s">
        <v>749</v>
      </c>
      <c r="B251" t="s">
        <v>33</v>
      </c>
      <c r="C251" s="3">
        <f t="shared" si="57"/>
        <v>0</v>
      </c>
      <c r="D251">
        <f t="shared" si="58"/>
        <v>1</v>
      </c>
      <c r="E251" t="s">
        <v>750</v>
      </c>
      <c r="F251" t="s">
        <v>372</v>
      </c>
      <c r="G251" s="1">
        <v>17459</v>
      </c>
      <c r="H251" s="2">
        <f t="shared" ca="1" si="59"/>
        <v>78</v>
      </c>
      <c r="I251" s="2">
        <f t="shared" ca="1" si="60"/>
        <v>0.75714285714285712</v>
      </c>
      <c r="J251" t="s">
        <v>45</v>
      </c>
      <c r="K251" t="s">
        <v>248</v>
      </c>
      <c r="L251">
        <f t="shared" si="61"/>
        <v>0</v>
      </c>
      <c r="M251">
        <f t="shared" si="62"/>
        <v>0</v>
      </c>
      <c r="N251">
        <f t="shared" si="63"/>
        <v>0</v>
      </c>
      <c r="O251" t="s">
        <v>582</v>
      </c>
      <c r="P251">
        <f t="shared" si="64"/>
        <v>0</v>
      </c>
      <c r="Q251">
        <f t="shared" si="65"/>
        <v>0</v>
      </c>
      <c r="R251">
        <f t="shared" si="66"/>
        <v>0</v>
      </c>
      <c r="S251">
        <f t="shared" si="67"/>
        <v>0</v>
      </c>
      <c r="T251">
        <f t="shared" si="68"/>
        <v>0</v>
      </c>
      <c r="U251">
        <f t="shared" si="69"/>
        <v>0</v>
      </c>
      <c r="V251">
        <f t="shared" si="70"/>
        <v>0</v>
      </c>
      <c r="W251" t="s">
        <v>39</v>
      </c>
      <c r="X251">
        <f t="shared" si="71"/>
        <v>1</v>
      </c>
      <c r="Y251">
        <f t="shared" si="72"/>
        <v>0</v>
      </c>
      <c r="Z251">
        <v>2</v>
      </c>
      <c r="AA251">
        <f t="shared" si="73"/>
        <v>0.25</v>
      </c>
      <c r="AB251" t="s">
        <v>46</v>
      </c>
      <c r="AC251">
        <f t="shared" si="74"/>
        <v>1</v>
      </c>
      <c r="AD251">
        <f t="shared" si="75"/>
        <v>0</v>
      </c>
      <c r="AE251" t="s">
        <v>50</v>
      </c>
      <c r="AF251">
        <f>IF(AE251="website",1,0)</f>
        <v>0</v>
      </c>
    </row>
    <row r="252" spans="1:32">
      <c r="A252" t="s">
        <v>751</v>
      </c>
      <c r="B252" t="s">
        <v>33</v>
      </c>
      <c r="C252" s="3">
        <f t="shared" si="57"/>
        <v>0</v>
      </c>
      <c r="D252">
        <f t="shared" si="58"/>
        <v>1</v>
      </c>
      <c r="E252" t="s">
        <v>663</v>
      </c>
      <c r="F252" t="s">
        <v>585</v>
      </c>
      <c r="G252" s="1">
        <v>27983</v>
      </c>
      <c r="H252" s="2">
        <f t="shared" ca="1" si="59"/>
        <v>50</v>
      </c>
      <c r="I252" s="2">
        <f t="shared" ca="1" si="60"/>
        <v>0.35714285714285715</v>
      </c>
      <c r="J252" t="s">
        <v>36</v>
      </c>
      <c r="K252" t="s">
        <v>37</v>
      </c>
      <c r="L252">
        <f t="shared" si="61"/>
        <v>1</v>
      </c>
      <c r="M252">
        <f t="shared" si="62"/>
        <v>0</v>
      </c>
      <c r="N252">
        <f t="shared" si="63"/>
        <v>0</v>
      </c>
      <c r="O252" t="s">
        <v>183</v>
      </c>
      <c r="P252">
        <f t="shared" si="64"/>
        <v>0</v>
      </c>
      <c r="Q252">
        <f t="shared" si="65"/>
        <v>0</v>
      </c>
      <c r="R252">
        <f t="shared" si="66"/>
        <v>0</v>
      </c>
      <c r="S252">
        <f t="shared" si="67"/>
        <v>0</v>
      </c>
      <c r="T252">
        <f t="shared" si="68"/>
        <v>0</v>
      </c>
      <c r="U252">
        <f t="shared" si="69"/>
        <v>0</v>
      </c>
      <c r="V252">
        <f t="shared" si="70"/>
        <v>0</v>
      </c>
      <c r="W252" t="s">
        <v>39</v>
      </c>
      <c r="X252">
        <f t="shared" si="71"/>
        <v>1</v>
      </c>
      <c r="Y252">
        <f t="shared" si="72"/>
        <v>0</v>
      </c>
      <c r="Z252">
        <v>5</v>
      </c>
      <c r="AA252">
        <f t="shared" si="73"/>
        <v>1</v>
      </c>
      <c r="AB252" t="s">
        <v>46</v>
      </c>
      <c r="AC252">
        <f t="shared" si="74"/>
        <v>0</v>
      </c>
      <c r="AD252">
        <f t="shared" si="75"/>
        <v>0</v>
      </c>
      <c r="AE252" t="s">
        <v>41</v>
      </c>
      <c r="AF252">
        <f>IF(AE252="website",1,0)</f>
        <v>1</v>
      </c>
    </row>
    <row r="253" spans="1:32">
      <c r="A253" t="s">
        <v>752</v>
      </c>
      <c r="B253" t="s">
        <v>33</v>
      </c>
      <c r="C253" s="3">
        <f t="shared" si="57"/>
        <v>0</v>
      </c>
      <c r="D253">
        <f t="shared" si="58"/>
        <v>1</v>
      </c>
      <c r="E253" t="s">
        <v>753</v>
      </c>
      <c r="F253" t="s">
        <v>709</v>
      </c>
      <c r="G253" s="1">
        <v>19594</v>
      </c>
      <c r="H253" s="2">
        <f t="shared" ca="1" si="59"/>
        <v>73</v>
      </c>
      <c r="I253" s="2">
        <f t="shared" ca="1" si="60"/>
        <v>0.68571428571428572</v>
      </c>
      <c r="J253" t="s">
        <v>36</v>
      </c>
      <c r="K253" t="s">
        <v>37</v>
      </c>
      <c r="L253">
        <f t="shared" si="61"/>
        <v>1</v>
      </c>
      <c r="M253">
        <f t="shared" si="62"/>
        <v>0</v>
      </c>
      <c r="N253">
        <f t="shared" si="63"/>
        <v>0</v>
      </c>
      <c r="O253" t="s">
        <v>124</v>
      </c>
      <c r="P253">
        <f t="shared" si="64"/>
        <v>0</v>
      </c>
      <c r="Q253">
        <f t="shared" si="65"/>
        <v>0</v>
      </c>
      <c r="R253">
        <f t="shared" si="66"/>
        <v>0</v>
      </c>
      <c r="S253">
        <f t="shared" si="67"/>
        <v>0</v>
      </c>
      <c r="T253">
        <f t="shared" si="68"/>
        <v>0</v>
      </c>
      <c r="U253">
        <f t="shared" si="69"/>
        <v>1</v>
      </c>
      <c r="V253">
        <f t="shared" si="70"/>
        <v>0</v>
      </c>
      <c r="W253" t="s">
        <v>58</v>
      </c>
      <c r="X253">
        <f t="shared" si="71"/>
        <v>0</v>
      </c>
      <c r="Y253">
        <f t="shared" si="72"/>
        <v>1</v>
      </c>
      <c r="Z253">
        <v>2</v>
      </c>
      <c r="AA253">
        <f t="shared" si="73"/>
        <v>0.25</v>
      </c>
      <c r="AB253" t="s">
        <v>46</v>
      </c>
      <c r="AC253">
        <f t="shared" si="74"/>
        <v>0</v>
      </c>
      <c r="AD253">
        <f t="shared" si="75"/>
        <v>0</v>
      </c>
      <c r="AE253" t="s">
        <v>41</v>
      </c>
      <c r="AF253">
        <f>IF(AE253="website",1,0)</f>
        <v>1</v>
      </c>
    </row>
    <row r="254" spans="1:32">
      <c r="A254" t="s">
        <v>754</v>
      </c>
      <c r="B254" t="s">
        <v>33</v>
      </c>
      <c r="C254" s="3">
        <f t="shared" si="57"/>
        <v>0</v>
      </c>
      <c r="D254">
        <f t="shared" si="58"/>
        <v>1</v>
      </c>
      <c r="E254" t="s">
        <v>755</v>
      </c>
      <c r="F254" t="s">
        <v>716</v>
      </c>
      <c r="G254" s="1">
        <v>34592</v>
      </c>
      <c r="H254" s="2">
        <f t="shared" ca="1" si="59"/>
        <v>32</v>
      </c>
      <c r="I254" s="2">
        <f t="shared" ca="1" si="60"/>
        <v>0.1</v>
      </c>
      <c r="J254" t="s">
        <v>36</v>
      </c>
      <c r="K254" t="s">
        <v>37</v>
      </c>
      <c r="L254">
        <f t="shared" si="61"/>
        <v>1</v>
      </c>
      <c r="M254">
        <f t="shared" si="62"/>
        <v>0</v>
      </c>
      <c r="N254">
        <f t="shared" si="63"/>
        <v>0</v>
      </c>
      <c r="O254" t="s">
        <v>305</v>
      </c>
      <c r="P254">
        <f t="shared" si="64"/>
        <v>0</v>
      </c>
      <c r="Q254">
        <f t="shared" si="65"/>
        <v>0</v>
      </c>
      <c r="R254">
        <f t="shared" si="66"/>
        <v>0</v>
      </c>
      <c r="S254">
        <f t="shared" si="67"/>
        <v>0</v>
      </c>
      <c r="T254">
        <f t="shared" si="68"/>
        <v>0</v>
      </c>
      <c r="U254">
        <f t="shared" si="69"/>
        <v>0</v>
      </c>
      <c r="V254">
        <f t="shared" si="70"/>
        <v>0</v>
      </c>
      <c r="W254" t="s">
        <v>39</v>
      </c>
      <c r="X254">
        <f t="shared" si="71"/>
        <v>1</v>
      </c>
      <c r="Y254">
        <f t="shared" si="72"/>
        <v>0</v>
      </c>
      <c r="Z254">
        <v>4</v>
      </c>
      <c r="AA254">
        <f t="shared" si="73"/>
        <v>0.75</v>
      </c>
      <c r="AB254" t="s">
        <v>46</v>
      </c>
      <c r="AC254">
        <f t="shared" si="74"/>
        <v>0</v>
      </c>
      <c r="AD254">
        <f t="shared" si="75"/>
        <v>0</v>
      </c>
      <c r="AE254" t="s">
        <v>41</v>
      </c>
      <c r="AF254">
        <f>IF(AE254="website",1,0)</f>
        <v>1</v>
      </c>
    </row>
    <row r="255" spans="1:32">
      <c r="A255" t="s">
        <v>756</v>
      </c>
      <c r="B255" t="s">
        <v>33</v>
      </c>
      <c r="C255" s="3">
        <f t="shared" si="57"/>
        <v>0</v>
      </c>
      <c r="D255">
        <f t="shared" si="58"/>
        <v>1</v>
      </c>
      <c r="E255" t="s">
        <v>476</v>
      </c>
      <c r="F255" t="s">
        <v>757</v>
      </c>
      <c r="G255" s="1">
        <v>20657</v>
      </c>
      <c r="H255" s="2">
        <f t="shared" ca="1" si="59"/>
        <v>70</v>
      </c>
      <c r="I255" s="2">
        <f t="shared" ca="1" si="60"/>
        <v>0.6428571428571429</v>
      </c>
      <c r="J255" t="s">
        <v>36</v>
      </c>
      <c r="K255" t="s">
        <v>37</v>
      </c>
      <c r="L255">
        <f t="shared" si="61"/>
        <v>1</v>
      </c>
      <c r="M255">
        <f t="shared" si="62"/>
        <v>0</v>
      </c>
      <c r="N255">
        <f t="shared" si="63"/>
        <v>0</v>
      </c>
      <c r="O255" t="s">
        <v>600</v>
      </c>
      <c r="P255">
        <f t="shared" si="64"/>
        <v>0</v>
      </c>
      <c r="Q255">
        <f t="shared" si="65"/>
        <v>0</v>
      </c>
      <c r="R255">
        <f t="shared" si="66"/>
        <v>0</v>
      </c>
      <c r="S255">
        <f t="shared" si="67"/>
        <v>0</v>
      </c>
      <c r="T255">
        <f t="shared" si="68"/>
        <v>0</v>
      </c>
      <c r="U255">
        <f t="shared" si="69"/>
        <v>0</v>
      </c>
      <c r="V255">
        <f t="shared" si="70"/>
        <v>0</v>
      </c>
      <c r="W255" t="s">
        <v>39</v>
      </c>
      <c r="X255">
        <f t="shared" si="71"/>
        <v>1</v>
      </c>
      <c r="Y255">
        <f t="shared" si="72"/>
        <v>0</v>
      </c>
      <c r="Z255">
        <v>5</v>
      </c>
      <c r="AA255">
        <f t="shared" si="73"/>
        <v>1</v>
      </c>
      <c r="AB255" t="s">
        <v>46</v>
      </c>
      <c r="AC255">
        <f t="shared" si="74"/>
        <v>0</v>
      </c>
      <c r="AD255">
        <f t="shared" si="75"/>
        <v>0</v>
      </c>
      <c r="AE255" t="s">
        <v>41</v>
      </c>
      <c r="AF255">
        <f>IF(AE255="website",1,0)</f>
        <v>1</v>
      </c>
    </row>
    <row r="256" spans="1:32">
      <c r="A256" t="s">
        <v>758</v>
      </c>
      <c r="B256" t="s">
        <v>33</v>
      </c>
      <c r="C256" s="3">
        <f t="shared" si="57"/>
        <v>0</v>
      </c>
      <c r="D256">
        <f t="shared" si="58"/>
        <v>1</v>
      </c>
      <c r="E256" t="s">
        <v>759</v>
      </c>
      <c r="F256" t="s">
        <v>562</v>
      </c>
      <c r="G256" s="1">
        <v>22320</v>
      </c>
      <c r="H256" s="2">
        <f t="shared" ca="1" si="59"/>
        <v>65</v>
      </c>
      <c r="I256" s="2">
        <f t="shared" ca="1" si="60"/>
        <v>0.5714285714285714</v>
      </c>
      <c r="J256" t="s">
        <v>36</v>
      </c>
      <c r="K256" t="s">
        <v>248</v>
      </c>
      <c r="L256">
        <f t="shared" si="61"/>
        <v>0</v>
      </c>
      <c r="M256">
        <f t="shared" si="62"/>
        <v>0</v>
      </c>
      <c r="N256">
        <f t="shared" si="63"/>
        <v>0</v>
      </c>
      <c r="O256" t="s">
        <v>582</v>
      </c>
      <c r="P256">
        <f t="shared" si="64"/>
        <v>0</v>
      </c>
      <c r="Q256">
        <f t="shared" si="65"/>
        <v>0</v>
      </c>
      <c r="R256">
        <f t="shared" si="66"/>
        <v>0</v>
      </c>
      <c r="S256">
        <f t="shared" si="67"/>
        <v>0</v>
      </c>
      <c r="T256">
        <f t="shared" si="68"/>
        <v>0</v>
      </c>
      <c r="U256">
        <f t="shared" si="69"/>
        <v>0</v>
      </c>
      <c r="V256">
        <f t="shared" si="70"/>
        <v>0</v>
      </c>
      <c r="W256" t="s">
        <v>58</v>
      </c>
      <c r="X256">
        <f t="shared" si="71"/>
        <v>0</v>
      </c>
      <c r="Y256">
        <f t="shared" si="72"/>
        <v>1</v>
      </c>
      <c r="Z256">
        <v>3</v>
      </c>
      <c r="AA256">
        <f t="shared" si="73"/>
        <v>0.5</v>
      </c>
      <c r="AB256" t="s">
        <v>40</v>
      </c>
      <c r="AC256">
        <f t="shared" si="74"/>
        <v>0</v>
      </c>
      <c r="AD256">
        <f t="shared" si="75"/>
        <v>1</v>
      </c>
      <c r="AE256" t="s">
        <v>90</v>
      </c>
      <c r="AF256">
        <f>IF(AE256="website",1,0)</f>
        <v>0</v>
      </c>
    </row>
    <row r="257" spans="1:32">
      <c r="A257" t="s">
        <v>760</v>
      </c>
      <c r="B257" t="s">
        <v>33</v>
      </c>
      <c r="C257" s="3">
        <f t="shared" si="57"/>
        <v>0</v>
      </c>
      <c r="D257">
        <f t="shared" si="58"/>
        <v>1</v>
      </c>
      <c r="E257" t="s">
        <v>761</v>
      </c>
      <c r="F257" t="s">
        <v>716</v>
      </c>
      <c r="G257" s="1">
        <v>33217</v>
      </c>
      <c r="H257" s="2">
        <f t="shared" ca="1" si="59"/>
        <v>35</v>
      </c>
      <c r="I257" s="2">
        <f t="shared" ca="1" si="60"/>
        <v>0.14285714285714285</v>
      </c>
      <c r="J257" t="s">
        <v>45</v>
      </c>
      <c r="K257" t="s">
        <v>37</v>
      </c>
      <c r="L257">
        <f t="shared" si="61"/>
        <v>1</v>
      </c>
      <c r="M257">
        <f t="shared" si="62"/>
        <v>0</v>
      </c>
      <c r="N257">
        <f t="shared" si="63"/>
        <v>0</v>
      </c>
      <c r="O257" t="s">
        <v>38</v>
      </c>
      <c r="P257">
        <f t="shared" si="64"/>
        <v>1</v>
      </c>
      <c r="Q257">
        <f t="shared" si="65"/>
        <v>0</v>
      </c>
      <c r="R257">
        <f t="shared" si="66"/>
        <v>0</v>
      </c>
      <c r="S257">
        <f t="shared" si="67"/>
        <v>0</v>
      </c>
      <c r="T257">
        <f t="shared" si="68"/>
        <v>0</v>
      </c>
      <c r="U257">
        <f t="shared" si="69"/>
        <v>0</v>
      </c>
      <c r="V257">
        <f t="shared" si="70"/>
        <v>0</v>
      </c>
      <c r="W257" t="s">
        <v>39</v>
      </c>
      <c r="X257">
        <f t="shared" si="71"/>
        <v>1</v>
      </c>
      <c r="Y257">
        <f t="shared" si="72"/>
        <v>0</v>
      </c>
      <c r="Z257">
        <v>1</v>
      </c>
      <c r="AA257">
        <f t="shared" si="73"/>
        <v>0</v>
      </c>
      <c r="AB257" t="s">
        <v>40</v>
      </c>
      <c r="AC257">
        <f t="shared" si="74"/>
        <v>0</v>
      </c>
      <c r="AD257">
        <f t="shared" si="75"/>
        <v>0</v>
      </c>
      <c r="AE257" t="s">
        <v>41</v>
      </c>
      <c r="AF257">
        <f>IF(AE257="website",1,0)</f>
        <v>1</v>
      </c>
    </row>
    <row r="258" spans="1:32">
      <c r="A258" t="s">
        <v>762</v>
      </c>
      <c r="B258" t="s">
        <v>33</v>
      </c>
      <c r="C258" s="3">
        <f t="shared" ref="C258:C321" si="76">IF(B258="company",1,0)</f>
        <v>0</v>
      </c>
      <c r="D258">
        <f t="shared" ref="D258:D321" si="77">IF(B258="individual",1,0)</f>
        <v>1</v>
      </c>
      <c r="E258" t="s">
        <v>596</v>
      </c>
      <c r="F258" t="s">
        <v>607</v>
      </c>
      <c r="G258" s="1">
        <v>27324</v>
      </c>
      <c r="H258" s="2">
        <f t="shared" ref="H258:H321" ca="1" si="78">DATEDIF(G258,TODAY(),"Y")</f>
        <v>51</v>
      </c>
      <c r="I258" s="2">
        <f t="shared" ref="I258:I321" ca="1" si="79">(H258-MIN(H:H))/(MAX(H:H)-MIN(H:H))</f>
        <v>0.37142857142857144</v>
      </c>
      <c r="J258" t="s">
        <v>45</v>
      </c>
      <c r="K258" t="s">
        <v>37</v>
      </c>
      <c r="L258">
        <f t="shared" ref="L258:L321" si="80">IF(K258="usa",1,0)</f>
        <v>1</v>
      </c>
      <c r="M258">
        <f t="shared" ref="M258:M321" si="81">IF(K258="canada",1,0)</f>
        <v>0</v>
      </c>
      <c r="N258">
        <f t="shared" ref="N258:N321" si="82">IF(K258="germany",1,0)</f>
        <v>0</v>
      </c>
      <c r="O258" t="s">
        <v>38</v>
      </c>
      <c r="P258">
        <f t="shared" ref="P258:P321" si="83">IF(O258="california",1,0)</f>
        <v>1</v>
      </c>
      <c r="Q258">
        <f t="shared" ref="Q258:Q321" si="84">IF(O258="oregon",1,0)</f>
        <v>0</v>
      </c>
      <c r="R258">
        <f t="shared" ref="R258:R321" si="85">IF(O258="quebec",1,0)</f>
        <v>0</v>
      </c>
      <c r="S258">
        <f t="shared" ref="S258:S321" si="86">IF(O258="berlin",1,0)</f>
        <v>0</v>
      </c>
      <c r="T258">
        <f t="shared" ref="T258:T321" si="87">IF(O258="arizona",1,0)</f>
        <v>0</v>
      </c>
      <c r="U258">
        <f t="shared" ref="U258:U321" si="88">IF(O258="nevada",1,0)</f>
        <v>0</v>
      </c>
      <c r="V258">
        <f t="shared" ref="V258:V321" si="89">IF(O258="colardo",1,0)</f>
        <v>0</v>
      </c>
      <c r="W258" t="s">
        <v>39</v>
      </c>
      <c r="X258">
        <f t="shared" ref="X258:X321" si="90">IF(W258="home",1,0)</f>
        <v>1</v>
      </c>
      <c r="Y258">
        <f t="shared" ref="Y258:Y321" si="91">IF(W258="investment",1,0)</f>
        <v>0</v>
      </c>
      <c r="Z258">
        <v>1</v>
      </c>
      <c r="AA258">
        <f t="shared" ref="AA258:AA321" si="92">(Z258-1)/4</f>
        <v>0</v>
      </c>
      <c r="AB258" t="s">
        <v>46</v>
      </c>
      <c r="AC258">
        <f t="shared" ref="AC258:AC321" si="93">IF(AE258="agency",1,0)</f>
        <v>0</v>
      </c>
      <c r="AD258">
        <f t="shared" ref="AD258:AD321" si="94">IF(AE258="client",1,0)</f>
        <v>0</v>
      </c>
      <c r="AE258" t="s">
        <v>41</v>
      </c>
      <c r="AF258">
        <f>IF(AE258="website",1,0)</f>
        <v>1</v>
      </c>
    </row>
    <row r="259" spans="1:32">
      <c r="A259" t="s">
        <v>763</v>
      </c>
      <c r="B259" t="s">
        <v>33</v>
      </c>
      <c r="C259" s="3">
        <f t="shared" si="76"/>
        <v>0</v>
      </c>
      <c r="D259">
        <f t="shared" si="77"/>
        <v>1</v>
      </c>
      <c r="E259" t="s">
        <v>744</v>
      </c>
      <c r="F259" t="s">
        <v>764</v>
      </c>
      <c r="G259" s="1">
        <v>33343</v>
      </c>
      <c r="H259" s="2">
        <f t="shared" ca="1" si="78"/>
        <v>35</v>
      </c>
      <c r="I259" s="2">
        <f t="shared" ca="1" si="79"/>
        <v>0.14285714285714285</v>
      </c>
      <c r="J259" t="s">
        <v>45</v>
      </c>
      <c r="K259" t="s">
        <v>248</v>
      </c>
      <c r="L259">
        <f t="shared" si="80"/>
        <v>0</v>
      </c>
      <c r="M259">
        <f t="shared" si="81"/>
        <v>0</v>
      </c>
      <c r="N259">
        <f t="shared" si="82"/>
        <v>0</v>
      </c>
      <c r="O259" t="s">
        <v>249</v>
      </c>
      <c r="P259">
        <f t="shared" si="83"/>
        <v>0</v>
      </c>
      <c r="Q259">
        <f t="shared" si="84"/>
        <v>0</v>
      </c>
      <c r="R259">
        <f t="shared" si="85"/>
        <v>0</v>
      </c>
      <c r="S259">
        <f t="shared" si="86"/>
        <v>0</v>
      </c>
      <c r="T259">
        <f t="shared" si="87"/>
        <v>0</v>
      </c>
      <c r="U259">
        <f t="shared" si="88"/>
        <v>0</v>
      </c>
      <c r="V259">
        <f t="shared" si="89"/>
        <v>0</v>
      </c>
      <c r="W259" t="s">
        <v>39</v>
      </c>
      <c r="X259">
        <f t="shared" si="90"/>
        <v>1</v>
      </c>
      <c r="Y259">
        <f t="shared" si="91"/>
        <v>0</v>
      </c>
      <c r="Z259">
        <v>4</v>
      </c>
      <c r="AA259">
        <f t="shared" si="92"/>
        <v>0.75</v>
      </c>
      <c r="AB259" t="s">
        <v>40</v>
      </c>
      <c r="AC259">
        <f t="shared" si="93"/>
        <v>1</v>
      </c>
      <c r="AD259">
        <f t="shared" si="94"/>
        <v>0</v>
      </c>
      <c r="AE259" t="s">
        <v>50</v>
      </c>
      <c r="AF259">
        <f>IF(AE259="website",1,0)</f>
        <v>0</v>
      </c>
    </row>
    <row r="260" spans="1:32">
      <c r="A260" t="s">
        <v>765</v>
      </c>
      <c r="B260" t="s">
        <v>33</v>
      </c>
      <c r="C260" s="3">
        <f t="shared" si="76"/>
        <v>0</v>
      </c>
      <c r="D260">
        <f t="shared" si="77"/>
        <v>1</v>
      </c>
      <c r="E260" t="s">
        <v>766</v>
      </c>
      <c r="F260" t="s">
        <v>585</v>
      </c>
      <c r="G260" s="1">
        <v>32919</v>
      </c>
      <c r="H260" s="2">
        <f t="shared" ca="1" si="78"/>
        <v>36</v>
      </c>
      <c r="I260" s="2">
        <f t="shared" ca="1" si="79"/>
        <v>0.15714285714285714</v>
      </c>
      <c r="J260" t="s">
        <v>36</v>
      </c>
      <c r="K260" t="s">
        <v>37</v>
      </c>
      <c r="L260">
        <f t="shared" si="80"/>
        <v>1</v>
      </c>
      <c r="M260">
        <f t="shared" si="81"/>
        <v>0</v>
      </c>
      <c r="N260">
        <f t="shared" si="82"/>
        <v>0</v>
      </c>
      <c r="O260" t="s">
        <v>76</v>
      </c>
      <c r="P260">
        <f t="shared" si="83"/>
        <v>0</v>
      </c>
      <c r="Q260">
        <f t="shared" si="84"/>
        <v>1</v>
      </c>
      <c r="R260">
        <f t="shared" si="85"/>
        <v>0</v>
      </c>
      <c r="S260">
        <f t="shared" si="86"/>
        <v>0</v>
      </c>
      <c r="T260">
        <f t="shared" si="87"/>
        <v>0</v>
      </c>
      <c r="U260">
        <f t="shared" si="88"/>
        <v>0</v>
      </c>
      <c r="V260">
        <f t="shared" si="89"/>
        <v>0</v>
      </c>
      <c r="W260" t="s">
        <v>39</v>
      </c>
      <c r="X260">
        <f t="shared" si="90"/>
        <v>1</v>
      </c>
      <c r="Y260">
        <f t="shared" si="91"/>
        <v>0</v>
      </c>
      <c r="Z260">
        <v>4</v>
      </c>
      <c r="AA260">
        <f t="shared" si="92"/>
        <v>0.75</v>
      </c>
      <c r="AB260" t="s">
        <v>46</v>
      </c>
      <c r="AC260">
        <f t="shared" si="93"/>
        <v>0</v>
      </c>
      <c r="AD260">
        <f t="shared" si="94"/>
        <v>0</v>
      </c>
      <c r="AE260" t="s">
        <v>41</v>
      </c>
      <c r="AF260">
        <f>IF(AE260="website",1,0)</f>
        <v>1</v>
      </c>
    </row>
    <row r="261" spans="1:32">
      <c r="A261" t="s">
        <v>767</v>
      </c>
      <c r="B261" t="s">
        <v>33</v>
      </c>
      <c r="C261" s="3">
        <f t="shared" si="76"/>
        <v>0</v>
      </c>
      <c r="D261">
        <f t="shared" si="77"/>
        <v>1</v>
      </c>
      <c r="E261" t="s">
        <v>768</v>
      </c>
      <c r="F261" t="s">
        <v>669</v>
      </c>
      <c r="G261" s="1">
        <v>17018</v>
      </c>
      <c r="H261" s="2">
        <f t="shared" ca="1" si="78"/>
        <v>80</v>
      </c>
      <c r="I261" s="2">
        <f t="shared" ca="1" si="79"/>
        <v>0.7857142857142857</v>
      </c>
      <c r="J261" t="s">
        <v>36</v>
      </c>
      <c r="K261" t="s">
        <v>37</v>
      </c>
      <c r="L261">
        <f t="shared" si="80"/>
        <v>1</v>
      </c>
      <c r="M261">
        <f t="shared" si="81"/>
        <v>0</v>
      </c>
      <c r="N261">
        <f t="shared" si="82"/>
        <v>0</v>
      </c>
      <c r="O261" t="s">
        <v>124</v>
      </c>
      <c r="P261">
        <f t="shared" si="83"/>
        <v>0</v>
      </c>
      <c r="Q261">
        <f t="shared" si="84"/>
        <v>0</v>
      </c>
      <c r="R261">
        <f t="shared" si="85"/>
        <v>0</v>
      </c>
      <c r="S261">
        <f t="shared" si="86"/>
        <v>0</v>
      </c>
      <c r="T261">
        <f t="shared" si="87"/>
        <v>0</v>
      </c>
      <c r="U261">
        <f t="shared" si="88"/>
        <v>1</v>
      </c>
      <c r="V261">
        <f t="shared" si="89"/>
        <v>0</v>
      </c>
      <c r="W261" t="s">
        <v>58</v>
      </c>
      <c r="X261">
        <f t="shared" si="90"/>
        <v>0</v>
      </c>
      <c r="Y261">
        <f t="shared" si="91"/>
        <v>1</v>
      </c>
      <c r="Z261">
        <v>3</v>
      </c>
      <c r="AA261">
        <f t="shared" si="92"/>
        <v>0.5</v>
      </c>
      <c r="AB261" t="s">
        <v>46</v>
      </c>
      <c r="AC261">
        <f t="shared" si="93"/>
        <v>0</v>
      </c>
      <c r="AD261">
        <f t="shared" si="94"/>
        <v>0</v>
      </c>
      <c r="AE261" t="s">
        <v>41</v>
      </c>
      <c r="AF261">
        <f>IF(AE261="website",1,0)</f>
        <v>1</v>
      </c>
    </row>
    <row r="262" spans="1:32">
      <c r="A262" t="s">
        <v>769</v>
      </c>
      <c r="B262" t="s">
        <v>55</v>
      </c>
      <c r="C262" s="3">
        <f t="shared" si="76"/>
        <v>1</v>
      </c>
      <c r="D262">
        <f t="shared" si="77"/>
        <v>0</v>
      </c>
      <c r="E262" t="s">
        <v>770</v>
      </c>
      <c r="F262" t="s">
        <v>57</v>
      </c>
      <c r="G262" s="1">
        <v>31180</v>
      </c>
      <c r="H262" s="2">
        <f t="shared" ca="1" si="78"/>
        <v>41</v>
      </c>
      <c r="I262" s="2">
        <f t="shared" ca="1" si="79"/>
        <v>0.22857142857142856</v>
      </c>
      <c r="J262" t="s">
        <v>36</v>
      </c>
      <c r="K262" t="s">
        <v>37</v>
      </c>
      <c r="L262">
        <f t="shared" si="80"/>
        <v>1</v>
      </c>
      <c r="M262">
        <f t="shared" si="81"/>
        <v>0</v>
      </c>
      <c r="N262">
        <f t="shared" si="82"/>
        <v>0</v>
      </c>
      <c r="O262" t="s">
        <v>600</v>
      </c>
      <c r="P262">
        <f t="shared" si="83"/>
        <v>0</v>
      </c>
      <c r="Q262">
        <f t="shared" si="84"/>
        <v>0</v>
      </c>
      <c r="R262">
        <f t="shared" si="85"/>
        <v>0</v>
      </c>
      <c r="S262">
        <f t="shared" si="86"/>
        <v>0</v>
      </c>
      <c r="T262">
        <f t="shared" si="87"/>
        <v>0</v>
      </c>
      <c r="U262">
        <f t="shared" si="88"/>
        <v>0</v>
      </c>
      <c r="V262">
        <f t="shared" si="89"/>
        <v>0</v>
      </c>
      <c r="W262" t="s">
        <v>58</v>
      </c>
      <c r="X262">
        <f t="shared" si="90"/>
        <v>0</v>
      </c>
      <c r="Y262">
        <f t="shared" si="91"/>
        <v>1</v>
      </c>
      <c r="Z262">
        <v>4</v>
      </c>
      <c r="AA262">
        <f t="shared" si="92"/>
        <v>0.75</v>
      </c>
      <c r="AB262" t="s">
        <v>40</v>
      </c>
      <c r="AC262">
        <f t="shared" si="93"/>
        <v>0</v>
      </c>
      <c r="AD262">
        <f t="shared" si="94"/>
        <v>0</v>
      </c>
      <c r="AE262" t="s">
        <v>41</v>
      </c>
      <c r="AF262">
        <f>IF(AE262="website",1,0)</f>
        <v>1</v>
      </c>
    </row>
    <row r="263" spans="1:32">
      <c r="A263" t="s">
        <v>771</v>
      </c>
      <c r="B263" t="s">
        <v>33</v>
      </c>
      <c r="C263" s="3">
        <f t="shared" si="76"/>
        <v>0</v>
      </c>
      <c r="D263">
        <f t="shared" si="77"/>
        <v>1</v>
      </c>
      <c r="E263" t="s">
        <v>772</v>
      </c>
      <c r="F263" t="s">
        <v>773</v>
      </c>
      <c r="G263" s="1">
        <v>17312</v>
      </c>
      <c r="H263" s="2">
        <f t="shared" ca="1" si="78"/>
        <v>79</v>
      </c>
      <c r="I263" s="2">
        <f t="shared" ca="1" si="79"/>
        <v>0.77142857142857146</v>
      </c>
      <c r="J263" t="s">
        <v>45</v>
      </c>
      <c r="K263" t="s">
        <v>37</v>
      </c>
      <c r="L263">
        <f t="shared" si="80"/>
        <v>1</v>
      </c>
      <c r="M263">
        <f t="shared" si="81"/>
        <v>0</v>
      </c>
      <c r="N263">
        <f t="shared" si="82"/>
        <v>0</v>
      </c>
      <c r="O263" t="s">
        <v>76</v>
      </c>
      <c r="P263">
        <f t="shared" si="83"/>
        <v>0</v>
      </c>
      <c r="Q263">
        <f t="shared" si="84"/>
        <v>1</v>
      </c>
      <c r="R263">
        <f t="shared" si="85"/>
        <v>0</v>
      </c>
      <c r="S263">
        <f t="shared" si="86"/>
        <v>0</v>
      </c>
      <c r="T263">
        <f t="shared" si="87"/>
        <v>0</v>
      </c>
      <c r="U263">
        <f t="shared" si="88"/>
        <v>0</v>
      </c>
      <c r="V263">
        <f t="shared" si="89"/>
        <v>0</v>
      </c>
      <c r="W263" t="s">
        <v>39</v>
      </c>
      <c r="X263">
        <f t="shared" si="90"/>
        <v>1</v>
      </c>
      <c r="Y263">
        <f t="shared" si="91"/>
        <v>0</v>
      </c>
      <c r="Z263">
        <v>2</v>
      </c>
      <c r="AA263">
        <f t="shared" si="92"/>
        <v>0.25</v>
      </c>
      <c r="AB263" t="s">
        <v>46</v>
      </c>
      <c r="AC263">
        <f t="shared" si="93"/>
        <v>0</v>
      </c>
      <c r="AD263">
        <f t="shared" si="94"/>
        <v>0</v>
      </c>
      <c r="AE263" t="s">
        <v>41</v>
      </c>
      <c r="AF263">
        <f>IF(AE263="website",1,0)</f>
        <v>1</v>
      </c>
    </row>
    <row r="264" spans="1:32">
      <c r="A264" t="s">
        <v>774</v>
      </c>
      <c r="B264" t="s">
        <v>33</v>
      </c>
      <c r="C264" s="3">
        <f t="shared" si="76"/>
        <v>0</v>
      </c>
      <c r="D264">
        <f t="shared" si="77"/>
        <v>1</v>
      </c>
      <c r="E264" t="s">
        <v>761</v>
      </c>
      <c r="F264" t="s">
        <v>714</v>
      </c>
      <c r="G264" s="1">
        <v>29800</v>
      </c>
      <c r="H264" s="2">
        <f t="shared" ca="1" si="78"/>
        <v>45</v>
      </c>
      <c r="I264" s="2">
        <f t="shared" ca="1" si="79"/>
        <v>0.2857142857142857</v>
      </c>
      <c r="J264" t="s">
        <v>45</v>
      </c>
      <c r="K264" t="s">
        <v>37</v>
      </c>
      <c r="L264">
        <f t="shared" si="80"/>
        <v>1</v>
      </c>
      <c r="M264">
        <f t="shared" si="81"/>
        <v>0</v>
      </c>
      <c r="N264">
        <f t="shared" si="82"/>
        <v>0</v>
      </c>
      <c r="O264" t="s">
        <v>124</v>
      </c>
      <c r="P264">
        <f t="shared" si="83"/>
        <v>0</v>
      </c>
      <c r="Q264">
        <f t="shared" si="84"/>
        <v>0</v>
      </c>
      <c r="R264">
        <f t="shared" si="85"/>
        <v>0</v>
      </c>
      <c r="S264">
        <f t="shared" si="86"/>
        <v>0</v>
      </c>
      <c r="T264">
        <f t="shared" si="87"/>
        <v>0</v>
      </c>
      <c r="U264">
        <f t="shared" si="88"/>
        <v>1</v>
      </c>
      <c r="V264">
        <f t="shared" si="89"/>
        <v>0</v>
      </c>
      <c r="W264" t="s">
        <v>58</v>
      </c>
      <c r="X264">
        <f t="shared" si="90"/>
        <v>0</v>
      </c>
      <c r="Y264">
        <f t="shared" si="91"/>
        <v>1</v>
      </c>
      <c r="Z264">
        <v>2</v>
      </c>
      <c r="AA264">
        <f t="shared" si="92"/>
        <v>0.25</v>
      </c>
      <c r="AB264" t="s">
        <v>40</v>
      </c>
      <c r="AC264">
        <f t="shared" si="93"/>
        <v>0</v>
      </c>
      <c r="AD264">
        <f t="shared" si="94"/>
        <v>0</v>
      </c>
      <c r="AE264" t="s">
        <v>41</v>
      </c>
      <c r="AF264">
        <f>IF(AE264="website",1,0)</f>
        <v>1</v>
      </c>
    </row>
    <row r="265" spans="1:32">
      <c r="A265" t="s">
        <v>775</v>
      </c>
      <c r="B265" t="s">
        <v>33</v>
      </c>
      <c r="C265" s="3">
        <f t="shared" si="76"/>
        <v>0</v>
      </c>
      <c r="D265">
        <f t="shared" si="77"/>
        <v>1</v>
      </c>
      <c r="E265" t="s">
        <v>776</v>
      </c>
      <c r="F265" t="s">
        <v>728</v>
      </c>
      <c r="G265" s="1">
        <v>33859</v>
      </c>
      <c r="H265" s="2">
        <f t="shared" ca="1" si="78"/>
        <v>34</v>
      </c>
      <c r="I265" s="2">
        <f t="shared" ca="1" si="79"/>
        <v>0.12857142857142856</v>
      </c>
      <c r="J265" t="s">
        <v>36</v>
      </c>
      <c r="K265" t="s">
        <v>37</v>
      </c>
      <c r="L265">
        <f t="shared" si="80"/>
        <v>1</v>
      </c>
      <c r="M265">
        <f t="shared" si="81"/>
        <v>0</v>
      </c>
      <c r="N265">
        <f t="shared" si="82"/>
        <v>0</v>
      </c>
      <c r="O265" t="s">
        <v>137</v>
      </c>
      <c r="P265">
        <f t="shared" si="83"/>
        <v>0</v>
      </c>
      <c r="Q265">
        <f t="shared" si="84"/>
        <v>0</v>
      </c>
      <c r="R265">
        <f t="shared" si="85"/>
        <v>0</v>
      </c>
      <c r="S265">
        <f t="shared" si="86"/>
        <v>0</v>
      </c>
      <c r="T265">
        <f t="shared" si="87"/>
        <v>0</v>
      </c>
      <c r="U265">
        <f t="shared" si="88"/>
        <v>0</v>
      </c>
      <c r="V265">
        <f t="shared" si="89"/>
        <v>0</v>
      </c>
      <c r="W265" t="s">
        <v>39</v>
      </c>
      <c r="X265">
        <f t="shared" si="90"/>
        <v>1</v>
      </c>
      <c r="Y265">
        <f t="shared" si="91"/>
        <v>0</v>
      </c>
      <c r="Z265">
        <v>2</v>
      </c>
      <c r="AA265">
        <f t="shared" si="92"/>
        <v>0.25</v>
      </c>
      <c r="AB265" t="s">
        <v>40</v>
      </c>
      <c r="AC265">
        <f t="shared" si="93"/>
        <v>1</v>
      </c>
      <c r="AD265">
        <f t="shared" si="94"/>
        <v>0</v>
      </c>
      <c r="AE265" t="s">
        <v>50</v>
      </c>
      <c r="AF265">
        <f>IF(AE265="website",1,0)</f>
        <v>0</v>
      </c>
    </row>
    <row r="266" spans="1:32">
      <c r="A266" t="s">
        <v>777</v>
      </c>
      <c r="B266" t="s">
        <v>55</v>
      </c>
      <c r="C266" s="3">
        <f t="shared" si="76"/>
        <v>1</v>
      </c>
      <c r="D266">
        <f t="shared" si="77"/>
        <v>0</v>
      </c>
      <c r="E266" t="s">
        <v>770</v>
      </c>
      <c r="F266" t="s">
        <v>57</v>
      </c>
      <c r="G266" s="1">
        <v>24575</v>
      </c>
      <c r="H266" s="2">
        <f t="shared" ca="1" si="78"/>
        <v>59</v>
      </c>
      <c r="I266" s="2">
        <f t="shared" ca="1" si="79"/>
        <v>0.48571428571428571</v>
      </c>
      <c r="J266" t="s">
        <v>45</v>
      </c>
      <c r="K266" t="s">
        <v>153</v>
      </c>
      <c r="L266">
        <f t="shared" si="80"/>
        <v>0</v>
      </c>
      <c r="M266">
        <f t="shared" si="81"/>
        <v>0</v>
      </c>
      <c r="N266">
        <f t="shared" si="82"/>
        <v>0</v>
      </c>
      <c r="O266" t="s">
        <v>778</v>
      </c>
      <c r="P266">
        <f t="shared" si="83"/>
        <v>0</v>
      </c>
      <c r="Q266">
        <f t="shared" si="84"/>
        <v>0</v>
      </c>
      <c r="R266">
        <f t="shared" si="85"/>
        <v>0</v>
      </c>
      <c r="S266">
        <f t="shared" si="86"/>
        <v>0</v>
      </c>
      <c r="T266">
        <f t="shared" si="87"/>
        <v>0</v>
      </c>
      <c r="U266">
        <f t="shared" si="88"/>
        <v>0</v>
      </c>
      <c r="V266">
        <f t="shared" si="89"/>
        <v>0</v>
      </c>
      <c r="W266" t="s">
        <v>39</v>
      </c>
      <c r="X266">
        <f t="shared" si="90"/>
        <v>1</v>
      </c>
      <c r="Y266">
        <f t="shared" si="91"/>
        <v>0</v>
      </c>
      <c r="Z266">
        <v>1</v>
      </c>
      <c r="AA266">
        <f t="shared" si="92"/>
        <v>0</v>
      </c>
      <c r="AB266" t="s">
        <v>46</v>
      </c>
      <c r="AC266">
        <f t="shared" si="93"/>
        <v>0</v>
      </c>
      <c r="AD266">
        <f t="shared" si="94"/>
        <v>0</v>
      </c>
      <c r="AE266" t="s">
        <v>41</v>
      </c>
      <c r="AF266">
        <f>IF(AE266="website",1,0)</f>
        <v>1</v>
      </c>
    </row>
    <row r="267" spans="1:32">
      <c r="A267" t="s">
        <v>779</v>
      </c>
      <c r="B267" t="s">
        <v>33</v>
      </c>
      <c r="C267" s="3">
        <f t="shared" si="76"/>
        <v>0</v>
      </c>
      <c r="D267">
        <f t="shared" si="77"/>
        <v>1</v>
      </c>
      <c r="E267" t="s">
        <v>780</v>
      </c>
      <c r="F267" t="s">
        <v>703</v>
      </c>
      <c r="G267" s="1">
        <v>28182</v>
      </c>
      <c r="H267" s="2">
        <f t="shared" ca="1" si="78"/>
        <v>49</v>
      </c>
      <c r="I267" s="2">
        <f t="shared" ca="1" si="79"/>
        <v>0.34285714285714286</v>
      </c>
      <c r="J267" t="s">
        <v>45</v>
      </c>
      <c r="K267" t="s">
        <v>37</v>
      </c>
      <c r="L267">
        <f t="shared" si="80"/>
        <v>1</v>
      </c>
      <c r="M267">
        <f t="shared" si="81"/>
        <v>0</v>
      </c>
      <c r="N267">
        <f t="shared" si="82"/>
        <v>0</v>
      </c>
      <c r="O267" t="s">
        <v>38</v>
      </c>
      <c r="P267">
        <f t="shared" si="83"/>
        <v>1</v>
      </c>
      <c r="Q267">
        <f t="shared" si="84"/>
        <v>0</v>
      </c>
      <c r="R267">
        <f t="shared" si="85"/>
        <v>0</v>
      </c>
      <c r="S267">
        <f t="shared" si="86"/>
        <v>0</v>
      </c>
      <c r="T267">
        <f t="shared" si="87"/>
        <v>0</v>
      </c>
      <c r="U267">
        <f t="shared" si="88"/>
        <v>0</v>
      </c>
      <c r="V267">
        <f t="shared" si="89"/>
        <v>0</v>
      </c>
      <c r="W267" t="s">
        <v>39</v>
      </c>
      <c r="X267">
        <f t="shared" si="90"/>
        <v>1</v>
      </c>
      <c r="Y267">
        <f t="shared" si="91"/>
        <v>0</v>
      </c>
      <c r="Z267">
        <v>5</v>
      </c>
      <c r="AA267">
        <f t="shared" si="92"/>
        <v>1</v>
      </c>
      <c r="AB267" t="s">
        <v>40</v>
      </c>
      <c r="AC267">
        <f t="shared" si="93"/>
        <v>1</v>
      </c>
      <c r="AD267">
        <f t="shared" si="94"/>
        <v>0</v>
      </c>
      <c r="AE267" t="s">
        <v>50</v>
      </c>
      <c r="AF267">
        <f>IF(AE267="website",1,0)</f>
        <v>0</v>
      </c>
    </row>
    <row r="268" spans="1:32">
      <c r="A268" t="s">
        <v>781</v>
      </c>
      <c r="B268" t="s">
        <v>33</v>
      </c>
      <c r="C268" s="3">
        <f t="shared" si="76"/>
        <v>0</v>
      </c>
      <c r="D268">
        <f t="shared" si="77"/>
        <v>1</v>
      </c>
      <c r="E268" t="s">
        <v>782</v>
      </c>
      <c r="F268" t="s">
        <v>339</v>
      </c>
      <c r="G268" s="1">
        <v>17849</v>
      </c>
      <c r="H268" s="2">
        <f t="shared" ca="1" si="78"/>
        <v>77</v>
      </c>
      <c r="I268" s="2">
        <f t="shared" ca="1" si="79"/>
        <v>0.74285714285714288</v>
      </c>
      <c r="J268" t="s">
        <v>36</v>
      </c>
      <c r="K268" t="s">
        <v>37</v>
      </c>
      <c r="L268">
        <f t="shared" si="80"/>
        <v>1</v>
      </c>
      <c r="M268">
        <f t="shared" si="81"/>
        <v>0</v>
      </c>
      <c r="N268">
        <f t="shared" si="82"/>
        <v>0</v>
      </c>
      <c r="O268" t="s">
        <v>183</v>
      </c>
      <c r="P268">
        <f t="shared" si="83"/>
        <v>0</v>
      </c>
      <c r="Q268">
        <f t="shared" si="84"/>
        <v>0</v>
      </c>
      <c r="R268">
        <f t="shared" si="85"/>
        <v>0</v>
      </c>
      <c r="S268">
        <f t="shared" si="86"/>
        <v>0</v>
      </c>
      <c r="T268">
        <f t="shared" si="87"/>
        <v>0</v>
      </c>
      <c r="U268">
        <f t="shared" si="88"/>
        <v>0</v>
      </c>
      <c r="V268">
        <f t="shared" si="89"/>
        <v>0</v>
      </c>
      <c r="W268" t="s">
        <v>39</v>
      </c>
      <c r="X268">
        <f t="shared" si="90"/>
        <v>1</v>
      </c>
      <c r="Y268">
        <f t="shared" si="91"/>
        <v>0</v>
      </c>
      <c r="Z268">
        <v>4</v>
      </c>
      <c r="AA268">
        <f t="shared" si="92"/>
        <v>0.75</v>
      </c>
      <c r="AB268" t="s">
        <v>40</v>
      </c>
      <c r="AC268">
        <f t="shared" si="93"/>
        <v>1</v>
      </c>
      <c r="AD268">
        <f t="shared" si="94"/>
        <v>0</v>
      </c>
      <c r="AE268" t="s">
        <v>50</v>
      </c>
      <c r="AF268">
        <f>IF(AE268="website",1,0)</f>
        <v>0</v>
      </c>
    </row>
    <row r="269" spans="1:32">
      <c r="A269" t="s">
        <v>783</v>
      </c>
      <c r="B269" t="s">
        <v>33</v>
      </c>
      <c r="C269" s="3">
        <f t="shared" si="76"/>
        <v>0</v>
      </c>
      <c r="D269">
        <f t="shared" si="77"/>
        <v>1</v>
      </c>
      <c r="E269" t="s">
        <v>784</v>
      </c>
      <c r="F269" t="s">
        <v>568</v>
      </c>
      <c r="G269" s="1">
        <v>21602</v>
      </c>
      <c r="H269" s="2">
        <f t="shared" ca="1" si="78"/>
        <v>67</v>
      </c>
      <c r="I269" s="2">
        <f t="shared" ca="1" si="79"/>
        <v>0.6</v>
      </c>
      <c r="J269" t="s">
        <v>36</v>
      </c>
      <c r="K269" t="s">
        <v>37</v>
      </c>
      <c r="L269">
        <f t="shared" si="80"/>
        <v>1</v>
      </c>
      <c r="M269">
        <f t="shared" si="81"/>
        <v>0</v>
      </c>
      <c r="N269">
        <f t="shared" si="82"/>
        <v>0</v>
      </c>
      <c r="O269" t="s">
        <v>785</v>
      </c>
      <c r="P269">
        <f t="shared" si="83"/>
        <v>0</v>
      </c>
      <c r="Q269">
        <f t="shared" si="84"/>
        <v>0</v>
      </c>
      <c r="R269">
        <f t="shared" si="85"/>
        <v>0</v>
      </c>
      <c r="S269">
        <f t="shared" si="86"/>
        <v>0</v>
      </c>
      <c r="T269">
        <f t="shared" si="87"/>
        <v>0</v>
      </c>
      <c r="U269">
        <f t="shared" si="88"/>
        <v>0</v>
      </c>
      <c r="V269">
        <f t="shared" si="89"/>
        <v>0</v>
      </c>
      <c r="W269" t="s">
        <v>58</v>
      </c>
      <c r="X269">
        <f t="shared" si="90"/>
        <v>0</v>
      </c>
      <c r="Y269">
        <f t="shared" si="91"/>
        <v>1</v>
      </c>
      <c r="Z269">
        <v>3</v>
      </c>
      <c r="AA269">
        <f t="shared" si="92"/>
        <v>0.5</v>
      </c>
      <c r="AB269" t="s">
        <v>46</v>
      </c>
      <c r="AC269">
        <f t="shared" si="93"/>
        <v>0</v>
      </c>
      <c r="AD269">
        <f t="shared" si="94"/>
        <v>0</v>
      </c>
      <c r="AE269" t="s">
        <v>41</v>
      </c>
      <c r="AF269">
        <f>IF(AE269="website",1,0)</f>
        <v>1</v>
      </c>
    </row>
    <row r="270" spans="1:32">
      <c r="A270" t="s">
        <v>786</v>
      </c>
      <c r="B270" t="s">
        <v>33</v>
      </c>
      <c r="C270" s="3">
        <f t="shared" si="76"/>
        <v>0</v>
      </c>
      <c r="D270">
        <f t="shared" si="77"/>
        <v>1</v>
      </c>
      <c r="E270" t="s">
        <v>787</v>
      </c>
      <c r="F270" t="s">
        <v>372</v>
      </c>
      <c r="G270" s="1">
        <v>25238</v>
      </c>
      <c r="H270" s="2">
        <f t="shared" ca="1" si="78"/>
        <v>57</v>
      </c>
      <c r="I270" s="2">
        <f t="shared" ca="1" si="79"/>
        <v>0.45714285714285713</v>
      </c>
      <c r="J270" t="s">
        <v>45</v>
      </c>
      <c r="K270" t="s">
        <v>37</v>
      </c>
      <c r="L270">
        <f t="shared" si="80"/>
        <v>1</v>
      </c>
      <c r="M270">
        <f t="shared" si="81"/>
        <v>0</v>
      </c>
      <c r="N270">
        <f t="shared" si="82"/>
        <v>0</v>
      </c>
      <c r="O270" t="s">
        <v>717</v>
      </c>
      <c r="P270">
        <f t="shared" si="83"/>
        <v>0</v>
      </c>
      <c r="Q270">
        <f t="shared" si="84"/>
        <v>0</v>
      </c>
      <c r="R270">
        <f t="shared" si="85"/>
        <v>0</v>
      </c>
      <c r="S270">
        <f t="shared" si="86"/>
        <v>0</v>
      </c>
      <c r="T270">
        <f t="shared" si="87"/>
        <v>0</v>
      </c>
      <c r="U270">
        <f t="shared" si="88"/>
        <v>0</v>
      </c>
      <c r="V270">
        <f t="shared" si="89"/>
        <v>0</v>
      </c>
      <c r="W270" t="s">
        <v>39</v>
      </c>
      <c r="X270">
        <f t="shared" si="90"/>
        <v>1</v>
      </c>
      <c r="Y270">
        <f t="shared" si="91"/>
        <v>0</v>
      </c>
      <c r="Z270">
        <v>2</v>
      </c>
      <c r="AA270">
        <f t="shared" si="92"/>
        <v>0.25</v>
      </c>
      <c r="AB270" t="s">
        <v>46</v>
      </c>
      <c r="AC270">
        <f t="shared" si="93"/>
        <v>1</v>
      </c>
      <c r="AD270">
        <f t="shared" si="94"/>
        <v>0</v>
      </c>
      <c r="AE270" t="s">
        <v>50</v>
      </c>
      <c r="AF270">
        <f>IF(AE270="website",1,0)</f>
        <v>0</v>
      </c>
    </row>
    <row r="271" spans="1:32">
      <c r="A271" t="s">
        <v>788</v>
      </c>
      <c r="B271" t="s">
        <v>33</v>
      </c>
      <c r="C271" s="3">
        <f t="shared" si="76"/>
        <v>0</v>
      </c>
      <c r="D271">
        <f t="shared" si="77"/>
        <v>1</v>
      </c>
      <c r="E271" t="s">
        <v>712</v>
      </c>
      <c r="F271" t="s">
        <v>720</v>
      </c>
      <c r="G271" s="1">
        <v>16274</v>
      </c>
      <c r="H271" s="2">
        <f t="shared" ca="1" si="78"/>
        <v>82</v>
      </c>
      <c r="I271" s="2">
        <f t="shared" ca="1" si="79"/>
        <v>0.81428571428571428</v>
      </c>
      <c r="J271" t="s">
        <v>36</v>
      </c>
      <c r="K271" t="s">
        <v>37</v>
      </c>
      <c r="L271">
        <f t="shared" si="80"/>
        <v>1</v>
      </c>
      <c r="M271">
        <f t="shared" si="81"/>
        <v>0</v>
      </c>
      <c r="N271">
        <f t="shared" si="82"/>
        <v>0</v>
      </c>
      <c r="O271" t="s">
        <v>600</v>
      </c>
      <c r="P271">
        <f t="shared" si="83"/>
        <v>0</v>
      </c>
      <c r="Q271">
        <f t="shared" si="84"/>
        <v>0</v>
      </c>
      <c r="R271">
        <f t="shared" si="85"/>
        <v>0</v>
      </c>
      <c r="S271">
        <f t="shared" si="86"/>
        <v>0</v>
      </c>
      <c r="T271">
        <f t="shared" si="87"/>
        <v>0</v>
      </c>
      <c r="U271">
        <f t="shared" si="88"/>
        <v>0</v>
      </c>
      <c r="V271">
        <f t="shared" si="89"/>
        <v>0</v>
      </c>
      <c r="W271" t="s">
        <v>39</v>
      </c>
      <c r="X271">
        <f t="shared" si="90"/>
        <v>1</v>
      </c>
      <c r="Y271">
        <f t="shared" si="91"/>
        <v>0</v>
      </c>
      <c r="Z271">
        <v>5</v>
      </c>
      <c r="AA271">
        <f t="shared" si="92"/>
        <v>1</v>
      </c>
      <c r="AB271" t="s">
        <v>46</v>
      </c>
      <c r="AC271">
        <f t="shared" si="93"/>
        <v>0</v>
      </c>
      <c r="AD271">
        <f t="shared" si="94"/>
        <v>0</v>
      </c>
      <c r="AE271" t="s">
        <v>41</v>
      </c>
      <c r="AF271">
        <f>IF(AE271="website",1,0)</f>
        <v>1</v>
      </c>
    </row>
    <row r="272" spans="1:32">
      <c r="A272" t="s">
        <v>789</v>
      </c>
      <c r="B272" t="s">
        <v>33</v>
      </c>
      <c r="C272" s="3">
        <f t="shared" si="76"/>
        <v>0</v>
      </c>
      <c r="D272">
        <f t="shared" si="77"/>
        <v>1</v>
      </c>
      <c r="E272" t="s">
        <v>584</v>
      </c>
      <c r="F272" t="s">
        <v>716</v>
      </c>
      <c r="G272" s="1">
        <v>26417</v>
      </c>
      <c r="H272" s="2">
        <f t="shared" ca="1" si="78"/>
        <v>54</v>
      </c>
      <c r="I272" s="2">
        <f t="shared" ca="1" si="79"/>
        <v>0.41428571428571431</v>
      </c>
      <c r="J272" t="s">
        <v>36</v>
      </c>
      <c r="K272" t="s">
        <v>37</v>
      </c>
      <c r="L272">
        <f t="shared" si="80"/>
        <v>1</v>
      </c>
      <c r="M272">
        <f t="shared" si="81"/>
        <v>0</v>
      </c>
      <c r="N272">
        <f t="shared" si="82"/>
        <v>0</v>
      </c>
      <c r="O272" t="s">
        <v>38</v>
      </c>
      <c r="P272">
        <f t="shared" si="83"/>
        <v>1</v>
      </c>
      <c r="Q272">
        <f t="shared" si="84"/>
        <v>0</v>
      </c>
      <c r="R272">
        <f t="shared" si="85"/>
        <v>0</v>
      </c>
      <c r="S272">
        <f t="shared" si="86"/>
        <v>0</v>
      </c>
      <c r="T272">
        <f t="shared" si="87"/>
        <v>0</v>
      </c>
      <c r="U272">
        <f t="shared" si="88"/>
        <v>0</v>
      </c>
      <c r="V272">
        <f t="shared" si="89"/>
        <v>0</v>
      </c>
      <c r="W272" t="s">
        <v>58</v>
      </c>
      <c r="X272">
        <f t="shared" si="90"/>
        <v>0</v>
      </c>
      <c r="Y272">
        <f t="shared" si="91"/>
        <v>1</v>
      </c>
      <c r="Z272">
        <v>3</v>
      </c>
      <c r="AA272">
        <f t="shared" si="92"/>
        <v>0.5</v>
      </c>
      <c r="AB272" t="s">
        <v>46</v>
      </c>
      <c r="AC272">
        <f t="shared" si="93"/>
        <v>1</v>
      </c>
      <c r="AD272">
        <f t="shared" si="94"/>
        <v>0</v>
      </c>
      <c r="AE272" t="s">
        <v>50</v>
      </c>
      <c r="AF272">
        <f>IF(AE272="website",1,0)</f>
        <v>0</v>
      </c>
    </row>
    <row r="273" spans="1:32">
      <c r="A273" t="s">
        <v>790</v>
      </c>
      <c r="B273" t="s">
        <v>33</v>
      </c>
      <c r="C273" s="3">
        <f t="shared" si="76"/>
        <v>0</v>
      </c>
      <c r="D273">
        <f t="shared" si="77"/>
        <v>1</v>
      </c>
      <c r="E273" t="s">
        <v>556</v>
      </c>
      <c r="F273" t="s">
        <v>554</v>
      </c>
      <c r="G273" s="1">
        <v>34184</v>
      </c>
      <c r="H273" s="2">
        <f t="shared" ca="1" si="78"/>
        <v>33</v>
      </c>
      <c r="I273" s="2">
        <f t="shared" ca="1" si="79"/>
        <v>0.11428571428571428</v>
      </c>
      <c r="J273" t="s">
        <v>36</v>
      </c>
      <c r="K273" t="s">
        <v>248</v>
      </c>
      <c r="L273">
        <f t="shared" si="80"/>
        <v>0</v>
      </c>
      <c r="M273">
        <f t="shared" si="81"/>
        <v>0</v>
      </c>
      <c r="N273">
        <f t="shared" si="82"/>
        <v>0</v>
      </c>
      <c r="O273" t="s">
        <v>411</v>
      </c>
      <c r="P273">
        <f t="shared" si="83"/>
        <v>0</v>
      </c>
      <c r="Q273">
        <f t="shared" si="84"/>
        <v>0</v>
      </c>
      <c r="R273">
        <f t="shared" si="85"/>
        <v>0</v>
      </c>
      <c r="S273">
        <f t="shared" si="86"/>
        <v>0</v>
      </c>
      <c r="T273">
        <f t="shared" si="87"/>
        <v>0</v>
      </c>
      <c r="U273">
        <f t="shared" si="88"/>
        <v>0</v>
      </c>
      <c r="V273">
        <f t="shared" si="89"/>
        <v>0</v>
      </c>
      <c r="W273" t="s">
        <v>39</v>
      </c>
      <c r="X273">
        <f t="shared" si="90"/>
        <v>1</v>
      </c>
      <c r="Y273">
        <f t="shared" si="91"/>
        <v>0</v>
      </c>
      <c r="Z273">
        <v>5</v>
      </c>
      <c r="AA273">
        <f t="shared" si="92"/>
        <v>1</v>
      </c>
      <c r="AB273" t="s">
        <v>40</v>
      </c>
      <c r="AC273">
        <f t="shared" si="93"/>
        <v>0</v>
      </c>
      <c r="AD273">
        <f t="shared" si="94"/>
        <v>0</v>
      </c>
      <c r="AE273" t="s">
        <v>41</v>
      </c>
      <c r="AF273">
        <f>IF(AE273="website",1,0)</f>
        <v>1</v>
      </c>
    </row>
    <row r="274" spans="1:32">
      <c r="A274" t="s">
        <v>791</v>
      </c>
      <c r="B274" t="s">
        <v>33</v>
      </c>
      <c r="C274" s="3">
        <f t="shared" si="76"/>
        <v>0</v>
      </c>
      <c r="D274">
        <f t="shared" si="77"/>
        <v>1</v>
      </c>
      <c r="E274" t="s">
        <v>792</v>
      </c>
      <c r="F274" t="s">
        <v>730</v>
      </c>
      <c r="G274" s="1">
        <v>31835</v>
      </c>
      <c r="H274" s="2">
        <f t="shared" ca="1" si="78"/>
        <v>39</v>
      </c>
      <c r="I274" s="2">
        <f t="shared" ca="1" si="79"/>
        <v>0.2</v>
      </c>
      <c r="J274" t="s">
        <v>45</v>
      </c>
      <c r="K274" t="s">
        <v>276</v>
      </c>
      <c r="L274">
        <f t="shared" si="80"/>
        <v>0</v>
      </c>
      <c r="M274">
        <f t="shared" si="81"/>
        <v>0</v>
      </c>
      <c r="N274">
        <f t="shared" si="82"/>
        <v>0</v>
      </c>
      <c r="O274" t="s">
        <v>793</v>
      </c>
      <c r="P274">
        <f t="shared" si="83"/>
        <v>0</v>
      </c>
      <c r="Q274">
        <f t="shared" si="84"/>
        <v>0</v>
      </c>
      <c r="R274">
        <f t="shared" si="85"/>
        <v>0</v>
      </c>
      <c r="S274">
        <f t="shared" si="86"/>
        <v>0</v>
      </c>
      <c r="T274">
        <f t="shared" si="87"/>
        <v>0</v>
      </c>
      <c r="U274">
        <f t="shared" si="88"/>
        <v>0</v>
      </c>
      <c r="V274">
        <f t="shared" si="89"/>
        <v>0</v>
      </c>
      <c r="W274" t="s">
        <v>58</v>
      </c>
      <c r="X274">
        <f t="shared" si="90"/>
        <v>0</v>
      </c>
      <c r="Y274">
        <f t="shared" si="91"/>
        <v>1</v>
      </c>
      <c r="Z274">
        <v>2</v>
      </c>
      <c r="AA274">
        <f t="shared" si="92"/>
        <v>0.25</v>
      </c>
      <c r="AB274" t="s">
        <v>46</v>
      </c>
      <c r="AC274">
        <f t="shared" si="93"/>
        <v>0</v>
      </c>
      <c r="AD274">
        <f t="shared" si="94"/>
        <v>0</v>
      </c>
      <c r="AE274" t="s">
        <v>41</v>
      </c>
      <c r="AF274">
        <f>IF(AE274="website",1,0)</f>
        <v>1</v>
      </c>
    </row>
    <row r="275" spans="1:32">
      <c r="A275" t="s">
        <v>794</v>
      </c>
      <c r="B275" t="s">
        <v>33</v>
      </c>
      <c r="C275" s="3">
        <f t="shared" si="76"/>
        <v>0</v>
      </c>
      <c r="D275">
        <f t="shared" si="77"/>
        <v>1</v>
      </c>
      <c r="E275" t="s">
        <v>795</v>
      </c>
      <c r="F275" t="s">
        <v>796</v>
      </c>
      <c r="G275" s="1">
        <v>18537</v>
      </c>
      <c r="H275" s="2">
        <f t="shared" ca="1" si="78"/>
        <v>76</v>
      </c>
      <c r="I275" s="2">
        <f t="shared" ca="1" si="79"/>
        <v>0.72857142857142854</v>
      </c>
      <c r="J275" t="s">
        <v>45</v>
      </c>
      <c r="K275" t="s">
        <v>37</v>
      </c>
      <c r="L275">
        <f t="shared" si="80"/>
        <v>1</v>
      </c>
      <c r="M275">
        <f t="shared" si="81"/>
        <v>0</v>
      </c>
      <c r="N275">
        <f t="shared" si="82"/>
        <v>0</v>
      </c>
      <c r="O275" t="s">
        <v>600</v>
      </c>
      <c r="P275">
        <f t="shared" si="83"/>
        <v>0</v>
      </c>
      <c r="Q275">
        <f t="shared" si="84"/>
        <v>0</v>
      </c>
      <c r="R275">
        <f t="shared" si="85"/>
        <v>0</v>
      </c>
      <c r="S275">
        <f t="shared" si="86"/>
        <v>0</v>
      </c>
      <c r="T275">
        <f t="shared" si="87"/>
        <v>0</v>
      </c>
      <c r="U275">
        <f t="shared" si="88"/>
        <v>0</v>
      </c>
      <c r="V275">
        <f t="shared" si="89"/>
        <v>0</v>
      </c>
      <c r="W275" t="s">
        <v>39</v>
      </c>
      <c r="X275">
        <f t="shared" si="90"/>
        <v>1</v>
      </c>
      <c r="Y275">
        <f t="shared" si="91"/>
        <v>0</v>
      </c>
      <c r="Z275">
        <v>2</v>
      </c>
      <c r="AA275">
        <f t="shared" si="92"/>
        <v>0.25</v>
      </c>
      <c r="AB275" t="s">
        <v>46</v>
      </c>
      <c r="AC275">
        <f t="shared" si="93"/>
        <v>0</v>
      </c>
      <c r="AD275">
        <f t="shared" si="94"/>
        <v>0</v>
      </c>
      <c r="AE275" t="s">
        <v>41</v>
      </c>
      <c r="AF275">
        <f>IF(AE275="website",1,0)</f>
        <v>1</v>
      </c>
    </row>
    <row r="276" spans="1:32">
      <c r="A276" t="s">
        <v>797</v>
      </c>
      <c r="B276" t="s">
        <v>33</v>
      </c>
      <c r="C276" s="3">
        <f t="shared" si="76"/>
        <v>0</v>
      </c>
      <c r="D276">
        <f t="shared" si="77"/>
        <v>1</v>
      </c>
      <c r="E276" t="s">
        <v>683</v>
      </c>
      <c r="F276" t="s">
        <v>798</v>
      </c>
      <c r="G276" s="1">
        <v>36703</v>
      </c>
      <c r="H276" s="2">
        <f t="shared" ca="1" si="78"/>
        <v>26</v>
      </c>
      <c r="I276" s="2">
        <f t="shared" ca="1" si="79"/>
        <v>1.4285714285714285E-2</v>
      </c>
      <c r="J276" t="s">
        <v>45</v>
      </c>
      <c r="K276" t="s">
        <v>37</v>
      </c>
      <c r="L276">
        <f t="shared" si="80"/>
        <v>1</v>
      </c>
      <c r="M276">
        <f t="shared" si="81"/>
        <v>0</v>
      </c>
      <c r="N276">
        <f t="shared" si="82"/>
        <v>0</v>
      </c>
      <c r="O276" t="s">
        <v>76</v>
      </c>
      <c r="P276">
        <f t="shared" si="83"/>
        <v>0</v>
      </c>
      <c r="Q276">
        <f t="shared" si="84"/>
        <v>1</v>
      </c>
      <c r="R276">
        <f t="shared" si="85"/>
        <v>0</v>
      </c>
      <c r="S276">
        <f t="shared" si="86"/>
        <v>0</v>
      </c>
      <c r="T276">
        <f t="shared" si="87"/>
        <v>0</v>
      </c>
      <c r="U276">
        <f t="shared" si="88"/>
        <v>0</v>
      </c>
      <c r="V276">
        <f t="shared" si="89"/>
        <v>0</v>
      </c>
      <c r="W276" t="s">
        <v>39</v>
      </c>
      <c r="X276">
        <f t="shared" si="90"/>
        <v>1</v>
      </c>
      <c r="Y276">
        <f t="shared" si="91"/>
        <v>0</v>
      </c>
      <c r="Z276">
        <v>1</v>
      </c>
      <c r="AA276">
        <f t="shared" si="92"/>
        <v>0</v>
      </c>
      <c r="AB276" t="s">
        <v>40</v>
      </c>
      <c r="AC276">
        <f t="shared" si="93"/>
        <v>0</v>
      </c>
      <c r="AD276">
        <f t="shared" si="94"/>
        <v>0</v>
      </c>
      <c r="AE276" t="s">
        <v>41</v>
      </c>
      <c r="AF276">
        <f>IF(AE276="website",1,0)</f>
        <v>1</v>
      </c>
    </row>
    <row r="277" spans="1:32">
      <c r="A277" t="s">
        <v>799</v>
      </c>
      <c r="B277" t="s">
        <v>33</v>
      </c>
      <c r="C277" s="3">
        <f t="shared" si="76"/>
        <v>0</v>
      </c>
      <c r="D277">
        <f t="shared" si="77"/>
        <v>1</v>
      </c>
      <c r="E277" t="s">
        <v>800</v>
      </c>
      <c r="F277" t="s">
        <v>573</v>
      </c>
      <c r="G277" s="1">
        <v>19406</v>
      </c>
      <c r="H277" s="2">
        <f t="shared" ca="1" si="78"/>
        <v>73</v>
      </c>
      <c r="I277" s="2">
        <f t="shared" ca="1" si="79"/>
        <v>0.68571428571428572</v>
      </c>
      <c r="J277" t="s">
        <v>36</v>
      </c>
      <c r="K277" t="s">
        <v>37</v>
      </c>
      <c r="L277">
        <f t="shared" si="80"/>
        <v>1</v>
      </c>
      <c r="M277">
        <f t="shared" si="81"/>
        <v>0</v>
      </c>
      <c r="N277">
        <f t="shared" si="82"/>
        <v>0</v>
      </c>
      <c r="O277" t="s">
        <v>565</v>
      </c>
      <c r="P277">
        <f t="shared" si="83"/>
        <v>0</v>
      </c>
      <c r="Q277">
        <f t="shared" si="84"/>
        <v>0</v>
      </c>
      <c r="R277">
        <f t="shared" si="85"/>
        <v>0</v>
      </c>
      <c r="S277">
        <f t="shared" si="86"/>
        <v>0</v>
      </c>
      <c r="T277">
        <f t="shared" si="87"/>
        <v>0</v>
      </c>
      <c r="U277">
        <f t="shared" si="88"/>
        <v>0</v>
      </c>
      <c r="V277">
        <f t="shared" si="89"/>
        <v>0</v>
      </c>
      <c r="W277" t="s">
        <v>39</v>
      </c>
      <c r="X277">
        <f t="shared" si="90"/>
        <v>1</v>
      </c>
      <c r="Y277">
        <f t="shared" si="91"/>
        <v>0</v>
      </c>
      <c r="Z277">
        <v>5</v>
      </c>
      <c r="AA277">
        <f t="shared" si="92"/>
        <v>1</v>
      </c>
      <c r="AB277" t="s">
        <v>46</v>
      </c>
      <c r="AC277">
        <f t="shared" si="93"/>
        <v>0</v>
      </c>
      <c r="AD277">
        <f t="shared" si="94"/>
        <v>0</v>
      </c>
      <c r="AE277" t="s">
        <v>41</v>
      </c>
      <c r="AF277">
        <f>IF(AE277="website",1,0)</f>
        <v>1</v>
      </c>
    </row>
    <row r="278" spans="1:32">
      <c r="A278" t="s">
        <v>801</v>
      </c>
      <c r="B278" t="s">
        <v>33</v>
      </c>
      <c r="C278" s="3">
        <f t="shared" si="76"/>
        <v>0</v>
      </c>
      <c r="D278">
        <f t="shared" si="77"/>
        <v>1</v>
      </c>
      <c r="E278" t="s">
        <v>700</v>
      </c>
      <c r="F278" t="s">
        <v>714</v>
      </c>
      <c r="G278" s="1">
        <v>20045</v>
      </c>
      <c r="H278" s="2">
        <f t="shared" ca="1" si="78"/>
        <v>71</v>
      </c>
      <c r="I278" s="2">
        <f t="shared" ca="1" si="79"/>
        <v>0.65714285714285714</v>
      </c>
      <c r="J278" t="s">
        <v>45</v>
      </c>
      <c r="K278" t="s">
        <v>37</v>
      </c>
      <c r="L278">
        <f t="shared" si="80"/>
        <v>1</v>
      </c>
      <c r="M278">
        <f t="shared" si="81"/>
        <v>0</v>
      </c>
      <c r="N278">
        <f t="shared" si="82"/>
        <v>0</v>
      </c>
      <c r="O278" t="s">
        <v>137</v>
      </c>
      <c r="P278">
        <f t="shared" si="83"/>
        <v>0</v>
      </c>
      <c r="Q278">
        <f t="shared" si="84"/>
        <v>0</v>
      </c>
      <c r="R278">
        <f t="shared" si="85"/>
        <v>0</v>
      </c>
      <c r="S278">
        <f t="shared" si="86"/>
        <v>0</v>
      </c>
      <c r="T278">
        <f t="shared" si="87"/>
        <v>0</v>
      </c>
      <c r="U278">
        <f t="shared" si="88"/>
        <v>0</v>
      </c>
      <c r="V278">
        <f t="shared" si="89"/>
        <v>0</v>
      </c>
      <c r="W278" t="s">
        <v>58</v>
      </c>
      <c r="X278">
        <f t="shared" si="90"/>
        <v>0</v>
      </c>
      <c r="Y278">
        <f t="shared" si="91"/>
        <v>1</v>
      </c>
      <c r="Z278">
        <v>1</v>
      </c>
      <c r="AA278">
        <f t="shared" si="92"/>
        <v>0</v>
      </c>
      <c r="AB278" t="s">
        <v>40</v>
      </c>
      <c r="AC278">
        <f t="shared" si="93"/>
        <v>1</v>
      </c>
      <c r="AD278">
        <f t="shared" si="94"/>
        <v>0</v>
      </c>
      <c r="AE278" t="s">
        <v>50</v>
      </c>
      <c r="AF278">
        <f>IF(AE278="website",1,0)</f>
        <v>0</v>
      </c>
    </row>
    <row r="279" spans="1:32">
      <c r="A279" t="s">
        <v>802</v>
      </c>
      <c r="B279" t="s">
        <v>33</v>
      </c>
      <c r="C279" s="3">
        <f t="shared" si="76"/>
        <v>0</v>
      </c>
      <c r="D279">
        <f t="shared" si="77"/>
        <v>1</v>
      </c>
      <c r="E279" t="s">
        <v>619</v>
      </c>
      <c r="F279" t="s">
        <v>674</v>
      </c>
      <c r="G279" s="1">
        <v>20304</v>
      </c>
      <c r="H279" s="2">
        <f t="shared" ca="1" si="78"/>
        <v>71</v>
      </c>
      <c r="I279" s="2">
        <f t="shared" ca="1" si="79"/>
        <v>0.65714285714285714</v>
      </c>
      <c r="J279" t="s">
        <v>36</v>
      </c>
      <c r="K279" t="s">
        <v>37</v>
      </c>
      <c r="L279">
        <f t="shared" si="80"/>
        <v>1</v>
      </c>
      <c r="M279">
        <f t="shared" si="81"/>
        <v>0</v>
      </c>
      <c r="N279">
        <f t="shared" si="82"/>
        <v>0</v>
      </c>
      <c r="O279" t="s">
        <v>38</v>
      </c>
      <c r="P279">
        <f t="shared" si="83"/>
        <v>1</v>
      </c>
      <c r="Q279">
        <f t="shared" si="84"/>
        <v>0</v>
      </c>
      <c r="R279">
        <f t="shared" si="85"/>
        <v>0</v>
      </c>
      <c r="S279">
        <f t="shared" si="86"/>
        <v>0</v>
      </c>
      <c r="T279">
        <f t="shared" si="87"/>
        <v>0</v>
      </c>
      <c r="U279">
        <f t="shared" si="88"/>
        <v>0</v>
      </c>
      <c r="V279">
        <f t="shared" si="89"/>
        <v>0</v>
      </c>
      <c r="W279" t="s">
        <v>58</v>
      </c>
      <c r="X279">
        <f t="shared" si="90"/>
        <v>0</v>
      </c>
      <c r="Y279">
        <f t="shared" si="91"/>
        <v>1</v>
      </c>
      <c r="Z279">
        <v>2</v>
      </c>
      <c r="AA279">
        <f t="shared" si="92"/>
        <v>0.25</v>
      </c>
      <c r="AB279" t="s">
        <v>40</v>
      </c>
      <c r="AC279">
        <f t="shared" si="93"/>
        <v>0</v>
      </c>
      <c r="AD279">
        <f t="shared" si="94"/>
        <v>0</v>
      </c>
      <c r="AE279" t="s">
        <v>41</v>
      </c>
      <c r="AF279">
        <f>IF(AE279="website",1,0)</f>
        <v>1</v>
      </c>
    </row>
    <row r="280" spans="1:32">
      <c r="A280" t="s">
        <v>803</v>
      </c>
      <c r="B280" t="s">
        <v>33</v>
      </c>
      <c r="C280" s="3">
        <f t="shared" si="76"/>
        <v>0</v>
      </c>
      <c r="D280">
        <f t="shared" si="77"/>
        <v>1</v>
      </c>
      <c r="E280" t="s">
        <v>804</v>
      </c>
      <c r="F280" t="s">
        <v>748</v>
      </c>
      <c r="G280" s="1">
        <v>24607</v>
      </c>
      <c r="H280" s="2">
        <f t="shared" ca="1" si="78"/>
        <v>59</v>
      </c>
      <c r="I280" s="2">
        <f t="shared" ca="1" si="79"/>
        <v>0.48571428571428571</v>
      </c>
      <c r="J280" t="s">
        <v>36</v>
      </c>
      <c r="K280" t="s">
        <v>37</v>
      </c>
      <c r="L280">
        <f t="shared" si="80"/>
        <v>1</v>
      </c>
      <c r="M280">
        <f t="shared" si="81"/>
        <v>0</v>
      </c>
      <c r="N280">
        <f t="shared" si="82"/>
        <v>0</v>
      </c>
      <c r="O280" t="s">
        <v>76</v>
      </c>
      <c r="P280">
        <f t="shared" si="83"/>
        <v>0</v>
      </c>
      <c r="Q280">
        <f t="shared" si="84"/>
        <v>1</v>
      </c>
      <c r="R280">
        <f t="shared" si="85"/>
        <v>0</v>
      </c>
      <c r="S280">
        <f t="shared" si="86"/>
        <v>0</v>
      </c>
      <c r="T280">
        <f t="shared" si="87"/>
        <v>0</v>
      </c>
      <c r="U280">
        <f t="shared" si="88"/>
        <v>0</v>
      </c>
      <c r="V280">
        <f t="shared" si="89"/>
        <v>0</v>
      </c>
      <c r="W280" t="s">
        <v>39</v>
      </c>
      <c r="X280">
        <f t="shared" si="90"/>
        <v>1</v>
      </c>
      <c r="Y280">
        <f t="shared" si="91"/>
        <v>0</v>
      </c>
      <c r="Z280">
        <v>1</v>
      </c>
      <c r="AA280">
        <f t="shared" si="92"/>
        <v>0</v>
      </c>
      <c r="AB280" t="s">
        <v>46</v>
      </c>
      <c r="AC280">
        <f t="shared" si="93"/>
        <v>0</v>
      </c>
      <c r="AD280">
        <f t="shared" si="94"/>
        <v>0</v>
      </c>
      <c r="AE280" t="s">
        <v>41</v>
      </c>
      <c r="AF280">
        <f>IF(AE280="website",1,0)</f>
        <v>1</v>
      </c>
    </row>
    <row r="281" spans="1:32">
      <c r="A281" t="s">
        <v>805</v>
      </c>
      <c r="B281" t="s">
        <v>33</v>
      </c>
      <c r="C281" s="3">
        <f t="shared" si="76"/>
        <v>0</v>
      </c>
      <c r="D281">
        <f t="shared" si="77"/>
        <v>1</v>
      </c>
      <c r="E281" t="s">
        <v>694</v>
      </c>
      <c r="F281" t="s">
        <v>664</v>
      </c>
      <c r="G281" s="1">
        <v>16176</v>
      </c>
      <c r="H281" s="2">
        <f t="shared" ca="1" si="78"/>
        <v>82</v>
      </c>
      <c r="I281" s="2">
        <f t="shared" ca="1" si="79"/>
        <v>0.81428571428571428</v>
      </c>
      <c r="J281" t="s">
        <v>45</v>
      </c>
      <c r="K281" t="s">
        <v>37</v>
      </c>
      <c r="L281">
        <f t="shared" si="80"/>
        <v>1</v>
      </c>
      <c r="M281">
        <f t="shared" si="81"/>
        <v>0</v>
      </c>
      <c r="N281">
        <f t="shared" si="82"/>
        <v>0</v>
      </c>
      <c r="O281" t="s">
        <v>600</v>
      </c>
      <c r="P281">
        <f t="shared" si="83"/>
        <v>0</v>
      </c>
      <c r="Q281">
        <f t="shared" si="84"/>
        <v>0</v>
      </c>
      <c r="R281">
        <f t="shared" si="85"/>
        <v>0</v>
      </c>
      <c r="S281">
        <f t="shared" si="86"/>
        <v>0</v>
      </c>
      <c r="T281">
        <f t="shared" si="87"/>
        <v>0</v>
      </c>
      <c r="U281">
        <f t="shared" si="88"/>
        <v>0</v>
      </c>
      <c r="V281">
        <f t="shared" si="89"/>
        <v>0</v>
      </c>
      <c r="W281" t="s">
        <v>39</v>
      </c>
      <c r="X281">
        <f t="shared" si="90"/>
        <v>1</v>
      </c>
      <c r="Y281">
        <f t="shared" si="91"/>
        <v>0</v>
      </c>
      <c r="Z281">
        <v>4</v>
      </c>
      <c r="AA281">
        <f t="shared" si="92"/>
        <v>0.75</v>
      </c>
      <c r="AB281" t="s">
        <v>46</v>
      </c>
      <c r="AC281">
        <f t="shared" si="93"/>
        <v>0</v>
      </c>
      <c r="AD281">
        <f t="shared" si="94"/>
        <v>1</v>
      </c>
      <c r="AE281" t="s">
        <v>90</v>
      </c>
      <c r="AF281">
        <f>IF(AE281="website",1,0)</f>
        <v>0</v>
      </c>
    </row>
    <row r="282" spans="1:32">
      <c r="A282" t="s">
        <v>806</v>
      </c>
      <c r="B282" t="s">
        <v>33</v>
      </c>
      <c r="C282" s="3">
        <f t="shared" si="76"/>
        <v>0</v>
      </c>
      <c r="D282">
        <f t="shared" si="77"/>
        <v>1</v>
      </c>
      <c r="E282" t="s">
        <v>807</v>
      </c>
      <c r="F282" t="s">
        <v>685</v>
      </c>
      <c r="G282" s="1">
        <v>28206</v>
      </c>
      <c r="H282" s="2">
        <f t="shared" ca="1" si="78"/>
        <v>49</v>
      </c>
      <c r="I282" s="2">
        <f t="shared" ca="1" si="79"/>
        <v>0.34285714285714286</v>
      </c>
      <c r="J282" t="s">
        <v>36</v>
      </c>
      <c r="K282" t="s">
        <v>37</v>
      </c>
      <c r="L282">
        <f t="shared" si="80"/>
        <v>1</v>
      </c>
      <c r="M282">
        <f t="shared" si="81"/>
        <v>0</v>
      </c>
      <c r="N282">
        <f t="shared" si="82"/>
        <v>0</v>
      </c>
      <c r="O282" t="s">
        <v>38</v>
      </c>
      <c r="P282">
        <f t="shared" si="83"/>
        <v>1</v>
      </c>
      <c r="Q282">
        <f t="shared" si="84"/>
        <v>0</v>
      </c>
      <c r="R282">
        <f t="shared" si="85"/>
        <v>0</v>
      </c>
      <c r="S282">
        <f t="shared" si="86"/>
        <v>0</v>
      </c>
      <c r="T282">
        <f t="shared" si="87"/>
        <v>0</v>
      </c>
      <c r="U282">
        <f t="shared" si="88"/>
        <v>0</v>
      </c>
      <c r="V282">
        <f t="shared" si="89"/>
        <v>0</v>
      </c>
      <c r="W282" t="s">
        <v>39</v>
      </c>
      <c r="X282">
        <f t="shared" si="90"/>
        <v>1</v>
      </c>
      <c r="Y282">
        <f t="shared" si="91"/>
        <v>0</v>
      </c>
      <c r="Z282">
        <v>1</v>
      </c>
      <c r="AA282">
        <f t="shared" si="92"/>
        <v>0</v>
      </c>
      <c r="AB282" t="s">
        <v>40</v>
      </c>
      <c r="AC282">
        <f t="shared" si="93"/>
        <v>1</v>
      </c>
      <c r="AD282">
        <f t="shared" si="94"/>
        <v>0</v>
      </c>
      <c r="AE282" t="s">
        <v>50</v>
      </c>
      <c r="AF282">
        <f>IF(AE282="website",1,0)</f>
        <v>0</v>
      </c>
    </row>
    <row r="283" spans="1:32">
      <c r="A283" t="s">
        <v>808</v>
      </c>
      <c r="B283" t="s">
        <v>33</v>
      </c>
      <c r="C283" s="3">
        <f t="shared" si="76"/>
        <v>0</v>
      </c>
      <c r="D283">
        <f t="shared" si="77"/>
        <v>1</v>
      </c>
      <c r="E283" t="s">
        <v>809</v>
      </c>
      <c r="F283" t="s">
        <v>703</v>
      </c>
      <c r="G283" s="1">
        <v>35721</v>
      </c>
      <c r="H283" s="2">
        <f t="shared" ca="1" si="78"/>
        <v>28</v>
      </c>
      <c r="I283" s="2">
        <f t="shared" ca="1" si="79"/>
        <v>4.2857142857142858E-2</v>
      </c>
      <c r="J283" t="s">
        <v>36</v>
      </c>
      <c r="K283" t="s">
        <v>37</v>
      </c>
      <c r="L283">
        <f t="shared" si="80"/>
        <v>1</v>
      </c>
      <c r="M283">
        <f t="shared" si="81"/>
        <v>0</v>
      </c>
      <c r="N283">
        <f t="shared" si="82"/>
        <v>0</v>
      </c>
      <c r="O283" t="s">
        <v>38</v>
      </c>
      <c r="P283">
        <f t="shared" si="83"/>
        <v>1</v>
      </c>
      <c r="Q283">
        <f t="shared" si="84"/>
        <v>0</v>
      </c>
      <c r="R283">
        <f t="shared" si="85"/>
        <v>0</v>
      </c>
      <c r="S283">
        <f t="shared" si="86"/>
        <v>0</v>
      </c>
      <c r="T283">
        <f t="shared" si="87"/>
        <v>0</v>
      </c>
      <c r="U283">
        <f t="shared" si="88"/>
        <v>0</v>
      </c>
      <c r="V283">
        <f t="shared" si="89"/>
        <v>0</v>
      </c>
      <c r="W283" t="s">
        <v>58</v>
      </c>
      <c r="X283">
        <f t="shared" si="90"/>
        <v>0</v>
      </c>
      <c r="Y283">
        <f t="shared" si="91"/>
        <v>1</v>
      </c>
      <c r="Z283">
        <v>1</v>
      </c>
      <c r="AA283">
        <f t="shared" si="92"/>
        <v>0</v>
      </c>
      <c r="AB283" t="s">
        <v>46</v>
      </c>
      <c r="AC283">
        <f t="shared" si="93"/>
        <v>0</v>
      </c>
      <c r="AD283">
        <f t="shared" si="94"/>
        <v>0</v>
      </c>
      <c r="AE283" t="s">
        <v>41</v>
      </c>
      <c r="AF283">
        <f>IF(AE283="website",1,0)</f>
        <v>1</v>
      </c>
    </row>
    <row r="284" spans="1:32">
      <c r="A284" t="s">
        <v>810</v>
      </c>
      <c r="B284" t="s">
        <v>33</v>
      </c>
      <c r="C284" s="3">
        <f t="shared" si="76"/>
        <v>0</v>
      </c>
      <c r="D284">
        <f t="shared" si="77"/>
        <v>1</v>
      </c>
      <c r="E284" t="s">
        <v>811</v>
      </c>
      <c r="F284" t="s">
        <v>308</v>
      </c>
      <c r="G284" s="1">
        <v>22778</v>
      </c>
      <c r="H284" s="2">
        <f t="shared" ca="1" si="78"/>
        <v>64</v>
      </c>
      <c r="I284" s="2">
        <f t="shared" ca="1" si="79"/>
        <v>0.55714285714285716</v>
      </c>
      <c r="J284" t="s">
        <v>36</v>
      </c>
      <c r="K284" t="s">
        <v>37</v>
      </c>
      <c r="L284">
        <f t="shared" si="80"/>
        <v>1</v>
      </c>
      <c r="M284">
        <f t="shared" si="81"/>
        <v>0</v>
      </c>
      <c r="N284">
        <f t="shared" si="82"/>
        <v>0</v>
      </c>
      <c r="O284" t="s">
        <v>97</v>
      </c>
      <c r="P284">
        <f t="shared" si="83"/>
        <v>0</v>
      </c>
      <c r="Q284">
        <f t="shared" si="84"/>
        <v>0</v>
      </c>
      <c r="R284">
        <f t="shared" si="85"/>
        <v>0</v>
      </c>
      <c r="S284">
        <f t="shared" si="86"/>
        <v>0</v>
      </c>
      <c r="T284">
        <f t="shared" si="87"/>
        <v>1</v>
      </c>
      <c r="U284">
        <f t="shared" si="88"/>
        <v>0</v>
      </c>
      <c r="V284">
        <f t="shared" si="89"/>
        <v>0</v>
      </c>
      <c r="W284" t="s">
        <v>39</v>
      </c>
      <c r="X284">
        <f t="shared" si="90"/>
        <v>1</v>
      </c>
      <c r="Y284">
        <f t="shared" si="91"/>
        <v>0</v>
      </c>
      <c r="Z284">
        <v>2</v>
      </c>
      <c r="AA284">
        <f t="shared" si="92"/>
        <v>0.25</v>
      </c>
      <c r="AB284" t="s">
        <v>40</v>
      </c>
      <c r="AC284">
        <f t="shared" si="93"/>
        <v>1</v>
      </c>
      <c r="AD284">
        <f t="shared" si="94"/>
        <v>0</v>
      </c>
      <c r="AE284" t="s">
        <v>50</v>
      </c>
      <c r="AF284">
        <f>IF(AE284="website",1,0)</f>
        <v>0</v>
      </c>
    </row>
    <row r="285" spans="1:32">
      <c r="A285" t="s">
        <v>812</v>
      </c>
      <c r="B285" t="s">
        <v>33</v>
      </c>
      <c r="C285" s="3">
        <f t="shared" si="76"/>
        <v>0</v>
      </c>
      <c r="D285">
        <f t="shared" si="77"/>
        <v>1</v>
      </c>
      <c r="E285" t="s">
        <v>152</v>
      </c>
      <c r="F285" t="s">
        <v>703</v>
      </c>
      <c r="G285" s="1">
        <v>28181</v>
      </c>
      <c r="H285" s="2">
        <f t="shared" ca="1" si="78"/>
        <v>49</v>
      </c>
      <c r="I285" s="2">
        <f t="shared" ca="1" si="79"/>
        <v>0.34285714285714286</v>
      </c>
      <c r="J285" t="s">
        <v>45</v>
      </c>
      <c r="K285" t="s">
        <v>37</v>
      </c>
      <c r="L285">
        <f t="shared" si="80"/>
        <v>1</v>
      </c>
      <c r="M285">
        <f t="shared" si="81"/>
        <v>0</v>
      </c>
      <c r="N285">
        <f t="shared" si="82"/>
        <v>0</v>
      </c>
      <c r="O285" t="s">
        <v>97</v>
      </c>
      <c r="P285">
        <f t="shared" si="83"/>
        <v>0</v>
      </c>
      <c r="Q285">
        <f t="shared" si="84"/>
        <v>0</v>
      </c>
      <c r="R285">
        <f t="shared" si="85"/>
        <v>0</v>
      </c>
      <c r="S285">
        <f t="shared" si="86"/>
        <v>0</v>
      </c>
      <c r="T285">
        <f t="shared" si="87"/>
        <v>1</v>
      </c>
      <c r="U285">
        <f t="shared" si="88"/>
        <v>0</v>
      </c>
      <c r="V285">
        <f t="shared" si="89"/>
        <v>0</v>
      </c>
      <c r="W285" t="s">
        <v>39</v>
      </c>
      <c r="X285">
        <f t="shared" si="90"/>
        <v>1</v>
      </c>
      <c r="Y285">
        <f t="shared" si="91"/>
        <v>0</v>
      </c>
      <c r="Z285">
        <v>4</v>
      </c>
      <c r="AA285">
        <f t="shared" si="92"/>
        <v>0.75</v>
      </c>
      <c r="AB285" t="s">
        <v>46</v>
      </c>
      <c r="AC285">
        <f t="shared" si="93"/>
        <v>0</v>
      </c>
      <c r="AD285">
        <f t="shared" si="94"/>
        <v>1</v>
      </c>
      <c r="AE285" t="s">
        <v>90</v>
      </c>
      <c r="AF285">
        <f>IF(AE285="website",1,0)</f>
        <v>0</v>
      </c>
    </row>
    <row r="286" spans="1:32">
      <c r="A286" t="s">
        <v>813</v>
      </c>
      <c r="B286" t="s">
        <v>33</v>
      </c>
      <c r="C286" s="3">
        <f t="shared" si="76"/>
        <v>0</v>
      </c>
      <c r="D286">
        <f t="shared" si="77"/>
        <v>1</v>
      </c>
      <c r="E286" t="s">
        <v>772</v>
      </c>
      <c r="F286" t="s">
        <v>538</v>
      </c>
      <c r="G286" s="1">
        <v>36228</v>
      </c>
      <c r="H286" s="2">
        <f t="shared" ca="1" si="78"/>
        <v>27</v>
      </c>
      <c r="I286" s="2">
        <f t="shared" ca="1" si="79"/>
        <v>2.8571428571428571E-2</v>
      </c>
      <c r="J286" t="s">
        <v>45</v>
      </c>
      <c r="K286" t="s">
        <v>626</v>
      </c>
      <c r="L286">
        <f t="shared" si="80"/>
        <v>0</v>
      </c>
      <c r="M286">
        <f t="shared" si="81"/>
        <v>0</v>
      </c>
      <c r="N286">
        <f t="shared" si="82"/>
        <v>0</v>
      </c>
      <c r="O286" t="s">
        <v>627</v>
      </c>
      <c r="P286">
        <f t="shared" si="83"/>
        <v>0</v>
      </c>
      <c r="Q286">
        <f t="shared" si="84"/>
        <v>0</v>
      </c>
      <c r="R286">
        <f t="shared" si="85"/>
        <v>0</v>
      </c>
      <c r="S286">
        <f t="shared" si="86"/>
        <v>0</v>
      </c>
      <c r="T286">
        <f t="shared" si="87"/>
        <v>0</v>
      </c>
      <c r="U286">
        <f t="shared" si="88"/>
        <v>0</v>
      </c>
      <c r="V286">
        <f t="shared" si="89"/>
        <v>0</v>
      </c>
      <c r="W286" t="s">
        <v>58</v>
      </c>
      <c r="X286">
        <f t="shared" si="90"/>
        <v>0</v>
      </c>
      <c r="Y286">
        <f t="shared" si="91"/>
        <v>1</v>
      </c>
      <c r="Z286">
        <v>3</v>
      </c>
      <c r="AA286">
        <f t="shared" si="92"/>
        <v>0.5</v>
      </c>
      <c r="AB286" t="s">
        <v>46</v>
      </c>
      <c r="AC286">
        <f t="shared" si="93"/>
        <v>0</v>
      </c>
      <c r="AD286">
        <f t="shared" si="94"/>
        <v>0</v>
      </c>
      <c r="AE286" t="s">
        <v>41</v>
      </c>
      <c r="AF286">
        <f>IF(AE286="website",1,0)</f>
        <v>1</v>
      </c>
    </row>
    <row r="287" spans="1:32">
      <c r="A287" t="s">
        <v>814</v>
      </c>
      <c r="B287" t="s">
        <v>33</v>
      </c>
      <c r="C287" s="3">
        <f t="shared" si="76"/>
        <v>0</v>
      </c>
      <c r="D287">
        <f t="shared" si="77"/>
        <v>1</v>
      </c>
      <c r="E287" t="s">
        <v>815</v>
      </c>
      <c r="F287" t="s">
        <v>645</v>
      </c>
      <c r="G287" s="1">
        <v>35148</v>
      </c>
      <c r="H287" s="2">
        <f t="shared" ca="1" si="78"/>
        <v>30</v>
      </c>
      <c r="I287" s="2">
        <f t="shared" ca="1" si="79"/>
        <v>7.1428571428571425E-2</v>
      </c>
      <c r="J287" t="s">
        <v>45</v>
      </c>
      <c r="K287" t="s">
        <v>248</v>
      </c>
      <c r="L287">
        <f t="shared" si="80"/>
        <v>0</v>
      </c>
      <c r="M287">
        <f t="shared" si="81"/>
        <v>0</v>
      </c>
      <c r="N287">
        <f t="shared" si="82"/>
        <v>0</v>
      </c>
      <c r="O287" t="s">
        <v>411</v>
      </c>
      <c r="P287">
        <f t="shared" si="83"/>
        <v>0</v>
      </c>
      <c r="Q287">
        <f t="shared" si="84"/>
        <v>0</v>
      </c>
      <c r="R287">
        <f t="shared" si="85"/>
        <v>0</v>
      </c>
      <c r="S287">
        <f t="shared" si="86"/>
        <v>0</v>
      </c>
      <c r="T287">
        <f t="shared" si="87"/>
        <v>0</v>
      </c>
      <c r="U287">
        <f t="shared" si="88"/>
        <v>0</v>
      </c>
      <c r="V287">
        <f t="shared" si="89"/>
        <v>0</v>
      </c>
      <c r="W287" t="s">
        <v>39</v>
      </c>
      <c r="X287">
        <f t="shared" si="90"/>
        <v>1</v>
      </c>
      <c r="Y287">
        <f t="shared" si="91"/>
        <v>0</v>
      </c>
      <c r="Z287">
        <v>1</v>
      </c>
      <c r="AA287">
        <f t="shared" si="92"/>
        <v>0</v>
      </c>
      <c r="AB287" t="s">
        <v>46</v>
      </c>
      <c r="AC287">
        <f t="shared" si="93"/>
        <v>1</v>
      </c>
      <c r="AD287">
        <f t="shared" si="94"/>
        <v>0</v>
      </c>
      <c r="AE287" t="s">
        <v>50</v>
      </c>
      <c r="AF287">
        <f>IF(AE287="website",1,0)</f>
        <v>0</v>
      </c>
    </row>
    <row r="288" spans="1:32">
      <c r="A288" t="s">
        <v>816</v>
      </c>
      <c r="B288" t="s">
        <v>33</v>
      </c>
      <c r="C288" s="3">
        <f t="shared" si="76"/>
        <v>0</v>
      </c>
      <c r="D288">
        <f t="shared" si="77"/>
        <v>1</v>
      </c>
      <c r="E288" t="s">
        <v>817</v>
      </c>
      <c r="F288" t="s">
        <v>818</v>
      </c>
      <c r="G288" s="1">
        <v>33034</v>
      </c>
      <c r="H288" s="2">
        <f t="shared" ca="1" si="78"/>
        <v>36</v>
      </c>
      <c r="I288" s="2">
        <f t="shared" ca="1" si="79"/>
        <v>0.15714285714285714</v>
      </c>
      <c r="J288" t="s">
        <v>36</v>
      </c>
      <c r="K288" t="s">
        <v>819</v>
      </c>
      <c r="L288">
        <f t="shared" si="80"/>
        <v>0</v>
      </c>
      <c r="M288">
        <f t="shared" si="81"/>
        <v>0</v>
      </c>
      <c r="N288">
        <f t="shared" si="82"/>
        <v>0</v>
      </c>
      <c r="O288" t="s">
        <v>820</v>
      </c>
      <c r="P288">
        <f t="shared" si="83"/>
        <v>0</v>
      </c>
      <c r="Q288">
        <f t="shared" si="84"/>
        <v>0</v>
      </c>
      <c r="R288">
        <f t="shared" si="85"/>
        <v>0</v>
      </c>
      <c r="S288">
        <f t="shared" si="86"/>
        <v>0</v>
      </c>
      <c r="T288">
        <f t="shared" si="87"/>
        <v>0</v>
      </c>
      <c r="U288">
        <f t="shared" si="88"/>
        <v>0</v>
      </c>
      <c r="V288">
        <f t="shared" si="89"/>
        <v>0</v>
      </c>
      <c r="W288" t="s">
        <v>39</v>
      </c>
      <c r="X288">
        <f t="shared" si="90"/>
        <v>1</v>
      </c>
      <c r="Y288">
        <f t="shared" si="91"/>
        <v>0</v>
      </c>
      <c r="Z288">
        <v>5</v>
      </c>
      <c r="AA288">
        <f t="shared" si="92"/>
        <v>1</v>
      </c>
      <c r="AB288" t="s">
        <v>46</v>
      </c>
      <c r="AC288">
        <f t="shared" si="93"/>
        <v>0</v>
      </c>
      <c r="AD288">
        <f t="shared" si="94"/>
        <v>0</v>
      </c>
      <c r="AE288" t="s">
        <v>41</v>
      </c>
      <c r="AF288">
        <f>IF(AE288="website",1,0)</f>
        <v>1</v>
      </c>
    </row>
    <row r="289" spans="1:32">
      <c r="A289" t="s">
        <v>821</v>
      </c>
      <c r="B289" t="s">
        <v>33</v>
      </c>
      <c r="C289" s="3">
        <f t="shared" si="76"/>
        <v>0</v>
      </c>
      <c r="D289">
        <f t="shared" si="77"/>
        <v>1</v>
      </c>
      <c r="E289" t="s">
        <v>191</v>
      </c>
      <c r="F289" t="s">
        <v>757</v>
      </c>
      <c r="G289" s="1">
        <v>35737</v>
      </c>
      <c r="H289" s="2">
        <f t="shared" ca="1" si="78"/>
        <v>28</v>
      </c>
      <c r="I289" s="2">
        <f t="shared" ca="1" si="79"/>
        <v>4.2857142857142858E-2</v>
      </c>
      <c r="J289" t="s">
        <v>45</v>
      </c>
      <c r="K289" t="s">
        <v>37</v>
      </c>
      <c r="L289">
        <f t="shared" si="80"/>
        <v>1</v>
      </c>
      <c r="M289">
        <f t="shared" si="81"/>
        <v>0</v>
      </c>
      <c r="N289">
        <f t="shared" si="82"/>
        <v>0</v>
      </c>
      <c r="O289" t="s">
        <v>137</v>
      </c>
      <c r="P289">
        <f t="shared" si="83"/>
        <v>0</v>
      </c>
      <c r="Q289">
        <f t="shared" si="84"/>
        <v>0</v>
      </c>
      <c r="R289">
        <f t="shared" si="85"/>
        <v>0</v>
      </c>
      <c r="S289">
        <f t="shared" si="86"/>
        <v>0</v>
      </c>
      <c r="T289">
        <f t="shared" si="87"/>
        <v>0</v>
      </c>
      <c r="U289">
        <f t="shared" si="88"/>
        <v>0</v>
      </c>
      <c r="V289">
        <f t="shared" si="89"/>
        <v>0</v>
      </c>
      <c r="W289" t="s">
        <v>58</v>
      </c>
      <c r="X289">
        <f t="shared" si="90"/>
        <v>0</v>
      </c>
      <c r="Y289">
        <f t="shared" si="91"/>
        <v>1</v>
      </c>
      <c r="Z289">
        <v>4</v>
      </c>
      <c r="AA289">
        <f t="shared" si="92"/>
        <v>0.75</v>
      </c>
      <c r="AB289" t="s">
        <v>46</v>
      </c>
      <c r="AC289">
        <f t="shared" si="93"/>
        <v>1</v>
      </c>
      <c r="AD289">
        <f t="shared" si="94"/>
        <v>0</v>
      </c>
      <c r="AE289" t="s">
        <v>50</v>
      </c>
      <c r="AF289">
        <f>IF(AE289="website",1,0)</f>
        <v>0</v>
      </c>
    </row>
    <row r="290" spans="1:32">
      <c r="A290" t="s">
        <v>822</v>
      </c>
      <c r="B290" t="s">
        <v>33</v>
      </c>
      <c r="C290" s="3">
        <f t="shared" si="76"/>
        <v>0</v>
      </c>
      <c r="D290">
        <f t="shared" si="77"/>
        <v>1</v>
      </c>
      <c r="E290" t="s">
        <v>584</v>
      </c>
      <c r="F290" t="s">
        <v>823</v>
      </c>
      <c r="G290" s="1">
        <v>34134</v>
      </c>
      <c r="H290" s="2">
        <f t="shared" ca="1" si="78"/>
        <v>33</v>
      </c>
      <c r="I290" s="2">
        <f t="shared" ca="1" si="79"/>
        <v>0.11428571428571428</v>
      </c>
      <c r="J290" t="s">
        <v>36</v>
      </c>
      <c r="K290" t="s">
        <v>37</v>
      </c>
      <c r="L290">
        <f t="shared" si="80"/>
        <v>1</v>
      </c>
      <c r="M290">
        <f t="shared" si="81"/>
        <v>0</v>
      </c>
      <c r="N290">
        <f t="shared" si="82"/>
        <v>0</v>
      </c>
      <c r="O290" t="s">
        <v>38</v>
      </c>
      <c r="P290">
        <f t="shared" si="83"/>
        <v>1</v>
      </c>
      <c r="Q290">
        <f t="shared" si="84"/>
        <v>0</v>
      </c>
      <c r="R290">
        <f t="shared" si="85"/>
        <v>0</v>
      </c>
      <c r="S290">
        <f t="shared" si="86"/>
        <v>0</v>
      </c>
      <c r="T290">
        <f t="shared" si="87"/>
        <v>0</v>
      </c>
      <c r="U290">
        <f t="shared" si="88"/>
        <v>0</v>
      </c>
      <c r="V290">
        <f t="shared" si="89"/>
        <v>0</v>
      </c>
      <c r="W290" t="s">
        <v>58</v>
      </c>
      <c r="X290">
        <f t="shared" si="90"/>
        <v>0</v>
      </c>
      <c r="Y290">
        <f t="shared" si="91"/>
        <v>1</v>
      </c>
      <c r="Z290">
        <v>5</v>
      </c>
      <c r="AA290">
        <f t="shared" si="92"/>
        <v>1</v>
      </c>
      <c r="AB290" t="s">
        <v>46</v>
      </c>
      <c r="AC290">
        <f t="shared" si="93"/>
        <v>1</v>
      </c>
      <c r="AD290">
        <f t="shared" si="94"/>
        <v>0</v>
      </c>
      <c r="AE290" t="s">
        <v>50</v>
      </c>
      <c r="AF290">
        <f>IF(AE290="website",1,0)</f>
        <v>0</v>
      </c>
    </row>
    <row r="291" spans="1:32">
      <c r="A291" t="s">
        <v>824</v>
      </c>
      <c r="B291" t="s">
        <v>33</v>
      </c>
      <c r="C291" s="3">
        <f t="shared" si="76"/>
        <v>0</v>
      </c>
      <c r="D291">
        <f t="shared" si="77"/>
        <v>1</v>
      </c>
      <c r="E291" t="s">
        <v>635</v>
      </c>
      <c r="F291" t="s">
        <v>825</v>
      </c>
      <c r="G291" s="1">
        <v>22647</v>
      </c>
      <c r="H291" s="2">
        <f t="shared" ca="1" si="78"/>
        <v>64</v>
      </c>
      <c r="I291" s="2">
        <f t="shared" ca="1" si="79"/>
        <v>0.55714285714285716</v>
      </c>
      <c r="J291" t="s">
        <v>45</v>
      </c>
      <c r="K291" t="s">
        <v>37</v>
      </c>
      <c r="L291">
        <f t="shared" si="80"/>
        <v>1</v>
      </c>
      <c r="M291">
        <f t="shared" si="81"/>
        <v>0</v>
      </c>
      <c r="N291">
        <f t="shared" si="82"/>
        <v>0</v>
      </c>
      <c r="O291" t="s">
        <v>38</v>
      </c>
      <c r="P291">
        <f t="shared" si="83"/>
        <v>1</v>
      </c>
      <c r="Q291">
        <f t="shared" si="84"/>
        <v>0</v>
      </c>
      <c r="R291">
        <f t="shared" si="85"/>
        <v>0</v>
      </c>
      <c r="S291">
        <f t="shared" si="86"/>
        <v>0</v>
      </c>
      <c r="T291">
        <f t="shared" si="87"/>
        <v>0</v>
      </c>
      <c r="U291">
        <f t="shared" si="88"/>
        <v>0</v>
      </c>
      <c r="V291">
        <f t="shared" si="89"/>
        <v>0</v>
      </c>
      <c r="W291" t="s">
        <v>39</v>
      </c>
      <c r="X291">
        <f t="shared" si="90"/>
        <v>1</v>
      </c>
      <c r="Y291">
        <f t="shared" si="91"/>
        <v>0</v>
      </c>
      <c r="Z291">
        <v>2</v>
      </c>
      <c r="AA291">
        <f t="shared" si="92"/>
        <v>0.25</v>
      </c>
      <c r="AB291" t="s">
        <v>46</v>
      </c>
      <c r="AC291">
        <f t="shared" si="93"/>
        <v>0</v>
      </c>
      <c r="AD291">
        <f t="shared" si="94"/>
        <v>0</v>
      </c>
      <c r="AE291" t="s">
        <v>41</v>
      </c>
      <c r="AF291">
        <f>IF(AE291="website",1,0)</f>
        <v>1</v>
      </c>
    </row>
    <row r="292" spans="1:32">
      <c r="A292" t="s">
        <v>826</v>
      </c>
      <c r="B292" t="s">
        <v>33</v>
      </c>
      <c r="C292" s="3">
        <f t="shared" si="76"/>
        <v>0</v>
      </c>
      <c r="D292">
        <f t="shared" si="77"/>
        <v>1</v>
      </c>
      <c r="E292" t="s">
        <v>659</v>
      </c>
      <c r="F292" t="s">
        <v>773</v>
      </c>
      <c r="G292" s="1">
        <v>19546</v>
      </c>
      <c r="H292" s="2">
        <f t="shared" ca="1" si="78"/>
        <v>73</v>
      </c>
      <c r="I292" s="2">
        <f t="shared" ca="1" si="79"/>
        <v>0.68571428571428572</v>
      </c>
      <c r="J292" t="s">
        <v>45</v>
      </c>
      <c r="K292" t="s">
        <v>37</v>
      </c>
      <c r="L292">
        <f t="shared" si="80"/>
        <v>1</v>
      </c>
      <c r="M292">
        <f t="shared" si="81"/>
        <v>0</v>
      </c>
      <c r="N292">
        <f t="shared" si="82"/>
        <v>0</v>
      </c>
      <c r="O292" t="s">
        <v>124</v>
      </c>
      <c r="P292">
        <f t="shared" si="83"/>
        <v>0</v>
      </c>
      <c r="Q292">
        <f t="shared" si="84"/>
        <v>0</v>
      </c>
      <c r="R292">
        <f t="shared" si="85"/>
        <v>0</v>
      </c>
      <c r="S292">
        <f t="shared" si="86"/>
        <v>0</v>
      </c>
      <c r="T292">
        <f t="shared" si="87"/>
        <v>0</v>
      </c>
      <c r="U292">
        <f t="shared" si="88"/>
        <v>1</v>
      </c>
      <c r="V292">
        <f t="shared" si="89"/>
        <v>0</v>
      </c>
      <c r="W292" t="s">
        <v>39</v>
      </c>
      <c r="X292">
        <f t="shared" si="90"/>
        <v>1</v>
      </c>
      <c r="Y292">
        <f t="shared" si="91"/>
        <v>0</v>
      </c>
      <c r="Z292">
        <v>2</v>
      </c>
      <c r="AA292">
        <f t="shared" si="92"/>
        <v>0.25</v>
      </c>
      <c r="AB292" t="s">
        <v>46</v>
      </c>
      <c r="AC292">
        <f t="shared" si="93"/>
        <v>1</v>
      </c>
      <c r="AD292">
        <f t="shared" si="94"/>
        <v>0</v>
      </c>
      <c r="AE292" t="s">
        <v>50</v>
      </c>
      <c r="AF292">
        <f>IF(AE292="website",1,0)</f>
        <v>0</v>
      </c>
    </row>
    <row r="293" spans="1:32">
      <c r="A293" t="s">
        <v>827</v>
      </c>
      <c r="B293" t="s">
        <v>33</v>
      </c>
      <c r="C293" s="3">
        <f t="shared" si="76"/>
        <v>0</v>
      </c>
      <c r="D293">
        <f t="shared" si="77"/>
        <v>1</v>
      </c>
      <c r="E293" t="s">
        <v>615</v>
      </c>
      <c r="F293" t="s">
        <v>825</v>
      </c>
      <c r="G293" s="1">
        <v>16773</v>
      </c>
      <c r="H293" s="2">
        <f t="shared" ca="1" si="78"/>
        <v>80</v>
      </c>
      <c r="I293" s="2">
        <f t="shared" ca="1" si="79"/>
        <v>0.7857142857142857</v>
      </c>
      <c r="J293" t="s">
        <v>36</v>
      </c>
      <c r="K293" t="s">
        <v>37</v>
      </c>
      <c r="L293">
        <f t="shared" si="80"/>
        <v>1</v>
      </c>
      <c r="M293">
        <f t="shared" si="81"/>
        <v>0</v>
      </c>
      <c r="N293">
        <f t="shared" si="82"/>
        <v>0</v>
      </c>
      <c r="O293" t="s">
        <v>38</v>
      </c>
      <c r="P293">
        <f t="shared" si="83"/>
        <v>1</v>
      </c>
      <c r="Q293">
        <f t="shared" si="84"/>
        <v>0</v>
      </c>
      <c r="R293">
        <f t="shared" si="85"/>
        <v>0</v>
      </c>
      <c r="S293">
        <f t="shared" si="86"/>
        <v>0</v>
      </c>
      <c r="T293">
        <f t="shared" si="87"/>
        <v>0</v>
      </c>
      <c r="U293">
        <f t="shared" si="88"/>
        <v>0</v>
      </c>
      <c r="V293">
        <f t="shared" si="89"/>
        <v>0</v>
      </c>
      <c r="W293" t="s">
        <v>39</v>
      </c>
      <c r="X293">
        <f t="shared" si="90"/>
        <v>1</v>
      </c>
      <c r="Y293">
        <f t="shared" si="91"/>
        <v>0</v>
      </c>
      <c r="Z293">
        <v>1</v>
      </c>
      <c r="AA293">
        <f t="shared" si="92"/>
        <v>0</v>
      </c>
      <c r="AB293" t="s">
        <v>46</v>
      </c>
      <c r="AC293">
        <f t="shared" si="93"/>
        <v>1</v>
      </c>
      <c r="AD293">
        <f t="shared" si="94"/>
        <v>0</v>
      </c>
      <c r="AE293" t="s">
        <v>50</v>
      </c>
      <c r="AF293">
        <f>IF(AE293="website",1,0)</f>
        <v>0</v>
      </c>
    </row>
    <row r="294" spans="1:32">
      <c r="A294" t="s">
        <v>828</v>
      </c>
      <c r="B294" t="s">
        <v>33</v>
      </c>
      <c r="C294" s="3">
        <f t="shared" si="76"/>
        <v>0</v>
      </c>
      <c r="D294">
        <f t="shared" si="77"/>
        <v>1</v>
      </c>
      <c r="E294" t="s">
        <v>829</v>
      </c>
      <c r="F294" t="s">
        <v>745</v>
      </c>
      <c r="G294" s="1">
        <v>34151</v>
      </c>
      <c r="H294" s="2">
        <f t="shared" ca="1" si="78"/>
        <v>33</v>
      </c>
      <c r="I294" s="2">
        <f t="shared" ca="1" si="79"/>
        <v>0.11428571428571428</v>
      </c>
      <c r="J294" t="s">
        <v>36</v>
      </c>
      <c r="K294" t="s">
        <v>37</v>
      </c>
      <c r="L294">
        <f t="shared" si="80"/>
        <v>1</v>
      </c>
      <c r="M294">
        <f t="shared" si="81"/>
        <v>0</v>
      </c>
      <c r="N294">
        <f t="shared" si="82"/>
        <v>0</v>
      </c>
      <c r="O294" t="s">
        <v>38</v>
      </c>
      <c r="P294">
        <f t="shared" si="83"/>
        <v>1</v>
      </c>
      <c r="Q294">
        <f t="shared" si="84"/>
        <v>0</v>
      </c>
      <c r="R294">
        <f t="shared" si="85"/>
        <v>0</v>
      </c>
      <c r="S294">
        <f t="shared" si="86"/>
        <v>0</v>
      </c>
      <c r="T294">
        <f t="shared" si="87"/>
        <v>0</v>
      </c>
      <c r="U294">
        <f t="shared" si="88"/>
        <v>0</v>
      </c>
      <c r="V294">
        <f t="shared" si="89"/>
        <v>0</v>
      </c>
      <c r="W294" t="s">
        <v>58</v>
      </c>
      <c r="X294">
        <f t="shared" si="90"/>
        <v>0</v>
      </c>
      <c r="Y294">
        <f t="shared" si="91"/>
        <v>1</v>
      </c>
      <c r="Z294">
        <v>4</v>
      </c>
      <c r="AA294">
        <f t="shared" si="92"/>
        <v>0.75</v>
      </c>
      <c r="AB294" t="s">
        <v>46</v>
      </c>
      <c r="AC294">
        <f t="shared" si="93"/>
        <v>0</v>
      </c>
      <c r="AD294">
        <f t="shared" si="94"/>
        <v>0</v>
      </c>
      <c r="AE294" t="s">
        <v>41</v>
      </c>
      <c r="AF294">
        <f>IF(AE294="website",1,0)</f>
        <v>1</v>
      </c>
    </row>
    <row r="295" spans="1:32">
      <c r="A295" t="s">
        <v>830</v>
      </c>
      <c r="B295" t="s">
        <v>33</v>
      </c>
      <c r="C295" s="3">
        <f t="shared" si="76"/>
        <v>0</v>
      </c>
      <c r="D295">
        <f t="shared" si="77"/>
        <v>1</v>
      </c>
      <c r="E295" t="s">
        <v>596</v>
      </c>
      <c r="F295" t="s">
        <v>641</v>
      </c>
      <c r="G295" s="1">
        <v>23209</v>
      </c>
      <c r="H295" s="2">
        <f t="shared" ca="1" si="78"/>
        <v>63</v>
      </c>
      <c r="I295" s="2">
        <f t="shared" ca="1" si="79"/>
        <v>0.54285714285714282</v>
      </c>
      <c r="J295" t="s">
        <v>45</v>
      </c>
      <c r="K295" t="s">
        <v>37</v>
      </c>
      <c r="L295">
        <f t="shared" si="80"/>
        <v>1</v>
      </c>
      <c r="M295">
        <f t="shared" si="81"/>
        <v>0</v>
      </c>
      <c r="N295">
        <f t="shared" si="82"/>
        <v>0</v>
      </c>
      <c r="O295" t="s">
        <v>124</v>
      </c>
      <c r="P295">
        <f t="shared" si="83"/>
        <v>0</v>
      </c>
      <c r="Q295">
        <f t="shared" si="84"/>
        <v>0</v>
      </c>
      <c r="R295">
        <f t="shared" si="85"/>
        <v>0</v>
      </c>
      <c r="S295">
        <f t="shared" si="86"/>
        <v>0</v>
      </c>
      <c r="T295">
        <f t="shared" si="87"/>
        <v>0</v>
      </c>
      <c r="U295">
        <f t="shared" si="88"/>
        <v>1</v>
      </c>
      <c r="V295">
        <f t="shared" si="89"/>
        <v>0</v>
      </c>
      <c r="W295" t="s">
        <v>39</v>
      </c>
      <c r="X295">
        <f t="shared" si="90"/>
        <v>1</v>
      </c>
      <c r="Y295">
        <f t="shared" si="91"/>
        <v>0</v>
      </c>
      <c r="Z295">
        <v>3</v>
      </c>
      <c r="AA295">
        <f t="shared" si="92"/>
        <v>0.5</v>
      </c>
      <c r="AB295" t="s">
        <v>40</v>
      </c>
      <c r="AC295">
        <f t="shared" si="93"/>
        <v>0</v>
      </c>
      <c r="AD295">
        <f t="shared" si="94"/>
        <v>0</v>
      </c>
      <c r="AE295" t="s">
        <v>41</v>
      </c>
      <c r="AF295">
        <f>IF(AE295="website",1,0)</f>
        <v>1</v>
      </c>
    </row>
    <row r="296" spans="1:32">
      <c r="A296" t="s">
        <v>831</v>
      </c>
      <c r="B296" t="s">
        <v>33</v>
      </c>
      <c r="C296" s="3">
        <f t="shared" si="76"/>
        <v>0</v>
      </c>
      <c r="D296">
        <f t="shared" si="77"/>
        <v>1</v>
      </c>
      <c r="E296" t="s">
        <v>832</v>
      </c>
      <c r="F296" t="s">
        <v>573</v>
      </c>
      <c r="G296" s="1">
        <v>24722</v>
      </c>
      <c r="H296" s="2">
        <f t="shared" ca="1" si="78"/>
        <v>59</v>
      </c>
      <c r="I296" s="2">
        <f t="shared" ca="1" si="79"/>
        <v>0.48571428571428571</v>
      </c>
      <c r="J296" t="s">
        <v>45</v>
      </c>
      <c r="K296" t="s">
        <v>172</v>
      </c>
      <c r="L296">
        <f t="shared" si="80"/>
        <v>0</v>
      </c>
      <c r="M296">
        <f t="shared" si="81"/>
        <v>0</v>
      </c>
      <c r="N296">
        <f t="shared" si="82"/>
        <v>0</v>
      </c>
      <c r="O296" t="s">
        <v>833</v>
      </c>
      <c r="P296">
        <f t="shared" si="83"/>
        <v>0</v>
      </c>
      <c r="Q296">
        <f t="shared" si="84"/>
        <v>0</v>
      </c>
      <c r="R296">
        <f t="shared" si="85"/>
        <v>0</v>
      </c>
      <c r="S296">
        <f t="shared" si="86"/>
        <v>0</v>
      </c>
      <c r="T296">
        <f t="shared" si="87"/>
        <v>0</v>
      </c>
      <c r="U296">
        <f t="shared" si="88"/>
        <v>0</v>
      </c>
      <c r="V296">
        <f t="shared" si="89"/>
        <v>0</v>
      </c>
      <c r="W296" t="s">
        <v>39</v>
      </c>
      <c r="X296">
        <f t="shared" si="90"/>
        <v>1</v>
      </c>
      <c r="Y296">
        <f t="shared" si="91"/>
        <v>0</v>
      </c>
      <c r="Z296">
        <v>3</v>
      </c>
      <c r="AA296">
        <f t="shared" si="92"/>
        <v>0.5</v>
      </c>
      <c r="AB296" t="s">
        <v>46</v>
      </c>
      <c r="AC296">
        <f t="shared" si="93"/>
        <v>1</v>
      </c>
      <c r="AD296">
        <f t="shared" si="94"/>
        <v>0</v>
      </c>
      <c r="AE296" t="s">
        <v>50</v>
      </c>
      <c r="AF296">
        <f>IF(AE296="website",1,0)</f>
        <v>0</v>
      </c>
    </row>
    <row r="297" spans="1:32">
      <c r="A297" t="s">
        <v>834</v>
      </c>
      <c r="B297" t="s">
        <v>33</v>
      </c>
      <c r="C297" s="3">
        <f t="shared" si="76"/>
        <v>0</v>
      </c>
      <c r="D297">
        <f t="shared" si="77"/>
        <v>1</v>
      </c>
      <c r="E297" t="s">
        <v>658</v>
      </c>
      <c r="F297" t="s">
        <v>796</v>
      </c>
      <c r="G297" s="1">
        <v>30778</v>
      </c>
      <c r="H297" s="2">
        <f t="shared" ca="1" si="78"/>
        <v>42</v>
      </c>
      <c r="I297" s="2">
        <f t="shared" ca="1" si="79"/>
        <v>0.24285714285714285</v>
      </c>
      <c r="J297" t="s">
        <v>45</v>
      </c>
      <c r="K297" t="s">
        <v>65</v>
      </c>
      <c r="L297">
        <f t="shared" si="80"/>
        <v>0</v>
      </c>
      <c r="M297">
        <f t="shared" si="81"/>
        <v>1</v>
      </c>
      <c r="N297">
        <f t="shared" si="82"/>
        <v>0</v>
      </c>
      <c r="O297" t="s">
        <v>723</v>
      </c>
      <c r="P297">
        <f t="shared" si="83"/>
        <v>0</v>
      </c>
      <c r="Q297">
        <f t="shared" si="84"/>
        <v>0</v>
      </c>
      <c r="R297">
        <f t="shared" si="85"/>
        <v>0</v>
      </c>
      <c r="S297">
        <f t="shared" si="86"/>
        <v>0</v>
      </c>
      <c r="T297">
        <f t="shared" si="87"/>
        <v>0</v>
      </c>
      <c r="U297">
        <f t="shared" si="88"/>
        <v>0</v>
      </c>
      <c r="V297">
        <f t="shared" si="89"/>
        <v>0</v>
      </c>
      <c r="W297" t="s">
        <v>39</v>
      </c>
      <c r="X297">
        <f t="shared" si="90"/>
        <v>1</v>
      </c>
      <c r="Y297">
        <f t="shared" si="91"/>
        <v>0</v>
      </c>
      <c r="Z297">
        <v>1</v>
      </c>
      <c r="AA297">
        <f t="shared" si="92"/>
        <v>0</v>
      </c>
      <c r="AB297" t="s">
        <v>40</v>
      </c>
      <c r="AC297">
        <f t="shared" si="93"/>
        <v>0</v>
      </c>
      <c r="AD297">
        <f t="shared" si="94"/>
        <v>1</v>
      </c>
      <c r="AE297" t="s">
        <v>90</v>
      </c>
      <c r="AF297">
        <f>IF(AE297="website",1,0)</f>
        <v>0</v>
      </c>
    </row>
    <row r="298" spans="1:32">
      <c r="A298" t="s">
        <v>835</v>
      </c>
      <c r="B298" t="s">
        <v>33</v>
      </c>
      <c r="C298" s="3">
        <f t="shared" si="76"/>
        <v>0</v>
      </c>
      <c r="D298">
        <f t="shared" si="77"/>
        <v>1</v>
      </c>
      <c r="E298" t="s">
        <v>699</v>
      </c>
      <c r="F298" t="s">
        <v>764</v>
      </c>
      <c r="G298" s="1">
        <v>26622</v>
      </c>
      <c r="H298" s="2">
        <f t="shared" ca="1" si="78"/>
        <v>53</v>
      </c>
      <c r="I298" s="2">
        <f t="shared" ca="1" si="79"/>
        <v>0.4</v>
      </c>
      <c r="J298" t="s">
        <v>36</v>
      </c>
      <c r="K298" t="s">
        <v>248</v>
      </c>
      <c r="L298">
        <f t="shared" si="80"/>
        <v>0</v>
      </c>
      <c r="M298">
        <f t="shared" si="81"/>
        <v>0</v>
      </c>
      <c r="N298">
        <f t="shared" si="82"/>
        <v>0</v>
      </c>
      <c r="O298" t="s">
        <v>836</v>
      </c>
      <c r="P298">
        <f t="shared" si="83"/>
        <v>0</v>
      </c>
      <c r="Q298">
        <f t="shared" si="84"/>
        <v>0</v>
      </c>
      <c r="R298">
        <f t="shared" si="85"/>
        <v>0</v>
      </c>
      <c r="S298">
        <f t="shared" si="86"/>
        <v>0</v>
      </c>
      <c r="T298">
        <f t="shared" si="87"/>
        <v>0</v>
      </c>
      <c r="U298">
        <f t="shared" si="88"/>
        <v>0</v>
      </c>
      <c r="V298">
        <f t="shared" si="89"/>
        <v>0</v>
      </c>
      <c r="W298" t="s">
        <v>58</v>
      </c>
      <c r="X298">
        <f t="shared" si="90"/>
        <v>0</v>
      </c>
      <c r="Y298">
        <f t="shared" si="91"/>
        <v>1</v>
      </c>
      <c r="Z298">
        <v>5</v>
      </c>
      <c r="AA298">
        <f t="shared" si="92"/>
        <v>1</v>
      </c>
      <c r="AB298" t="s">
        <v>46</v>
      </c>
      <c r="AC298">
        <f t="shared" si="93"/>
        <v>1</v>
      </c>
      <c r="AD298">
        <f t="shared" si="94"/>
        <v>0</v>
      </c>
      <c r="AE298" t="s">
        <v>50</v>
      </c>
      <c r="AF298">
        <f>IF(AE298="website",1,0)</f>
        <v>0</v>
      </c>
    </row>
    <row r="299" spans="1:32">
      <c r="A299" t="s">
        <v>837</v>
      </c>
      <c r="B299" t="s">
        <v>33</v>
      </c>
      <c r="C299" s="3">
        <f t="shared" si="76"/>
        <v>0</v>
      </c>
      <c r="D299">
        <f t="shared" si="77"/>
        <v>1</v>
      </c>
      <c r="E299" t="s">
        <v>581</v>
      </c>
      <c r="F299" t="s">
        <v>726</v>
      </c>
      <c r="G299" s="1">
        <v>26613</v>
      </c>
      <c r="H299" s="2">
        <f t="shared" ca="1" si="78"/>
        <v>53</v>
      </c>
      <c r="I299" s="2">
        <f t="shared" ca="1" si="79"/>
        <v>0.4</v>
      </c>
      <c r="J299" t="s">
        <v>36</v>
      </c>
      <c r="K299" t="s">
        <v>37</v>
      </c>
      <c r="L299">
        <f t="shared" si="80"/>
        <v>1</v>
      </c>
      <c r="M299">
        <f t="shared" si="81"/>
        <v>0</v>
      </c>
      <c r="N299">
        <f t="shared" si="82"/>
        <v>0</v>
      </c>
      <c r="O299" t="s">
        <v>76</v>
      </c>
      <c r="P299">
        <f t="shared" si="83"/>
        <v>0</v>
      </c>
      <c r="Q299">
        <f t="shared" si="84"/>
        <v>1</v>
      </c>
      <c r="R299">
        <f t="shared" si="85"/>
        <v>0</v>
      </c>
      <c r="S299">
        <f t="shared" si="86"/>
        <v>0</v>
      </c>
      <c r="T299">
        <f t="shared" si="87"/>
        <v>0</v>
      </c>
      <c r="U299">
        <f t="shared" si="88"/>
        <v>0</v>
      </c>
      <c r="V299">
        <f t="shared" si="89"/>
        <v>0</v>
      </c>
      <c r="W299" t="s">
        <v>39</v>
      </c>
      <c r="X299">
        <f t="shared" si="90"/>
        <v>1</v>
      </c>
      <c r="Y299">
        <f t="shared" si="91"/>
        <v>0</v>
      </c>
      <c r="Z299">
        <v>3</v>
      </c>
      <c r="AA299">
        <f t="shared" si="92"/>
        <v>0.5</v>
      </c>
      <c r="AB299" t="s">
        <v>46</v>
      </c>
      <c r="AC299">
        <f t="shared" si="93"/>
        <v>0</v>
      </c>
      <c r="AD299">
        <f t="shared" si="94"/>
        <v>0</v>
      </c>
      <c r="AE299" t="s">
        <v>41</v>
      </c>
      <c r="AF299">
        <f>IF(AE299="website",1,0)</f>
        <v>1</v>
      </c>
    </row>
    <row r="300" spans="1:32">
      <c r="A300" t="s">
        <v>838</v>
      </c>
      <c r="B300" t="s">
        <v>33</v>
      </c>
      <c r="C300" s="3">
        <f t="shared" si="76"/>
        <v>0</v>
      </c>
      <c r="D300">
        <f t="shared" si="77"/>
        <v>1</v>
      </c>
      <c r="E300" t="s">
        <v>839</v>
      </c>
      <c r="F300" t="s">
        <v>840</v>
      </c>
      <c r="G300" s="1">
        <v>28248</v>
      </c>
      <c r="H300" s="2">
        <f t="shared" ca="1" si="78"/>
        <v>49</v>
      </c>
      <c r="I300" s="2">
        <f t="shared" ca="1" si="79"/>
        <v>0.34285714285714286</v>
      </c>
      <c r="J300" t="s">
        <v>36</v>
      </c>
      <c r="K300" t="s">
        <v>248</v>
      </c>
      <c r="L300">
        <f t="shared" si="80"/>
        <v>0</v>
      </c>
      <c r="M300">
        <f t="shared" si="81"/>
        <v>0</v>
      </c>
      <c r="N300">
        <f t="shared" si="82"/>
        <v>0</v>
      </c>
      <c r="O300" t="s">
        <v>836</v>
      </c>
      <c r="P300">
        <f t="shared" si="83"/>
        <v>0</v>
      </c>
      <c r="Q300">
        <f t="shared" si="84"/>
        <v>0</v>
      </c>
      <c r="R300">
        <f t="shared" si="85"/>
        <v>0</v>
      </c>
      <c r="S300">
        <f t="shared" si="86"/>
        <v>0</v>
      </c>
      <c r="T300">
        <f t="shared" si="87"/>
        <v>0</v>
      </c>
      <c r="U300">
        <f t="shared" si="88"/>
        <v>0</v>
      </c>
      <c r="V300">
        <f t="shared" si="89"/>
        <v>0</v>
      </c>
      <c r="W300" t="s">
        <v>39</v>
      </c>
      <c r="X300">
        <f t="shared" si="90"/>
        <v>1</v>
      </c>
      <c r="Y300">
        <f t="shared" si="91"/>
        <v>0</v>
      </c>
      <c r="Z300">
        <v>5</v>
      </c>
      <c r="AA300">
        <f t="shared" si="92"/>
        <v>1</v>
      </c>
      <c r="AB300" t="s">
        <v>46</v>
      </c>
      <c r="AC300">
        <f t="shared" si="93"/>
        <v>1</v>
      </c>
      <c r="AD300">
        <f t="shared" si="94"/>
        <v>0</v>
      </c>
      <c r="AE300" t="s">
        <v>50</v>
      </c>
      <c r="AF300">
        <f>IF(AE300="website",1,0)</f>
        <v>0</v>
      </c>
    </row>
    <row r="301" spans="1:32">
      <c r="A301" t="s">
        <v>841</v>
      </c>
      <c r="B301" t="s">
        <v>33</v>
      </c>
      <c r="C301" s="3">
        <f t="shared" si="76"/>
        <v>0</v>
      </c>
      <c r="D301">
        <f t="shared" si="77"/>
        <v>1</v>
      </c>
      <c r="E301" t="s">
        <v>842</v>
      </c>
      <c r="F301" t="s">
        <v>591</v>
      </c>
      <c r="G301" s="1">
        <v>21651</v>
      </c>
      <c r="H301" s="2">
        <f t="shared" ca="1" si="78"/>
        <v>67</v>
      </c>
      <c r="I301" s="2">
        <f t="shared" ca="1" si="79"/>
        <v>0.6</v>
      </c>
      <c r="J301" t="s">
        <v>45</v>
      </c>
      <c r="K301" t="s">
        <v>65</v>
      </c>
      <c r="L301">
        <f t="shared" si="80"/>
        <v>0</v>
      </c>
      <c r="M301">
        <f t="shared" si="81"/>
        <v>1</v>
      </c>
      <c r="N301">
        <f t="shared" si="82"/>
        <v>0</v>
      </c>
      <c r="O301" t="s">
        <v>843</v>
      </c>
      <c r="P301">
        <f t="shared" si="83"/>
        <v>0</v>
      </c>
      <c r="Q301">
        <f t="shared" si="84"/>
        <v>0</v>
      </c>
      <c r="R301">
        <f t="shared" si="85"/>
        <v>0</v>
      </c>
      <c r="S301">
        <f t="shared" si="86"/>
        <v>0</v>
      </c>
      <c r="T301">
        <f t="shared" si="87"/>
        <v>0</v>
      </c>
      <c r="U301">
        <f t="shared" si="88"/>
        <v>0</v>
      </c>
      <c r="V301">
        <f t="shared" si="89"/>
        <v>0</v>
      </c>
      <c r="W301" t="s">
        <v>39</v>
      </c>
      <c r="X301">
        <f t="shared" si="90"/>
        <v>1</v>
      </c>
      <c r="Y301">
        <f t="shared" si="91"/>
        <v>0</v>
      </c>
      <c r="Z301">
        <v>5</v>
      </c>
      <c r="AA301">
        <f t="shared" si="92"/>
        <v>1</v>
      </c>
      <c r="AB301" t="s">
        <v>40</v>
      </c>
      <c r="AC301">
        <f t="shared" si="93"/>
        <v>0</v>
      </c>
      <c r="AD301">
        <f t="shared" si="94"/>
        <v>0</v>
      </c>
      <c r="AE301" t="s">
        <v>41</v>
      </c>
      <c r="AF301">
        <f>IF(AE301="website",1,0)</f>
        <v>1</v>
      </c>
    </row>
    <row r="302" spans="1:32">
      <c r="A302" t="s">
        <v>844</v>
      </c>
      <c r="B302" t="s">
        <v>33</v>
      </c>
      <c r="C302" s="3">
        <f t="shared" si="76"/>
        <v>0</v>
      </c>
      <c r="D302">
        <f t="shared" si="77"/>
        <v>1</v>
      </c>
      <c r="E302" t="s">
        <v>845</v>
      </c>
      <c r="F302" t="s">
        <v>576</v>
      </c>
      <c r="G302" s="1">
        <v>21611</v>
      </c>
      <c r="H302" s="2">
        <f t="shared" ca="1" si="78"/>
        <v>67</v>
      </c>
      <c r="I302" s="2">
        <f t="shared" ca="1" si="79"/>
        <v>0.6</v>
      </c>
      <c r="J302" t="s">
        <v>36</v>
      </c>
      <c r="K302" t="s">
        <v>37</v>
      </c>
      <c r="L302">
        <f t="shared" si="80"/>
        <v>1</v>
      </c>
      <c r="M302">
        <f t="shared" si="81"/>
        <v>0</v>
      </c>
      <c r="N302">
        <f t="shared" si="82"/>
        <v>0</v>
      </c>
      <c r="O302" t="s">
        <v>305</v>
      </c>
      <c r="P302">
        <f t="shared" si="83"/>
        <v>0</v>
      </c>
      <c r="Q302">
        <f t="shared" si="84"/>
        <v>0</v>
      </c>
      <c r="R302">
        <f t="shared" si="85"/>
        <v>0</v>
      </c>
      <c r="S302">
        <f t="shared" si="86"/>
        <v>0</v>
      </c>
      <c r="T302">
        <f t="shared" si="87"/>
        <v>0</v>
      </c>
      <c r="U302">
        <f t="shared" si="88"/>
        <v>0</v>
      </c>
      <c r="V302">
        <f t="shared" si="89"/>
        <v>0</v>
      </c>
      <c r="W302" t="s">
        <v>39</v>
      </c>
      <c r="X302">
        <f t="shared" si="90"/>
        <v>1</v>
      </c>
      <c r="Y302">
        <f t="shared" si="91"/>
        <v>0</v>
      </c>
      <c r="Z302">
        <v>4</v>
      </c>
      <c r="AA302">
        <f t="shared" si="92"/>
        <v>0.75</v>
      </c>
      <c r="AB302" t="s">
        <v>46</v>
      </c>
      <c r="AC302">
        <f t="shared" si="93"/>
        <v>1</v>
      </c>
      <c r="AD302">
        <f t="shared" si="94"/>
        <v>0</v>
      </c>
      <c r="AE302" t="s">
        <v>50</v>
      </c>
      <c r="AF302">
        <f>IF(AE302="website",1,0)</f>
        <v>0</v>
      </c>
    </row>
    <row r="303" spans="1:32">
      <c r="A303" t="s">
        <v>846</v>
      </c>
      <c r="B303" t="s">
        <v>33</v>
      </c>
      <c r="C303" s="3">
        <f t="shared" si="76"/>
        <v>0</v>
      </c>
      <c r="D303">
        <f t="shared" si="77"/>
        <v>1</v>
      </c>
      <c r="E303" t="s">
        <v>847</v>
      </c>
      <c r="F303" t="s">
        <v>308</v>
      </c>
      <c r="G303" s="1">
        <v>27966</v>
      </c>
      <c r="H303" s="2">
        <f t="shared" ca="1" si="78"/>
        <v>50</v>
      </c>
      <c r="I303" s="2">
        <f t="shared" ca="1" si="79"/>
        <v>0.35714285714285715</v>
      </c>
      <c r="J303" t="s">
        <v>36</v>
      </c>
      <c r="K303" t="s">
        <v>37</v>
      </c>
      <c r="L303">
        <f t="shared" si="80"/>
        <v>1</v>
      </c>
      <c r="M303">
        <f t="shared" si="81"/>
        <v>0</v>
      </c>
      <c r="N303">
        <f t="shared" si="82"/>
        <v>0</v>
      </c>
      <c r="O303" t="s">
        <v>183</v>
      </c>
      <c r="P303">
        <f t="shared" si="83"/>
        <v>0</v>
      </c>
      <c r="Q303">
        <f t="shared" si="84"/>
        <v>0</v>
      </c>
      <c r="R303">
        <f t="shared" si="85"/>
        <v>0</v>
      </c>
      <c r="S303">
        <f t="shared" si="86"/>
        <v>0</v>
      </c>
      <c r="T303">
        <f t="shared" si="87"/>
        <v>0</v>
      </c>
      <c r="U303">
        <f t="shared" si="88"/>
        <v>0</v>
      </c>
      <c r="V303">
        <f t="shared" si="89"/>
        <v>0</v>
      </c>
      <c r="W303" t="s">
        <v>58</v>
      </c>
      <c r="X303">
        <f t="shared" si="90"/>
        <v>0</v>
      </c>
      <c r="Y303">
        <f t="shared" si="91"/>
        <v>1</v>
      </c>
      <c r="Z303">
        <v>1</v>
      </c>
      <c r="AA303">
        <f t="shared" si="92"/>
        <v>0</v>
      </c>
      <c r="AB303" t="s">
        <v>46</v>
      </c>
      <c r="AC303">
        <f t="shared" si="93"/>
        <v>1</v>
      </c>
      <c r="AD303">
        <f t="shared" si="94"/>
        <v>0</v>
      </c>
      <c r="AE303" t="s">
        <v>50</v>
      </c>
      <c r="AF303">
        <f>IF(AE303="website",1,0)</f>
        <v>0</v>
      </c>
    </row>
    <row r="304" spans="1:32">
      <c r="A304" t="s">
        <v>848</v>
      </c>
      <c r="B304" t="s">
        <v>33</v>
      </c>
      <c r="C304" s="3">
        <f t="shared" si="76"/>
        <v>0</v>
      </c>
      <c r="D304">
        <f t="shared" si="77"/>
        <v>1</v>
      </c>
      <c r="E304" t="s">
        <v>755</v>
      </c>
      <c r="F304" t="s">
        <v>703</v>
      </c>
      <c r="G304" s="1">
        <v>21011</v>
      </c>
      <c r="H304" s="2">
        <f t="shared" ca="1" si="78"/>
        <v>69</v>
      </c>
      <c r="I304" s="2">
        <f t="shared" ca="1" si="79"/>
        <v>0.62857142857142856</v>
      </c>
      <c r="J304" t="s">
        <v>36</v>
      </c>
      <c r="K304" t="s">
        <v>37</v>
      </c>
      <c r="L304">
        <f t="shared" si="80"/>
        <v>1</v>
      </c>
      <c r="M304">
        <f t="shared" si="81"/>
        <v>0</v>
      </c>
      <c r="N304">
        <f t="shared" si="82"/>
        <v>0</v>
      </c>
      <c r="O304" t="s">
        <v>305</v>
      </c>
      <c r="P304">
        <f t="shared" si="83"/>
        <v>0</v>
      </c>
      <c r="Q304">
        <f t="shared" si="84"/>
        <v>0</v>
      </c>
      <c r="R304">
        <f t="shared" si="85"/>
        <v>0</v>
      </c>
      <c r="S304">
        <f t="shared" si="86"/>
        <v>0</v>
      </c>
      <c r="T304">
        <f t="shared" si="87"/>
        <v>0</v>
      </c>
      <c r="U304">
        <f t="shared" si="88"/>
        <v>0</v>
      </c>
      <c r="V304">
        <f t="shared" si="89"/>
        <v>0</v>
      </c>
      <c r="W304" t="s">
        <v>58</v>
      </c>
      <c r="X304">
        <f t="shared" si="90"/>
        <v>0</v>
      </c>
      <c r="Y304">
        <f t="shared" si="91"/>
        <v>1</v>
      </c>
      <c r="Z304">
        <v>5</v>
      </c>
      <c r="AA304">
        <f t="shared" si="92"/>
        <v>1</v>
      </c>
      <c r="AB304" t="s">
        <v>40</v>
      </c>
      <c r="AC304">
        <f t="shared" si="93"/>
        <v>0</v>
      </c>
      <c r="AD304">
        <f t="shared" si="94"/>
        <v>0</v>
      </c>
      <c r="AE304" t="s">
        <v>41</v>
      </c>
      <c r="AF304">
        <f>IF(AE304="website",1,0)</f>
        <v>1</v>
      </c>
    </row>
    <row r="305" spans="1:32">
      <c r="A305" t="s">
        <v>849</v>
      </c>
      <c r="B305" t="s">
        <v>33</v>
      </c>
      <c r="C305" s="3">
        <f t="shared" si="76"/>
        <v>0</v>
      </c>
      <c r="D305">
        <f t="shared" si="77"/>
        <v>1</v>
      </c>
      <c r="E305" t="s">
        <v>152</v>
      </c>
      <c r="F305" t="s">
        <v>742</v>
      </c>
      <c r="G305" s="1">
        <v>21906</v>
      </c>
      <c r="H305" s="2">
        <f t="shared" ca="1" si="78"/>
        <v>66</v>
      </c>
      <c r="I305" s="2">
        <f t="shared" ca="1" si="79"/>
        <v>0.58571428571428574</v>
      </c>
      <c r="J305" t="s">
        <v>45</v>
      </c>
      <c r="K305" t="s">
        <v>37</v>
      </c>
      <c r="L305">
        <f t="shared" si="80"/>
        <v>1</v>
      </c>
      <c r="M305">
        <f t="shared" si="81"/>
        <v>0</v>
      </c>
      <c r="N305">
        <f t="shared" si="82"/>
        <v>0</v>
      </c>
      <c r="O305" t="s">
        <v>38</v>
      </c>
      <c r="P305">
        <f t="shared" si="83"/>
        <v>1</v>
      </c>
      <c r="Q305">
        <f t="shared" si="84"/>
        <v>0</v>
      </c>
      <c r="R305">
        <f t="shared" si="85"/>
        <v>0</v>
      </c>
      <c r="S305">
        <f t="shared" si="86"/>
        <v>0</v>
      </c>
      <c r="T305">
        <f t="shared" si="87"/>
        <v>0</v>
      </c>
      <c r="U305">
        <f t="shared" si="88"/>
        <v>0</v>
      </c>
      <c r="V305">
        <f t="shared" si="89"/>
        <v>0</v>
      </c>
      <c r="W305" t="s">
        <v>58</v>
      </c>
      <c r="X305">
        <f t="shared" si="90"/>
        <v>0</v>
      </c>
      <c r="Y305">
        <f t="shared" si="91"/>
        <v>1</v>
      </c>
      <c r="Z305">
        <v>1</v>
      </c>
      <c r="AA305">
        <f t="shared" si="92"/>
        <v>0</v>
      </c>
      <c r="AB305" t="s">
        <v>46</v>
      </c>
      <c r="AC305">
        <f t="shared" si="93"/>
        <v>1</v>
      </c>
      <c r="AD305">
        <f t="shared" si="94"/>
        <v>0</v>
      </c>
      <c r="AE305" t="s">
        <v>50</v>
      </c>
      <c r="AF305">
        <f>IF(AE305="website",1,0)</f>
        <v>0</v>
      </c>
    </row>
    <row r="306" spans="1:32">
      <c r="A306" t="s">
        <v>850</v>
      </c>
      <c r="B306" t="s">
        <v>33</v>
      </c>
      <c r="C306" s="3">
        <f t="shared" si="76"/>
        <v>0</v>
      </c>
      <c r="D306">
        <f t="shared" si="77"/>
        <v>1</v>
      </c>
      <c r="E306" t="s">
        <v>809</v>
      </c>
      <c r="F306" t="s">
        <v>607</v>
      </c>
      <c r="G306" s="1">
        <v>35025</v>
      </c>
      <c r="H306" s="2">
        <f t="shared" ca="1" si="78"/>
        <v>30</v>
      </c>
      <c r="I306" s="2">
        <f t="shared" ca="1" si="79"/>
        <v>7.1428571428571425E-2</v>
      </c>
      <c r="J306" t="s">
        <v>36</v>
      </c>
      <c r="K306" t="s">
        <v>37</v>
      </c>
      <c r="L306">
        <f t="shared" si="80"/>
        <v>1</v>
      </c>
      <c r="M306">
        <f t="shared" si="81"/>
        <v>0</v>
      </c>
      <c r="N306">
        <f t="shared" si="82"/>
        <v>0</v>
      </c>
      <c r="O306" t="s">
        <v>97</v>
      </c>
      <c r="P306">
        <f t="shared" si="83"/>
        <v>0</v>
      </c>
      <c r="Q306">
        <f t="shared" si="84"/>
        <v>0</v>
      </c>
      <c r="R306">
        <f t="shared" si="85"/>
        <v>0</v>
      </c>
      <c r="S306">
        <f t="shared" si="86"/>
        <v>0</v>
      </c>
      <c r="T306">
        <f t="shared" si="87"/>
        <v>1</v>
      </c>
      <c r="U306">
        <f t="shared" si="88"/>
        <v>0</v>
      </c>
      <c r="V306">
        <f t="shared" si="89"/>
        <v>0</v>
      </c>
      <c r="W306" t="s">
        <v>39</v>
      </c>
      <c r="X306">
        <f t="shared" si="90"/>
        <v>1</v>
      </c>
      <c r="Y306">
        <f t="shared" si="91"/>
        <v>0</v>
      </c>
      <c r="Z306">
        <v>1</v>
      </c>
      <c r="AA306">
        <f t="shared" si="92"/>
        <v>0</v>
      </c>
      <c r="AB306" t="s">
        <v>46</v>
      </c>
      <c r="AC306">
        <f t="shared" si="93"/>
        <v>0</v>
      </c>
      <c r="AD306">
        <f t="shared" si="94"/>
        <v>0</v>
      </c>
      <c r="AE306" t="s">
        <v>41</v>
      </c>
      <c r="AF306">
        <f>IF(AE306="website",1,0)</f>
        <v>1</v>
      </c>
    </row>
    <row r="307" spans="1:32">
      <c r="A307" t="s">
        <v>851</v>
      </c>
      <c r="B307" t="s">
        <v>33</v>
      </c>
      <c r="C307" s="3">
        <f t="shared" si="76"/>
        <v>0</v>
      </c>
      <c r="D307">
        <f t="shared" si="77"/>
        <v>1</v>
      </c>
      <c r="E307" t="s">
        <v>852</v>
      </c>
      <c r="F307" t="s">
        <v>674</v>
      </c>
      <c r="G307" s="1">
        <v>32238</v>
      </c>
      <c r="H307" s="2">
        <f t="shared" ca="1" si="78"/>
        <v>38</v>
      </c>
      <c r="I307" s="2">
        <f t="shared" ca="1" si="79"/>
        <v>0.18571428571428572</v>
      </c>
      <c r="J307" t="s">
        <v>45</v>
      </c>
      <c r="K307" t="s">
        <v>37</v>
      </c>
      <c r="L307">
        <f t="shared" si="80"/>
        <v>1</v>
      </c>
      <c r="M307">
        <f t="shared" si="81"/>
        <v>0</v>
      </c>
      <c r="N307">
        <f t="shared" si="82"/>
        <v>0</v>
      </c>
      <c r="O307" t="s">
        <v>38</v>
      </c>
      <c r="P307">
        <f t="shared" si="83"/>
        <v>1</v>
      </c>
      <c r="Q307">
        <f t="shared" si="84"/>
        <v>0</v>
      </c>
      <c r="R307">
        <f t="shared" si="85"/>
        <v>0</v>
      </c>
      <c r="S307">
        <f t="shared" si="86"/>
        <v>0</v>
      </c>
      <c r="T307">
        <f t="shared" si="87"/>
        <v>0</v>
      </c>
      <c r="U307">
        <f t="shared" si="88"/>
        <v>0</v>
      </c>
      <c r="V307">
        <f t="shared" si="89"/>
        <v>0</v>
      </c>
      <c r="W307" t="s">
        <v>39</v>
      </c>
      <c r="X307">
        <f t="shared" si="90"/>
        <v>1</v>
      </c>
      <c r="Y307">
        <f t="shared" si="91"/>
        <v>0</v>
      </c>
      <c r="Z307">
        <v>1</v>
      </c>
      <c r="AA307">
        <f t="shared" si="92"/>
        <v>0</v>
      </c>
      <c r="AB307" t="s">
        <v>46</v>
      </c>
      <c r="AC307">
        <f t="shared" si="93"/>
        <v>0</v>
      </c>
      <c r="AD307">
        <f t="shared" si="94"/>
        <v>1</v>
      </c>
      <c r="AE307" t="s">
        <v>90</v>
      </c>
      <c r="AF307">
        <f>IF(AE307="website",1,0)</f>
        <v>0</v>
      </c>
    </row>
    <row r="308" spans="1:32">
      <c r="A308" t="s">
        <v>853</v>
      </c>
      <c r="B308" t="s">
        <v>33</v>
      </c>
      <c r="C308" s="3">
        <f t="shared" si="76"/>
        <v>0</v>
      </c>
      <c r="D308">
        <f t="shared" si="77"/>
        <v>1</v>
      </c>
      <c r="E308" t="s">
        <v>852</v>
      </c>
      <c r="F308" t="s">
        <v>757</v>
      </c>
      <c r="G308" s="1">
        <v>33890</v>
      </c>
      <c r="H308" s="2">
        <f t="shared" ca="1" si="78"/>
        <v>33</v>
      </c>
      <c r="I308" s="2">
        <f t="shared" ca="1" si="79"/>
        <v>0.11428571428571428</v>
      </c>
      <c r="J308" t="s">
        <v>45</v>
      </c>
      <c r="K308" t="s">
        <v>37</v>
      </c>
      <c r="L308">
        <f t="shared" si="80"/>
        <v>1</v>
      </c>
      <c r="M308">
        <f t="shared" si="81"/>
        <v>0</v>
      </c>
      <c r="N308">
        <f t="shared" si="82"/>
        <v>0</v>
      </c>
      <c r="O308" t="s">
        <v>38</v>
      </c>
      <c r="P308">
        <f t="shared" si="83"/>
        <v>1</v>
      </c>
      <c r="Q308">
        <f t="shared" si="84"/>
        <v>0</v>
      </c>
      <c r="R308">
        <f t="shared" si="85"/>
        <v>0</v>
      </c>
      <c r="S308">
        <f t="shared" si="86"/>
        <v>0</v>
      </c>
      <c r="T308">
        <f t="shared" si="87"/>
        <v>0</v>
      </c>
      <c r="U308">
        <f t="shared" si="88"/>
        <v>0</v>
      </c>
      <c r="V308">
        <f t="shared" si="89"/>
        <v>0</v>
      </c>
      <c r="W308" t="s">
        <v>39</v>
      </c>
      <c r="X308">
        <f t="shared" si="90"/>
        <v>1</v>
      </c>
      <c r="Y308">
        <f t="shared" si="91"/>
        <v>0</v>
      </c>
      <c r="Z308">
        <v>5</v>
      </c>
      <c r="AA308">
        <f t="shared" si="92"/>
        <v>1</v>
      </c>
      <c r="AB308" t="s">
        <v>40</v>
      </c>
      <c r="AC308">
        <f t="shared" si="93"/>
        <v>0</v>
      </c>
      <c r="AD308">
        <f t="shared" si="94"/>
        <v>1</v>
      </c>
      <c r="AE308" t="s">
        <v>90</v>
      </c>
      <c r="AF308">
        <f>IF(AE308="website",1,0)</f>
        <v>0</v>
      </c>
    </row>
    <row r="309" spans="1:32">
      <c r="A309" t="s">
        <v>854</v>
      </c>
      <c r="B309" t="s">
        <v>33</v>
      </c>
      <c r="C309" s="3">
        <f t="shared" si="76"/>
        <v>0</v>
      </c>
      <c r="D309">
        <f t="shared" si="77"/>
        <v>1</v>
      </c>
      <c r="E309" t="s">
        <v>567</v>
      </c>
      <c r="F309" t="s">
        <v>653</v>
      </c>
      <c r="G309" s="1">
        <v>26582</v>
      </c>
      <c r="H309" s="2">
        <f t="shared" ca="1" si="78"/>
        <v>53</v>
      </c>
      <c r="I309" s="2">
        <f t="shared" ca="1" si="79"/>
        <v>0.4</v>
      </c>
      <c r="J309" t="s">
        <v>36</v>
      </c>
      <c r="K309" t="s">
        <v>153</v>
      </c>
      <c r="L309">
        <f t="shared" si="80"/>
        <v>0</v>
      </c>
      <c r="M309">
        <f t="shared" si="81"/>
        <v>0</v>
      </c>
      <c r="N309">
        <f t="shared" si="82"/>
        <v>0</v>
      </c>
      <c r="O309" t="s">
        <v>778</v>
      </c>
      <c r="P309">
        <f t="shared" si="83"/>
        <v>0</v>
      </c>
      <c r="Q309">
        <f t="shared" si="84"/>
        <v>0</v>
      </c>
      <c r="R309">
        <f t="shared" si="85"/>
        <v>0</v>
      </c>
      <c r="S309">
        <f t="shared" si="86"/>
        <v>0</v>
      </c>
      <c r="T309">
        <f t="shared" si="87"/>
        <v>0</v>
      </c>
      <c r="U309">
        <f t="shared" si="88"/>
        <v>0</v>
      </c>
      <c r="V309">
        <f t="shared" si="89"/>
        <v>0</v>
      </c>
      <c r="W309" t="s">
        <v>58</v>
      </c>
      <c r="X309">
        <f t="shared" si="90"/>
        <v>0</v>
      </c>
      <c r="Y309">
        <f t="shared" si="91"/>
        <v>1</v>
      </c>
      <c r="Z309">
        <v>4</v>
      </c>
      <c r="AA309">
        <f t="shared" si="92"/>
        <v>0.75</v>
      </c>
      <c r="AB309" t="s">
        <v>40</v>
      </c>
      <c r="AC309">
        <f t="shared" si="93"/>
        <v>1</v>
      </c>
      <c r="AD309">
        <f t="shared" si="94"/>
        <v>0</v>
      </c>
      <c r="AE309" t="s">
        <v>50</v>
      </c>
      <c r="AF309">
        <f>IF(AE309="website",1,0)</f>
        <v>0</v>
      </c>
    </row>
    <row r="310" spans="1:32">
      <c r="A310" t="s">
        <v>855</v>
      </c>
      <c r="B310" t="s">
        <v>33</v>
      </c>
      <c r="C310" s="3">
        <f t="shared" si="76"/>
        <v>0</v>
      </c>
      <c r="D310">
        <f t="shared" si="77"/>
        <v>1</v>
      </c>
      <c r="E310" t="s">
        <v>747</v>
      </c>
      <c r="F310" t="s">
        <v>856</v>
      </c>
      <c r="G310" s="1">
        <v>21108</v>
      </c>
      <c r="H310" s="2">
        <f t="shared" ca="1" si="78"/>
        <v>68</v>
      </c>
      <c r="I310" s="2">
        <f t="shared" ca="1" si="79"/>
        <v>0.61428571428571432</v>
      </c>
      <c r="J310" t="s">
        <v>36</v>
      </c>
      <c r="K310" t="s">
        <v>37</v>
      </c>
      <c r="L310">
        <f t="shared" si="80"/>
        <v>1</v>
      </c>
      <c r="M310">
        <f t="shared" si="81"/>
        <v>0</v>
      </c>
      <c r="N310">
        <f t="shared" si="82"/>
        <v>0</v>
      </c>
      <c r="O310" t="s">
        <v>565</v>
      </c>
      <c r="P310">
        <f t="shared" si="83"/>
        <v>0</v>
      </c>
      <c r="Q310">
        <f t="shared" si="84"/>
        <v>0</v>
      </c>
      <c r="R310">
        <f t="shared" si="85"/>
        <v>0</v>
      </c>
      <c r="S310">
        <f t="shared" si="86"/>
        <v>0</v>
      </c>
      <c r="T310">
        <f t="shared" si="87"/>
        <v>0</v>
      </c>
      <c r="U310">
        <f t="shared" si="88"/>
        <v>0</v>
      </c>
      <c r="V310">
        <f t="shared" si="89"/>
        <v>0</v>
      </c>
      <c r="W310" t="s">
        <v>39</v>
      </c>
      <c r="X310">
        <f t="shared" si="90"/>
        <v>1</v>
      </c>
      <c r="Y310">
        <f t="shared" si="91"/>
        <v>0</v>
      </c>
      <c r="Z310">
        <v>4</v>
      </c>
      <c r="AA310">
        <f t="shared" si="92"/>
        <v>0.75</v>
      </c>
      <c r="AB310" t="s">
        <v>46</v>
      </c>
      <c r="AC310">
        <f t="shared" si="93"/>
        <v>1</v>
      </c>
      <c r="AD310">
        <f t="shared" si="94"/>
        <v>0</v>
      </c>
      <c r="AE310" t="s">
        <v>50</v>
      </c>
      <c r="AF310">
        <f>IF(AE310="website",1,0)</f>
        <v>0</v>
      </c>
    </row>
    <row r="311" spans="1:32">
      <c r="A311" t="s">
        <v>857</v>
      </c>
      <c r="B311" t="s">
        <v>33</v>
      </c>
      <c r="C311" s="3">
        <f t="shared" si="76"/>
        <v>0</v>
      </c>
      <c r="D311">
        <f t="shared" si="77"/>
        <v>1</v>
      </c>
      <c r="E311" t="s">
        <v>858</v>
      </c>
      <c r="F311" t="s">
        <v>552</v>
      </c>
      <c r="G311" s="1">
        <v>33726</v>
      </c>
      <c r="H311" s="2">
        <f t="shared" ca="1" si="78"/>
        <v>34</v>
      </c>
      <c r="I311" s="2">
        <f t="shared" ca="1" si="79"/>
        <v>0.12857142857142856</v>
      </c>
      <c r="J311" t="s">
        <v>45</v>
      </c>
      <c r="K311" t="s">
        <v>248</v>
      </c>
      <c r="L311">
        <f t="shared" si="80"/>
        <v>0</v>
      </c>
      <c r="M311">
        <f t="shared" si="81"/>
        <v>0</v>
      </c>
      <c r="N311">
        <f t="shared" si="82"/>
        <v>0</v>
      </c>
      <c r="O311" t="s">
        <v>249</v>
      </c>
      <c r="P311">
        <f t="shared" si="83"/>
        <v>0</v>
      </c>
      <c r="Q311">
        <f t="shared" si="84"/>
        <v>0</v>
      </c>
      <c r="R311">
        <f t="shared" si="85"/>
        <v>0</v>
      </c>
      <c r="S311">
        <f t="shared" si="86"/>
        <v>0</v>
      </c>
      <c r="T311">
        <f t="shared" si="87"/>
        <v>0</v>
      </c>
      <c r="U311">
        <f t="shared" si="88"/>
        <v>0</v>
      </c>
      <c r="V311">
        <f t="shared" si="89"/>
        <v>0</v>
      </c>
      <c r="W311" t="s">
        <v>39</v>
      </c>
      <c r="X311">
        <f t="shared" si="90"/>
        <v>1</v>
      </c>
      <c r="Y311">
        <f t="shared" si="91"/>
        <v>0</v>
      </c>
      <c r="Z311">
        <v>3</v>
      </c>
      <c r="AA311">
        <f t="shared" si="92"/>
        <v>0.5</v>
      </c>
      <c r="AB311" t="s">
        <v>46</v>
      </c>
      <c r="AC311">
        <f t="shared" si="93"/>
        <v>0</v>
      </c>
      <c r="AD311">
        <f t="shared" si="94"/>
        <v>0</v>
      </c>
      <c r="AE311" t="s">
        <v>41</v>
      </c>
      <c r="AF311">
        <f>IF(AE311="website",1,0)</f>
        <v>1</v>
      </c>
    </row>
    <row r="312" spans="1:32">
      <c r="A312" t="s">
        <v>859</v>
      </c>
      <c r="B312" t="s">
        <v>33</v>
      </c>
      <c r="C312" s="3">
        <f t="shared" si="76"/>
        <v>0</v>
      </c>
      <c r="D312">
        <f t="shared" si="77"/>
        <v>1</v>
      </c>
      <c r="E312" t="s">
        <v>750</v>
      </c>
      <c r="F312" t="s">
        <v>366</v>
      </c>
      <c r="G312" s="1">
        <v>19062</v>
      </c>
      <c r="H312" s="2">
        <f t="shared" ca="1" si="78"/>
        <v>74</v>
      </c>
      <c r="I312" s="2">
        <f t="shared" ca="1" si="79"/>
        <v>0.7</v>
      </c>
      <c r="J312" t="s">
        <v>45</v>
      </c>
      <c r="K312" t="s">
        <v>37</v>
      </c>
      <c r="L312">
        <f t="shared" si="80"/>
        <v>1</v>
      </c>
      <c r="M312">
        <f t="shared" si="81"/>
        <v>0</v>
      </c>
      <c r="N312">
        <f t="shared" si="82"/>
        <v>0</v>
      </c>
      <c r="O312" t="s">
        <v>785</v>
      </c>
      <c r="P312">
        <f t="shared" si="83"/>
        <v>0</v>
      </c>
      <c r="Q312">
        <f t="shared" si="84"/>
        <v>0</v>
      </c>
      <c r="R312">
        <f t="shared" si="85"/>
        <v>0</v>
      </c>
      <c r="S312">
        <f t="shared" si="86"/>
        <v>0</v>
      </c>
      <c r="T312">
        <f t="shared" si="87"/>
        <v>0</v>
      </c>
      <c r="U312">
        <f t="shared" si="88"/>
        <v>0</v>
      </c>
      <c r="V312">
        <f t="shared" si="89"/>
        <v>0</v>
      </c>
      <c r="W312" t="s">
        <v>39</v>
      </c>
      <c r="X312">
        <f t="shared" si="90"/>
        <v>1</v>
      </c>
      <c r="Y312">
        <f t="shared" si="91"/>
        <v>0</v>
      </c>
      <c r="Z312">
        <v>2</v>
      </c>
      <c r="AA312">
        <f t="shared" si="92"/>
        <v>0.25</v>
      </c>
      <c r="AB312" t="s">
        <v>46</v>
      </c>
      <c r="AC312">
        <f t="shared" si="93"/>
        <v>0</v>
      </c>
      <c r="AD312">
        <f t="shared" si="94"/>
        <v>0</v>
      </c>
      <c r="AE312" t="s">
        <v>41</v>
      </c>
      <c r="AF312">
        <f>IF(AE312="website",1,0)</f>
        <v>1</v>
      </c>
    </row>
    <row r="313" spans="1:32">
      <c r="A313" t="s">
        <v>860</v>
      </c>
      <c r="B313" t="s">
        <v>33</v>
      </c>
      <c r="C313" s="3">
        <f t="shared" si="76"/>
        <v>0</v>
      </c>
      <c r="D313">
        <f t="shared" si="77"/>
        <v>1</v>
      </c>
      <c r="E313" t="s">
        <v>842</v>
      </c>
      <c r="F313" t="s">
        <v>861</v>
      </c>
      <c r="G313" s="1">
        <v>14990</v>
      </c>
      <c r="H313" s="2">
        <f t="shared" ca="1" si="78"/>
        <v>85</v>
      </c>
      <c r="I313" s="2">
        <f t="shared" ca="1" si="79"/>
        <v>0.8571428571428571</v>
      </c>
      <c r="J313" t="s">
        <v>45</v>
      </c>
      <c r="K313" t="s">
        <v>37</v>
      </c>
      <c r="L313">
        <f t="shared" si="80"/>
        <v>1</v>
      </c>
      <c r="M313">
        <f t="shared" si="81"/>
        <v>0</v>
      </c>
      <c r="N313">
        <f t="shared" si="82"/>
        <v>0</v>
      </c>
      <c r="O313" t="s">
        <v>124</v>
      </c>
      <c r="P313">
        <f t="shared" si="83"/>
        <v>0</v>
      </c>
      <c r="Q313">
        <f t="shared" si="84"/>
        <v>0</v>
      </c>
      <c r="R313">
        <f t="shared" si="85"/>
        <v>0</v>
      </c>
      <c r="S313">
        <f t="shared" si="86"/>
        <v>0</v>
      </c>
      <c r="T313">
        <f t="shared" si="87"/>
        <v>0</v>
      </c>
      <c r="U313">
        <f t="shared" si="88"/>
        <v>1</v>
      </c>
      <c r="V313">
        <f t="shared" si="89"/>
        <v>0</v>
      </c>
      <c r="W313" t="s">
        <v>39</v>
      </c>
      <c r="X313">
        <f t="shared" si="90"/>
        <v>1</v>
      </c>
      <c r="Y313">
        <f t="shared" si="91"/>
        <v>0</v>
      </c>
      <c r="Z313">
        <v>3</v>
      </c>
      <c r="AA313">
        <f t="shared" si="92"/>
        <v>0.5</v>
      </c>
      <c r="AB313" t="s">
        <v>40</v>
      </c>
      <c r="AC313">
        <f t="shared" si="93"/>
        <v>0</v>
      </c>
      <c r="AD313">
        <f t="shared" si="94"/>
        <v>0</v>
      </c>
      <c r="AE313" t="s">
        <v>41</v>
      </c>
      <c r="AF313">
        <f>IF(AE313="website",1,0)</f>
        <v>1</v>
      </c>
    </row>
    <row r="314" spans="1:32">
      <c r="A314" t="s">
        <v>862</v>
      </c>
      <c r="B314" t="s">
        <v>55</v>
      </c>
      <c r="C314" s="3">
        <f t="shared" si="76"/>
        <v>1</v>
      </c>
      <c r="D314">
        <f t="shared" si="77"/>
        <v>0</v>
      </c>
      <c r="E314" t="s">
        <v>863</v>
      </c>
      <c r="F314" t="s">
        <v>57</v>
      </c>
      <c r="G314" s="1">
        <v>27131</v>
      </c>
      <c r="H314" s="2">
        <f t="shared" ca="1" si="78"/>
        <v>52</v>
      </c>
      <c r="I314" s="2">
        <f t="shared" ca="1" si="79"/>
        <v>0.38571428571428573</v>
      </c>
      <c r="J314" t="s">
        <v>45</v>
      </c>
      <c r="K314" t="s">
        <v>37</v>
      </c>
      <c r="L314">
        <f t="shared" si="80"/>
        <v>1</v>
      </c>
      <c r="M314">
        <f t="shared" si="81"/>
        <v>0</v>
      </c>
      <c r="N314">
        <f t="shared" si="82"/>
        <v>0</v>
      </c>
      <c r="O314" t="s">
        <v>38</v>
      </c>
      <c r="P314">
        <f t="shared" si="83"/>
        <v>1</v>
      </c>
      <c r="Q314">
        <f t="shared" si="84"/>
        <v>0</v>
      </c>
      <c r="R314">
        <f t="shared" si="85"/>
        <v>0</v>
      </c>
      <c r="S314">
        <f t="shared" si="86"/>
        <v>0</v>
      </c>
      <c r="T314">
        <f t="shared" si="87"/>
        <v>0</v>
      </c>
      <c r="U314">
        <f t="shared" si="88"/>
        <v>0</v>
      </c>
      <c r="V314">
        <f t="shared" si="89"/>
        <v>0</v>
      </c>
      <c r="W314" t="s">
        <v>39</v>
      </c>
      <c r="X314">
        <f t="shared" si="90"/>
        <v>1</v>
      </c>
      <c r="Y314">
        <f t="shared" si="91"/>
        <v>0</v>
      </c>
      <c r="Z314">
        <v>1</v>
      </c>
      <c r="AA314">
        <f t="shared" si="92"/>
        <v>0</v>
      </c>
      <c r="AB314" t="s">
        <v>46</v>
      </c>
      <c r="AC314">
        <f t="shared" si="93"/>
        <v>1</v>
      </c>
      <c r="AD314">
        <f t="shared" si="94"/>
        <v>0</v>
      </c>
      <c r="AE314" t="s">
        <v>50</v>
      </c>
      <c r="AF314">
        <f>IF(AE314="website",1,0)</f>
        <v>0</v>
      </c>
    </row>
    <row r="315" spans="1:32">
      <c r="A315" t="s">
        <v>864</v>
      </c>
      <c r="B315" t="s">
        <v>33</v>
      </c>
      <c r="C315" s="3">
        <f t="shared" si="76"/>
        <v>0</v>
      </c>
      <c r="D315">
        <f t="shared" si="77"/>
        <v>1</v>
      </c>
      <c r="E315" t="s">
        <v>865</v>
      </c>
      <c r="F315" t="s">
        <v>562</v>
      </c>
      <c r="G315" s="1">
        <v>30186</v>
      </c>
      <c r="H315" s="2">
        <f t="shared" ca="1" si="78"/>
        <v>44</v>
      </c>
      <c r="I315" s="2">
        <f t="shared" ca="1" si="79"/>
        <v>0.27142857142857141</v>
      </c>
      <c r="J315" t="s">
        <v>45</v>
      </c>
      <c r="K315" t="s">
        <v>37</v>
      </c>
      <c r="L315">
        <f t="shared" si="80"/>
        <v>1</v>
      </c>
      <c r="M315">
        <f t="shared" si="81"/>
        <v>0</v>
      </c>
      <c r="N315">
        <f t="shared" si="82"/>
        <v>0</v>
      </c>
      <c r="O315" t="s">
        <v>565</v>
      </c>
      <c r="P315">
        <f t="shared" si="83"/>
        <v>0</v>
      </c>
      <c r="Q315">
        <f t="shared" si="84"/>
        <v>0</v>
      </c>
      <c r="R315">
        <f t="shared" si="85"/>
        <v>0</v>
      </c>
      <c r="S315">
        <f t="shared" si="86"/>
        <v>0</v>
      </c>
      <c r="T315">
        <f t="shared" si="87"/>
        <v>0</v>
      </c>
      <c r="U315">
        <f t="shared" si="88"/>
        <v>0</v>
      </c>
      <c r="V315">
        <f t="shared" si="89"/>
        <v>0</v>
      </c>
      <c r="W315" t="s">
        <v>58</v>
      </c>
      <c r="X315">
        <f t="shared" si="90"/>
        <v>0</v>
      </c>
      <c r="Y315">
        <f t="shared" si="91"/>
        <v>1</v>
      </c>
      <c r="Z315">
        <v>4</v>
      </c>
      <c r="AA315">
        <f t="shared" si="92"/>
        <v>0.75</v>
      </c>
      <c r="AB315" t="s">
        <v>46</v>
      </c>
      <c r="AC315">
        <f t="shared" si="93"/>
        <v>1</v>
      </c>
      <c r="AD315">
        <f t="shared" si="94"/>
        <v>0</v>
      </c>
      <c r="AE315" t="s">
        <v>50</v>
      </c>
      <c r="AF315">
        <f>IF(AE315="website",1,0)</f>
        <v>0</v>
      </c>
    </row>
    <row r="316" spans="1:32">
      <c r="A316" t="s">
        <v>866</v>
      </c>
      <c r="B316" t="s">
        <v>33</v>
      </c>
      <c r="C316" s="3">
        <f t="shared" si="76"/>
        <v>0</v>
      </c>
      <c r="D316">
        <f t="shared" si="77"/>
        <v>1</v>
      </c>
      <c r="E316" t="s">
        <v>419</v>
      </c>
      <c r="F316" t="s">
        <v>685</v>
      </c>
      <c r="G316" s="1">
        <v>31854</v>
      </c>
      <c r="H316" s="2">
        <f t="shared" ca="1" si="78"/>
        <v>39</v>
      </c>
      <c r="I316" s="2">
        <f t="shared" ca="1" si="79"/>
        <v>0.2</v>
      </c>
      <c r="J316" t="s">
        <v>45</v>
      </c>
      <c r="K316" t="s">
        <v>158</v>
      </c>
      <c r="L316">
        <f t="shared" si="80"/>
        <v>0</v>
      </c>
      <c r="M316">
        <f t="shared" si="81"/>
        <v>0</v>
      </c>
      <c r="N316">
        <f t="shared" si="82"/>
        <v>0</v>
      </c>
      <c r="O316" t="s">
        <v>867</v>
      </c>
      <c r="P316">
        <f t="shared" si="83"/>
        <v>0</v>
      </c>
      <c r="Q316">
        <f t="shared" si="84"/>
        <v>0</v>
      </c>
      <c r="R316">
        <f t="shared" si="85"/>
        <v>0</v>
      </c>
      <c r="S316">
        <f t="shared" si="86"/>
        <v>0</v>
      </c>
      <c r="T316">
        <f t="shared" si="87"/>
        <v>0</v>
      </c>
      <c r="U316">
        <f t="shared" si="88"/>
        <v>0</v>
      </c>
      <c r="V316">
        <f t="shared" si="89"/>
        <v>0</v>
      </c>
      <c r="W316" t="s">
        <v>58</v>
      </c>
      <c r="X316">
        <f t="shared" si="90"/>
        <v>0</v>
      </c>
      <c r="Y316">
        <f t="shared" si="91"/>
        <v>1</v>
      </c>
      <c r="Z316">
        <v>5</v>
      </c>
      <c r="AA316">
        <f t="shared" si="92"/>
        <v>1</v>
      </c>
      <c r="AB316" t="s">
        <v>46</v>
      </c>
      <c r="AC316">
        <f t="shared" si="93"/>
        <v>0</v>
      </c>
      <c r="AD316">
        <f t="shared" si="94"/>
        <v>0</v>
      </c>
      <c r="AE316" t="s">
        <v>41</v>
      </c>
      <c r="AF316">
        <f>IF(AE316="website",1,0)</f>
        <v>1</v>
      </c>
    </row>
    <row r="317" spans="1:32">
      <c r="A317" t="s">
        <v>868</v>
      </c>
      <c r="B317" t="s">
        <v>33</v>
      </c>
      <c r="C317" s="3">
        <f t="shared" si="76"/>
        <v>0</v>
      </c>
      <c r="D317">
        <f t="shared" si="77"/>
        <v>1</v>
      </c>
      <c r="E317" t="s">
        <v>575</v>
      </c>
      <c r="F317" t="s">
        <v>610</v>
      </c>
      <c r="G317" s="1">
        <v>35534</v>
      </c>
      <c r="H317" s="2">
        <f t="shared" ca="1" si="78"/>
        <v>29</v>
      </c>
      <c r="I317" s="2">
        <f t="shared" ca="1" si="79"/>
        <v>5.7142857142857141E-2</v>
      </c>
      <c r="J317" t="s">
        <v>45</v>
      </c>
      <c r="K317" t="s">
        <v>248</v>
      </c>
      <c r="L317">
        <f t="shared" si="80"/>
        <v>0</v>
      </c>
      <c r="M317">
        <f t="shared" si="81"/>
        <v>0</v>
      </c>
      <c r="N317">
        <f t="shared" si="82"/>
        <v>0</v>
      </c>
      <c r="O317" t="s">
        <v>411</v>
      </c>
      <c r="P317">
        <f t="shared" si="83"/>
        <v>0</v>
      </c>
      <c r="Q317">
        <f t="shared" si="84"/>
        <v>0</v>
      </c>
      <c r="R317">
        <f t="shared" si="85"/>
        <v>0</v>
      </c>
      <c r="S317">
        <f t="shared" si="86"/>
        <v>0</v>
      </c>
      <c r="T317">
        <f t="shared" si="87"/>
        <v>0</v>
      </c>
      <c r="U317">
        <f t="shared" si="88"/>
        <v>0</v>
      </c>
      <c r="V317">
        <f t="shared" si="89"/>
        <v>0</v>
      </c>
      <c r="W317" t="s">
        <v>58</v>
      </c>
      <c r="X317">
        <f t="shared" si="90"/>
        <v>0</v>
      </c>
      <c r="Y317">
        <f t="shared" si="91"/>
        <v>1</v>
      </c>
      <c r="Z317">
        <v>4</v>
      </c>
      <c r="AA317">
        <f t="shared" si="92"/>
        <v>0.75</v>
      </c>
      <c r="AB317" t="s">
        <v>40</v>
      </c>
      <c r="AC317">
        <f t="shared" si="93"/>
        <v>0</v>
      </c>
      <c r="AD317">
        <f t="shared" si="94"/>
        <v>0</v>
      </c>
      <c r="AE317" t="s">
        <v>41</v>
      </c>
      <c r="AF317">
        <f>IF(AE317="website",1,0)</f>
        <v>1</v>
      </c>
    </row>
    <row r="318" spans="1:32">
      <c r="A318" t="s">
        <v>869</v>
      </c>
      <c r="B318" t="s">
        <v>33</v>
      </c>
      <c r="C318" s="3">
        <f t="shared" si="76"/>
        <v>0</v>
      </c>
      <c r="D318">
        <f t="shared" si="77"/>
        <v>1</v>
      </c>
      <c r="E318" t="s">
        <v>570</v>
      </c>
      <c r="F318" t="s">
        <v>513</v>
      </c>
      <c r="G318" s="1">
        <v>36481</v>
      </c>
      <c r="H318" s="2">
        <f t="shared" ca="1" si="78"/>
        <v>26</v>
      </c>
      <c r="I318" s="2">
        <f t="shared" ca="1" si="79"/>
        <v>1.4285714285714285E-2</v>
      </c>
      <c r="J318" t="s">
        <v>36</v>
      </c>
      <c r="K318" t="s">
        <v>37</v>
      </c>
      <c r="L318">
        <f t="shared" si="80"/>
        <v>1</v>
      </c>
      <c r="M318">
        <f t="shared" si="81"/>
        <v>0</v>
      </c>
      <c r="N318">
        <f t="shared" si="82"/>
        <v>0</v>
      </c>
      <c r="O318" t="s">
        <v>38</v>
      </c>
      <c r="P318">
        <f t="shared" si="83"/>
        <v>1</v>
      </c>
      <c r="Q318">
        <f t="shared" si="84"/>
        <v>0</v>
      </c>
      <c r="R318">
        <f t="shared" si="85"/>
        <v>0</v>
      </c>
      <c r="S318">
        <f t="shared" si="86"/>
        <v>0</v>
      </c>
      <c r="T318">
        <f t="shared" si="87"/>
        <v>0</v>
      </c>
      <c r="U318">
        <f t="shared" si="88"/>
        <v>0</v>
      </c>
      <c r="V318">
        <f t="shared" si="89"/>
        <v>0</v>
      </c>
      <c r="W318" t="s">
        <v>58</v>
      </c>
      <c r="X318">
        <f t="shared" si="90"/>
        <v>0</v>
      </c>
      <c r="Y318">
        <f t="shared" si="91"/>
        <v>1</v>
      </c>
      <c r="Z318">
        <v>2</v>
      </c>
      <c r="AA318">
        <f t="shared" si="92"/>
        <v>0.25</v>
      </c>
      <c r="AB318" t="s">
        <v>40</v>
      </c>
      <c r="AC318">
        <f t="shared" si="93"/>
        <v>0</v>
      </c>
      <c r="AD318">
        <f t="shared" si="94"/>
        <v>0</v>
      </c>
      <c r="AE318" t="s">
        <v>41</v>
      </c>
      <c r="AF318">
        <f>IF(AE318="website",1,0)</f>
        <v>1</v>
      </c>
    </row>
    <row r="319" spans="1:32">
      <c r="A319" t="s">
        <v>870</v>
      </c>
      <c r="B319" t="s">
        <v>33</v>
      </c>
      <c r="C319" s="3">
        <f t="shared" si="76"/>
        <v>0</v>
      </c>
      <c r="D319">
        <f t="shared" si="77"/>
        <v>1</v>
      </c>
      <c r="E319" t="s">
        <v>666</v>
      </c>
      <c r="F319" t="s">
        <v>591</v>
      </c>
      <c r="G319" s="1">
        <v>27110</v>
      </c>
      <c r="H319" s="2">
        <f t="shared" ca="1" si="78"/>
        <v>52</v>
      </c>
      <c r="I319" s="2">
        <f t="shared" ca="1" si="79"/>
        <v>0.38571428571428573</v>
      </c>
      <c r="J319" t="s">
        <v>36</v>
      </c>
      <c r="K319" t="s">
        <v>113</v>
      </c>
      <c r="L319">
        <f t="shared" si="80"/>
        <v>0</v>
      </c>
      <c r="M319">
        <f t="shared" si="81"/>
        <v>0</v>
      </c>
      <c r="N319">
        <f t="shared" si="82"/>
        <v>1</v>
      </c>
      <c r="O319" t="s">
        <v>114</v>
      </c>
      <c r="P319">
        <f t="shared" si="83"/>
        <v>0</v>
      </c>
      <c r="Q319">
        <f t="shared" si="84"/>
        <v>0</v>
      </c>
      <c r="R319">
        <f t="shared" si="85"/>
        <v>0</v>
      </c>
      <c r="S319">
        <f t="shared" si="86"/>
        <v>1</v>
      </c>
      <c r="T319">
        <f t="shared" si="87"/>
        <v>0</v>
      </c>
      <c r="U319">
        <f t="shared" si="88"/>
        <v>0</v>
      </c>
      <c r="V319">
        <f t="shared" si="89"/>
        <v>0</v>
      </c>
      <c r="W319" t="s">
        <v>39</v>
      </c>
      <c r="X319">
        <f t="shared" si="90"/>
        <v>1</v>
      </c>
      <c r="Y319">
        <f t="shared" si="91"/>
        <v>0</v>
      </c>
      <c r="Z319">
        <v>5</v>
      </c>
      <c r="AA319">
        <f t="shared" si="92"/>
        <v>1</v>
      </c>
      <c r="AB319" t="s">
        <v>46</v>
      </c>
      <c r="AC319">
        <f t="shared" si="93"/>
        <v>0</v>
      </c>
      <c r="AD319">
        <f t="shared" si="94"/>
        <v>0</v>
      </c>
      <c r="AE319" t="s">
        <v>41</v>
      </c>
      <c r="AF319">
        <f>IF(AE319="website",1,0)</f>
        <v>1</v>
      </c>
    </row>
    <row r="320" spans="1:32">
      <c r="A320" t="s">
        <v>871</v>
      </c>
      <c r="B320" t="s">
        <v>55</v>
      </c>
      <c r="C320" s="3">
        <f t="shared" si="76"/>
        <v>1</v>
      </c>
      <c r="D320">
        <f t="shared" si="77"/>
        <v>0</v>
      </c>
      <c r="E320" t="s">
        <v>872</v>
      </c>
      <c r="F320" t="s">
        <v>57</v>
      </c>
      <c r="G320" s="1">
        <v>35015</v>
      </c>
      <c r="H320" s="2">
        <f t="shared" ca="1" si="78"/>
        <v>30</v>
      </c>
      <c r="I320" s="2">
        <f t="shared" ca="1" si="79"/>
        <v>7.1428571428571425E-2</v>
      </c>
      <c r="J320" t="s">
        <v>36</v>
      </c>
      <c r="K320" t="s">
        <v>37</v>
      </c>
      <c r="L320">
        <f t="shared" si="80"/>
        <v>1</v>
      </c>
      <c r="M320">
        <f t="shared" si="81"/>
        <v>0</v>
      </c>
      <c r="N320">
        <f t="shared" si="82"/>
        <v>0</v>
      </c>
      <c r="O320" t="s">
        <v>592</v>
      </c>
      <c r="P320">
        <f t="shared" si="83"/>
        <v>0</v>
      </c>
      <c r="Q320">
        <f t="shared" si="84"/>
        <v>0</v>
      </c>
      <c r="R320">
        <f t="shared" si="85"/>
        <v>0</v>
      </c>
      <c r="S320">
        <f t="shared" si="86"/>
        <v>0</v>
      </c>
      <c r="T320">
        <f t="shared" si="87"/>
        <v>0</v>
      </c>
      <c r="U320">
        <f t="shared" si="88"/>
        <v>0</v>
      </c>
      <c r="V320">
        <f t="shared" si="89"/>
        <v>0</v>
      </c>
      <c r="W320" t="s">
        <v>39</v>
      </c>
      <c r="X320">
        <f t="shared" si="90"/>
        <v>1</v>
      </c>
      <c r="Y320">
        <f t="shared" si="91"/>
        <v>0</v>
      </c>
      <c r="Z320">
        <v>5</v>
      </c>
      <c r="AA320">
        <f t="shared" si="92"/>
        <v>1</v>
      </c>
      <c r="AB320" t="s">
        <v>40</v>
      </c>
      <c r="AC320">
        <f t="shared" si="93"/>
        <v>0</v>
      </c>
      <c r="AD320">
        <f t="shared" si="94"/>
        <v>0</v>
      </c>
      <c r="AE320" t="s">
        <v>41</v>
      </c>
      <c r="AF320">
        <f>IF(AE320="website",1,0)</f>
        <v>1</v>
      </c>
    </row>
    <row r="321" spans="1:32">
      <c r="A321" t="s">
        <v>873</v>
      </c>
      <c r="B321" t="s">
        <v>33</v>
      </c>
      <c r="C321" s="3">
        <f t="shared" si="76"/>
        <v>0</v>
      </c>
      <c r="D321">
        <f t="shared" si="77"/>
        <v>1</v>
      </c>
      <c r="E321" t="s">
        <v>240</v>
      </c>
      <c r="F321" t="s">
        <v>856</v>
      </c>
      <c r="G321" s="1">
        <v>31017</v>
      </c>
      <c r="H321" s="2">
        <f t="shared" ca="1" si="78"/>
        <v>41</v>
      </c>
      <c r="I321" s="2">
        <f t="shared" ca="1" si="79"/>
        <v>0.22857142857142856</v>
      </c>
      <c r="J321" t="s">
        <v>45</v>
      </c>
      <c r="K321" t="s">
        <v>37</v>
      </c>
      <c r="L321">
        <f t="shared" si="80"/>
        <v>1</v>
      </c>
      <c r="M321">
        <f t="shared" si="81"/>
        <v>0</v>
      </c>
      <c r="N321">
        <f t="shared" si="82"/>
        <v>0</v>
      </c>
      <c r="O321" t="s">
        <v>592</v>
      </c>
      <c r="P321">
        <f t="shared" si="83"/>
        <v>0</v>
      </c>
      <c r="Q321">
        <f t="shared" si="84"/>
        <v>0</v>
      </c>
      <c r="R321">
        <f t="shared" si="85"/>
        <v>0</v>
      </c>
      <c r="S321">
        <f t="shared" si="86"/>
        <v>0</v>
      </c>
      <c r="T321">
        <f t="shared" si="87"/>
        <v>0</v>
      </c>
      <c r="U321">
        <f t="shared" si="88"/>
        <v>0</v>
      </c>
      <c r="V321">
        <f t="shared" si="89"/>
        <v>0</v>
      </c>
      <c r="W321" t="s">
        <v>39</v>
      </c>
      <c r="X321">
        <f t="shared" si="90"/>
        <v>1</v>
      </c>
      <c r="Y321">
        <f t="shared" si="91"/>
        <v>0</v>
      </c>
      <c r="Z321">
        <v>3</v>
      </c>
      <c r="AA321">
        <f t="shared" si="92"/>
        <v>0.5</v>
      </c>
      <c r="AB321" t="s">
        <v>40</v>
      </c>
      <c r="AC321">
        <f t="shared" si="93"/>
        <v>0</v>
      </c>
      <c r="AD321">
        <f t="shared" si="94"/>
        <v>1</v>
      </c>
      <c r="AE321" t="s">
        <v>90</v>
      </c>
      <c r="AF321">
        <f>IF(AE321="website",1,0)</f>
        <v>0</v>
      </c>
    </row>
    <row r="322" spans="1:32">
      <c r="A322" t="s">
        <v>874</v>
      </c>
      <c r="B322" t="s">
        <v>33</v>
      </c>
      <c r="C322" s="3">
        <f t="shared" ref="C322:C385" si="95">IF(B322="company",1,0)</f>
        <v>0</v>
      </c>
      <c r="D322">
        <f t="shared" ref="D322:D385" si="96">IF(B322="individual",1,0)</f>
        <v>1</v>
      </c>
      <c r="E322" t="s">
        <v>875</v>
      </c>
      <c r="F322" t="s">
        <v>876</v>
      </c>
      <c r="G322" s="1">
        <v>33615</v>
      </c>
      <c r="H322" s="2">
        <f t="shared" ref="H322:H385" ca="1" si="97">DATEDIF(G322,TODAY(),"Y")</f>
        <v>34</v>
      </c>
      <c r="I322" s="2">
        <f t="shared" ref="I322:I385" ca="1" si="98">(H322-MIN(H:H))/(MAX(H:H)-MIN(H:H))</f>
        <v>0.12857142857142856</v>
      </c>
      <c r="J322" t="s">
        <v>45</v>
      </c>
      <c r="K322" t="s">
        <v>37</v>
      </c>
      <c r="L322">
        <f t="shared" ref="L322:L385" si="99">IF(K322="usa",1,0)</f>
        <v>1</v>
      </c>
      <c r="M322">
        <f t="shared" ref="M322:M385" si="100">IF(K322="canada",1,0)</f>
        <v>0</v>
      </c>
      <c r="N322">
        <f t="shared" ref="N322:N385" si="101">IF(K322="germany",1,0)</f>
        <v>0</v>
      </c>
      <c r="O322" t="s">
        <v>38</v>
      </c>
      <c r="P322">
        <f t="shared" ref="P322:P385" si="102">IF(O322="california",1,0)</f>
        <v>1</v>
      </c>
      <c r="Q322">
        <f t="shared" ref="Q322:Q385" si="103">IF(O322="oregon",1,0)</f>
        <v>0</v>
      </c>
      <c r="R322">
        <f t="shared" ref="R322:R385" si="104">IF(O322="quebec",1,0)</f>
        <v>0</v>
      </c>
      <c r="S322">
        <f t="shared" ref="S322:S385" si="105">IF(O322="berlin",1,0)</f>
        <v>0</v>
      </c>
      <c r="T322">
        <f t="shared" ref="T322:T385" si="106">IF(O322="arizona",1,0)</f>
        <v>0</v>
      </c>
      <c r="U322">
        <f t="shared" ref="U322:U385" si="107">IF(O322="nevada",1,0)</f>
        <v>0</v>
      </c>
      <c r="V322">
        <f t="shared" ref="V322:V385" si="108">IF(O322="colardo",1,0)</f>
        <v>0</v>
      </c>
      <c r="W322" t="s">
        <v>58</v>
      </c>
      <c r="X322">
        <f t="shared" ref="X322:X385" si="109">IF(W322="home",1,0)</f>
        <v>0</v>
      </c>
      <c r="Y322">
        <f t="shared" ref="Y322:Y385" si="110">IF(W322="investment",1,0)</f>
        <v>1</v>
      </c>
      <c r="Z322">
        <v>2</v>
      </c>
      <c r="AA322">
        <f t="shared" ref="AA322:AA385" si="111">(Z322-1)/4</f>
        <v>0.25</v>
      </c>
      <c r="AB322" t="s">
        <v>46</v>
      </c>
      <c r="AC322">
        <f t="shared" ref="AC322:AC385" si="112">IF(AE322="agency",1,0)</f>
        <v>1</v>
      </c>
      <c r="AD322">
        <f t="shared" ref="AD322:AD385" si="113">IF(AE322="client",1,0)</f>
        <v>0</v>
      </c>
      <c r="AE322" t="s">
        <v>50</v>
      </c>
      <c r="AF322">
        <f>IF(AE322="website",1,0)</f>
        <v>0</v>
      </c>
    </row>
    <row r="323" spans="1:32">
      <c r="A323" t="s">
        <v>877</v>
      </c>
      <c r="B323" t="s">
        <v>33</v>
      </c>
      <c r="C323" s="3">
        <f t="shared" si="95"/>
        <v>0</v>
      </c>
      <c r="D323">
        <f t="shared" si="96"/>
        <v>1</v>
      </c>
      <c r="E323" t="s">
        <v>679</v>
      </c>
      <c r="F323" t="s">
        <v>620</v>
      </c>
      <c r="G323" s="1">
        <v>35424</v>
      </c>
      <c r="H323" s="2">
        <f t="shared" ca="1" si="97"/>
        <v>29</v>
      </c>
      <c r="I323" s="2">
        <f t="shared" ca="1" si="98"/>
        <v>5.7142857142857141E-2</v>
      </c>
      <c r="J323" t="s">
        <v>36</v>
      </c>
      <c r="K323" t="s">
        <v>37</v>
      </c>
      <c r="L323">
        <f t="shared" si="99"/>
        <v>1</v>
      </c>
      <c r="M323">
        <f t="shared" si="100"/>
        <v>0</v>
      </c>
      <c r="N323">
        <f t="shared" si="101"/>
        <v>0</v>
      </c>
      <c r="O323" t="s">
        <v>38</v>
      </c>
      <c r="P323">
        <f t="shared" si="102"/>
        <v>1</v>
      </c>
      <c r="Q323">
        <f t="shared" si="103"/>
        <v>0</v>
      </c>
      <c r="R323">
        <f t="shared" si="104"/>
        <v>0</v>
      </c>
      <c r="S323">
        <f t="shared" si="105"/>
        <v>0</v>
      </c>
      <c r="T323">
        <f t="shared" si="106"/>
        <v>0</v>
      </c>
      <c r="U323">
        <f t="shared" si="107"/>
        <v>0</v>
      </c>
      <c r="V323">
        <f t="shared" si="108"/>
        <v>0</v>
      </c>
      <c r="W323" t="s">
        <v>39</v>
      </c>
      <c r="X323">
        <f t="shared" si="109"/>
        <v>1</v>
      </c>
      <c r="Y323">
        <f t="shared" si="110"/>
        <v>0</v>
      </c>
      <c r="Z323">
        <v>2</v>
      </c>
      <c r="AA323">
        <f t="shared" si="111"/>
        <v>0.25</v>
      </c>
      <c r="AB323" t="s">
        <v>40</v>
      </c>
      <c r="AC323">
        <f t="shared" si="112"/>
        <v>0</v>
      </c>
      <c r="AD323">
        <f t="shared" si="113"/>
        <v>0</v>
      </c>
      <c r="AE323" t="s">
        <v>41</v>
      </c>
      <c r="AF323">
        <f>IF(AE323="website",1,0)</f>
        <v>1</v>
      </c>
    </row>
    <row r="324" spans="1:32">
      <c r="A324" t="s">
        <v>878</v>
      </c>
      <c r="B324" t="s">
        <v>33</v>
      </c>
      <c r="C324" s="3">
        <f t="shared" si="95"/>
        <v>0</v>
      </c>
      <c r="D324">
        <f t="shared" si="96"/>
        <v>1</v>
      </c>
      <c r="E324" t="s">
        <v>879</v>
      </c>
      <c r="F324" t="s">
        <v>823</v>
      </c>
      <c r="G324" s="1">
        <v>27653</v>
      </c>
      <c r="H324" s="2">
        <f t="shared" ca="1" si="97"/>
        <v>51</v>
      </c>
      <c r="I324" s="2">
        <f t="shared" ca="1" si="98"/>
        <v>0.37142857142857144</v>
      </c>
      <c r="J324" t="s">
        <v>36</v>
      </c>
      <c r="K324" t="s">
        <v>37</v>
      </c>
      <c r="L324">
        <f t="shared" si="99"/>
        <v>1</v>
      </c>
      <c r="M324">
        <f t="shared" si="100"/>
        <v>0</v>
      </c>
      <c r="N324">
        <f t="shared" si="101"/>
        <v>0</v>
      </c>
      <c r="O324" t="s">
        <v>38</v>
      </c>
      <c r="P324">
        <f t="shared" si="102"/>
        <v>1</v>
      </c>
      <c r="Q324">
        <f t="shared" si="103"/>
        <v>0</v>
      </c>
      <c r="R324">
        <f t="shared" si="104"/>
        <v>0</v>
      </c>
      <c r="S324">
        <f t="shared" si="105"/>
        <v>0</v>
      </c>
      <c r="T324">
        <f t="shared" si="106"/>
        <v>0</v>
      </c>
      <c r="U324">
        <f t="shared" si="107"/>
        <v>0</v>
      </c>
      <c r="V324">
        <f t="shared" si="108"/>
        <v>0</v>
      </c>
      <c r="W324" t="s">
        <v>58</v>
      </c>
      <c r="X324">
        <f t="shared" si="109"/>
        <v>0</v>
      </c>
      <c r="Y324">
        <f t="shared" si="110"/>
        <v>1</v>
      </c>
      <c r="Z324">
        <v>2</v>
      </c>
      <c r="AA324">
        <f t="shared" si="111"/>
        <v>0.25</v>
      </c>
      <c r="AB324" t="s">
        <v>40</v>
      </c>
      <c r="AC324">
        <f t="shared" si="112"/>
        <v>0</v>
      </c>
      <c r="AD324">
        <f t="shared" si="113"/>
        <v>0</v>
      </c>
      <c r="AE324" t="s">
        <v>41</v>
      </c>
      <c r="AF324">
        <f>IF(AE324="website",1,0)</f>
        <v>1</v>
      </c>
    </row>
    <row r="325" spans="1:32">
      <c r="A325" t="s">
        <v>880</v>
      </c>
      <c r="B325" t="s">
        <v>33</v>
      </c>
      <c r="C325" s="3">
        <f t="shared" si="95"/>
        <v>0</v>
      </c>
      <c r="D325">
        <f t="shared" si="96"/>
        <v>1</v>
      </c>
      <c r="E325" t="s">
        <v>795</v>
      </c>
      <c r="F325" t="s">
        <v>538</v>
      </c>
      <c r="G325" s="1">
        <v>34134</v>
      </c>
      <c r="H325" s="2">
        <f t="shared" ca="1" si="97"/>
        <v>33</v>
      </c>
      <c r="I325" s="2">
        <f t="shared" ca="1" si="98"/>
        <v>0.11428571428571428</v>
      </c>
      <c r="J325" t="s">
        <v>45</v>
      </c>
      <c r="K325" t="s">
        <v>37</v>
      </c>
      <c r="L325">
        <f t="shared" si="99"/>
        <v>1</v>
      </c>
      <c r="M325">
        <f t="shared" si="100"/>
        <v>0</v>
      </c>
      <c r="N325">
        <f t="shared" si="101"/>
        <v>0</v>
      </c>
      <c r="O325" t="s">
        <v>565</v>
      </c>
      <c r="P325">
        <f t="shared" si="102"/>
        <v>0</v>
      </c>
      <c r="Q325">
        <f t="shared" si="103"/>
        <v>0</v>
      </c>
      <c r="R325">
        <f t="shared" si="104"/>
        <v>0</v>
      </c>
      <c r="S325">
        <f t="shared" si="105"/>
        <v>0</v>
      </c>
      <c r="T325">
        <f t="shared" si="106"/>
        <v>0</v>
      </c>
      <c r="U325">
        <f t="shared" si="107"/>
        <v>0</v>
      </c>
      <c r="V325">
        <f t="shared" si="108"/>
        <v>0</v>
      </c>
      <c r="W325" t="s">
        <v>39</v>
      </c>
      <c r="X325">
        <f t="shared" si="109"/>
        <v>1</v>
      </c>
      <c r="Y325">
        <f t="shared" si="110"/>
        <v>0</v>
      </c>
      <c r="Z325">
        <v>4</v>
      </c>
      <c r="AA325">
        <f t="shared" si="111"/>
        <v>0.75</v>
      </c>
      <c r="AB325" t="s">
        <v>46</v>
      </c>
      <c r="AC325">
        <f t="shared" si="112"/>
        <v>0</v>
      </c>
      <c r="AD325">
        <f t="shared" si="113"/>
        <v>0</v>
      </c>
      <c r="AE325" t="s">
        <v>41</v>
      </c>
      <c r="AF325">
        <f>IF(AE325="website",1,0)</f>
        <v>1</v>
      </c>
    </row>
    <row r="326" spans="1:32">
      <c r="A326" t="s">
        <v>881</v>
      </c>
      <c r="B326" t="s">
        <v>33</v>
      </c>
      <c r="C326" s="3">
        <f t="shared" si="95"/>
        <v>0</v>
      </c>
      <c r="D326">
        <f t="shared" si="96"/>
        <v>1</v>
      </c>
      <c r="E326" t="s">
        <v>847</v>
      </c>
      <c r="F326" t="s">
        <v>882</v>
      </c>
      <c r="G326" s="1">
        <v>30371</v>
      </c>
      <c r="H326" s="2">
        <f t="shared" ca="1" si="97"/>
        <v>43</v>
      </c>
      <c r="I326" s="2">
        <f t="shared" ca="1" si="98"/>
        <v>0.25714285714285712</v>
      </c>
      <c r="J326" t="s">
        <v>36</v>
      </c>
      <c r="K326" t="s">
        <v>37</v>
      </c>
      <c r="L326">
        <f t="shared" si="99"/>
        <v>1</v>
      </c>
      <c r="M326">
        <f t="shared" si="100"/>
        <v>0</v>
      </c>
      <c r="N326">
        <f t="shared" si="101"/>
        <v>0</v>
      </c>
      <c r="O326" t="s">
        <v>38</v>
      </c>
      <c r="P326">
        <f t="shared" si="102"/>
        <v>1</v>
      </c>
      <c r="Q326">
        <f t="shared" si="103"/>
        <v>0</v>
      </c>
      <c r="R326">
        <f t="shared" si="104"/>
        <v>0</v>
      </c>
      <c r="S326">
        <f t="shared" si="105"/>
        <v>0</v>
      </c>
      <c r="T326">
        <f t="shared" si="106"/>
        <v>0</v>
      </c>
      <c r="U326">
        <f t="shared" si="107"/>
        <v>0</v>
      </c>
      <c r="V326">
        <f t="shared" si="108"/>
        <v>0</v>
      </c>
      <c r="W326" t="s">
        <v>39</v>
      </c>
      <c r="X326">
        <f t="shared" si="109"/>
        <v>1</v>
      </c>
      <c r="Y326">
        <f t="shared" si="110"/>
        <v>0</v>
      </c>
      <c r="Z326">
        <v>5</v>
      </c>
      <c r="AA326">
        <f t="shared" si="111"/>
        <v>1</v>
      </c>
      <c r="AB326" t="s">
        <v>40</v>
      </c>
      <c r="AC326">
        <f t="shared" si="112"/>
        <v>1</v>
      </c>
      <c r="AD326">
        <f t="shared" si="113"/>
        <v>0</v>
      </c>
      <c r="AE326" t="s">
        <v>50</v>
      </c>
      <c r="AF326">
        <f>IF(AE326="website",1,0)</f>
        <v>0</v>
      </c>
    </row>
    <row r="327" spans="1:32">
      <c r="A327" t="s">
        <v>883</v>
      </c>
      <c r="B327" t="s">
        <v>33</v>
      </c>
      <c r="C327" s="3">
        <f t="shared" si="95"/>
        <v>0</v>
      </c>
      <c r="D327">
        <f t="shared" si="96"/>
        <v>1</v>
      </c>
      <c r="E327" t="s">
        <v>884</v>
      </c>
      <c r="F327" t="s">
        <v>885</v>
      </c>
      <c r="G327" s="1">
        <v>21315</v>
      </c>
      <c r="H327" s="2">
        <f t="shared" ca="1" si="97"/>
        <v>68</v>
      </c>
      <c r="I327" s="2">
        <f t="shared" ca="1" si="98"/>
        <v>0.61428571428571432</v>
      </c>
      <c r="J327" t="s">
        <v>45</v>
      </c>
      <c r="K327" t="s">
        <v>37</v>
      </c>
      <c r="L327">
        <f t="shared" si="99"/>
        <v>1</v>
      </c>
      <c r="M327">
        <f t="shared" si="100"/>
        <v>0</v>
      </c>
      <c r="N327">
        <f t="shared" si="101"/>
        <v>0</v>
      </c>
      <c r="O327" t="s">
        <v>76</v>
      </c>
      <c r="P327">
        <f t="shared" si="102"/>
        <v>0</v>
      </c>
      <c r="Q327">
        <f t="shared" si="103"/>
        <v>1</v>
      </c>
      <c r="R327">
        <f t="shared" si="104"/>
        <v>0</v>
      </c>
      <c r="S327">
        <f t="shared" si="105"/>
        <v>0</v>
      </c>
      <c r="T327">
        <f t="shared" si="106"/>
        <v>0</v>
      </c>
      <c r="U327">
        <f t="shared" si="107"/>
        <v>0</v>
      </c>
      <c r="V327">
        <f t="shared" si="108"/>
        <v>0</v>
      </c>
      <c r="W327" t="s">
        <v>58</v>
      </c>
      <c r="X327">
        <f t="shared" si="109"/>
        <v>0</v>
      </c>
      <c r="Y327">
        <f t="shared" si="110"/>
        <v>1</v>
      </c>
      <c r="Z327">
        <v>4</v>
      </c>
      <c r="AA327">
        <f t="shared" si="111"/>
        <v>0.75</v>
      </c>
      <c r="AB327" t="s">
        <v>40</v>
      </c>
      <c r="AC327">
        <f t="shared" si="112"/>
        <v>1</v>
      </c>
      <c r="AD327">
        <f t="shared" si="113"/>
        <v>0</v>
      </c>
      <c r="AE327" t="s">
        <v>50</v>
      </c>
      <c r="AF327">
        <f>IF(AE327="website",1,0)</f>
        <v>0</v>
      </c>
    </row>
    <row r="328" spans="1:32">
      <c r="A328" t="s">
        <v>886</v>
      </c>
      <c r="B328" t="s">
        <v>33</v>
      </c>
      <c r="C328" s="3">
        <f t="shared" si="95"/>
        <v>0</v>
      </c>
      <c r="D328">
        <f t="shared" si="96"/>
        <v>1</v>
      </c>
      <c r="E328" t="s">
        <v>753</v>
      </c>
      <c r="F328" t="s">
        <v>887</v>
      </c>
      <c r="G328" s="1">
        <v>22471</v>
      </c>
      <c r="H328" s="2">
        <f t="shared" ca="1" si="97"/>
        <v>65</v>
      </c>
      <c r="I328" s="2">
        <f t="shared" ca="1" si="98"/>
        <v>0.5714285714285714</v>
      </c>
      <c r="J328" t="s">
        <v>36</v>
      </c>
      <c r="K328" t="s">
        <v>248</v>
      </c>
      <c r="L328">
        <f t="shared" si="99"/>
        <v>0</v>
      </c>
      <c r="M328">
        <f t="shared" si="100"/>
        <v>0</v>
      </c>
      <c r="N328">
        <f t="shared" si="101"/>
        <v>0</v>
      </c>
      <c r="O328" t="s">
        <v>411</v>
      </c>
      <c r="P328">
        <f t="shared" si="102"/>
        <v>0</v>
      </c>
      <c r="Q328">
        <f t="shared" si="103"/>
        <v>0</v>
      </c>
      <c r="R328">
        <f t="shared" si="104"/>
        <v>0</v>
      </c>
      <c r="S328">
        <f t="shared" si="105"/>
        <v>0</v>
      </c>
      <c r="T328">
        <f t="shared" si="106"/>
        <v>0</v>
      </c>
      <c r="U328">
        <f t="shared" si="107"/>
        <v>0</v>
      </c>
      <c r="V328">
        <f t="shared" si="108"/>
        <v>0</v>
      </c>
      <c r="W328" t="s">
        <v>39</v>
      </c>
      <c r="X328">
        <f t="shared" si="109"/>
        <v>1</v>
      </c>
      <c r="Y328">
        <f t="shared" si="110"/>
        <v>0</v>
      </c>
      <c r="Z328">
        <v>1</v>
      </c>
      <c r="AA328">
        <f t="shared" si="111"/>
        <v>0</v>
      </c>
      <c r="AB328" t="s">
        <v>46</v>
      </c>
      <c r="AC328">
        <f t="shared" si="112"/>
        <v>1</v>
      </c>
      <c r="AD328">
        <f t="shared" si="113"/>
        <v>0</v>
      </c>
      <c r="AE328" t="s">
        <v>50</v>
      </c>
      <c r="AF328">
        <f>IF(AE328="website",1,0)</f>
        <v>0</v>
      </c>
    </row>
    <row r="329" spans="1:32">
      <c r="A329" t="s">
        <v>888</v>
      </c>
      <c r="B329" t="s">
        <v>33</v>
      </c>
      <c r="C329" s="3">
        <f t="shared" si="95"/>
        <v>0</v>
      </c>
      <c r="D329">
        <f t="shared" si="96"/>
        <v>1</v>
      </c>
      <c r="E329" t="s">
        <v>683</v>
      </c>
      <c r="F329" t="s">
        <v>796</v>
      </c>
      <c r="G329" s="1">
        <v>17097</v>
      </c>
      <c r="H329" s="2">
        <f t="shared" ca="1" si="97"/>
        <v>79</v>
      </c>
      <c r="I329" s="2">
        <f t="shared" ca="1" si="98"/>
        <v>0.77142857142857146</v>
      </c>
      <c r="J329" t="s">
        <v>45</v>
      </c>
      <c r="K329" t="s">
        <v>37</v>
      </c>
      <c r="L329">
        <f t="shared" si="99"/>
        <v>1</v>
      </c>
      <c r="M329">
        <f t="shared" si="100"/>
        <v>0</v>
      </c>
      <c r="N329">
        <f t="shared" si="101"/>
        <v>0</v>
      </c>
      <c r="O329" t="s">
        <v>38</v>
      </c>
      <c r="P329">
        <f t="shared" si="102"/>
        <v>1</v>
      </c>
      <c r="Q329">
        <f t="shared" si="103"/>
        <v>0</v>
      </c>
      <c r="R329">
        <f t="shared" si="104"/>
        <v>0</v>
      </c>
      <c r="S329">
        <f t="shared" si="105"/>
        <v>0</v>
      </c>
      <c r="T329">
        <f t="shared" si="106"/>
        <v>0</v>
      </c>
      <c r="U329">
        <f t="shared" si="107"/>
        <v>0</v>
      </c>
      <c r="V329">
        <f t="shared" si="108"/>
        <v>0</v>
      </c>
      <c r="W329" t="s">
        <v>39</v>
      </c>
      <c r="X329">
        <f t="shared" si="109"/>
        <v>1</v>
      </c>
      <c r="Y329">
        <f t="shared" si="110"/>
        <v>0</v>
      </c>
      <c r="Z329">
        <v>1</v>
      </c>
      <c r="AA329">
        <f t="shared" si="111"/>
        <v>0</v>
      </c>
      <c r="AB329" t="s">
        <v>40</v>
      </c>
      <c r="AC329">
        <f t="shared" si="112"/>
        <v>0</v>
      </c>
      <c r="AD329">
        <f t="shared" si="113"/>
        <v>1</v>
      </c>
      <c r="AE329" t="s">
        <v>90</v>
      </c>
      <c r="AF329">
        <f>IF(AE329="website",1,0)</f>
        <v>0</v>
      </c>
    </row>
    <row r="330" spans="1:32">
      <c r="A330" t="s">
        <v>889</v>
      </c>
      <c r="B330" t="s">
        <v>33</v>
      </c>
      <c r="C330" s="3">
        <f t="shared" si="95"/>
        <v>0</v>
      </c>
      <c r="D330">
        <f t="shared" si="96"/>
        <v>1</v>
      </c>
      <c r="E330" t="s">
        <v>890</v>
      </c>
      <c r="F330" t="s">
        <v>730</v>
      </c>
      <c r="G330" s="1">
        <v>36073</v>
      </c>
      <c r="H330" s="2">
        <f t="shared" ca="1" si="97"/>
        <v>28</v>
      </c>
      <c r="I330" s="2">
        <f t="shared" ca="1" si="98"/>
        <v>4.2857142857142858E-2</v>
      </c>
      <c r="J330" t="s">
        <v>36</v>
      </c>
      <c r="K330" t="s">
        <v>113</v>
      </c>
      <c r="L330">
        <f t="shared" si="99"/>
        <v>0</v>
      </c>
      <c r="M330">
        <f t="shared" si="100"/>
        <v>0</v>
      </c>
      <c r="N330">
        <f t="shared" si="101"/>
        <v>1</v>
      </c>
      <c r="O330" t="s">
        <v>891</v>
      </c>
      <c r="P330">
        <f t="shared" si="102"/>
        <v>0</v>
      </c>
      <c r="Q330">
        <f t="shared" si="103"/>
        <v>0</v>
      </c>
      <c r="R330">
        <f t="shared" si="104"/>
        <v>0</v>
      </c>
      <c r="S330">
        <f t="shared" si="105"/>
        <v>0</v>
      </c>
      <c r="T330">
        <f t="shared" si="106"/>
        <v>0</v>
      </c>
      <c r="U330">
        <f t="shared" si="107"/>
        <v>0</v>
      </c>
      <c r="V330">
        <f t="shared" si="108"/>
        <v>0</v>
      </c>
      <c r="W330" t="s">
        <v>39</v>
      </c>
      <c r="X330">
        <f t="shared" si="109"/>
        <v>1</v>
      </c>
      <c r="Y330">
        <f t="shared" si="110"/>
        <v>0</v>
      </c>
      <c r="Z330">
        <v>3</v>
      </c>
      <c r="AA330">
        <f t="shared" si="111"/>
        <v>0.5</v>
      </c>
      <c r="AB330" t="s">
        <v>46</v>
      </c>
      <c r="AC330">
        <f t="shared" si="112"/>
        <v>1</v>
      </c>
      <c r="AD330">
        <f t="shared" si="113"/>
        <v>0</v>
      </c>
      <c r="AE330" t="s">
        <v>50</v>
      </c>
      <c r="AF330">
        <f>IF(AE330="website",1,0)</f>
        <v>0</v>
      </c>
    </row>
    <row r="331" spans="1:32">
      <c r="A331" t="s">
        <v>892</v>
      </c>
      <c r="B331" t="s">
        <v>33</v>
      </c>
      <c r="C331" s="3">
        <f t="shared" si="95"/>
        <v>0</v>
      </c>
      <c r="D331">
        <f t="shared" si="96"/>
        <v>1</v>
      </c>
      <c r="E331" t="s">
        <v>288</v>
      </c>
      <c r="F331" t="s">
        <v>695</v>
      </c>
      <c r="G331" s="1">
        <v>27566</v>
      </c>
      <c r="H331" s="2">
        <f t="shared" ca="1" si="97"/>
        <v>51</v>
      </c>
      <c r="I331" s="2">
        <f t="shared" ca="1" si="98"/>
        <v>0.37142857142857144</v>
      </c>
      <c r="J331" t="s">
        <v>45</v>
      </c>
      <c r="K331" t="s">
        <v>37</v>
      </c>
      <c r="L331">
        <f t="shared" si="99"/>
        <v>1</v>
      </c>
      <c r="M331">
        <f t="shared" si="100"/>
        <v>0</v>
      </c>
      <c r="N331">
        <f t="shared" si="101"/>
        <v>0</v>
      </c>
      <c r="O331" t="s">
        <v>38</v>
      </c>
      <c r="P331">
        <f t="shared" si="102"/>
        <v>1</v>
      </c>
      <c r="Q331">
        <f t="shared" si="103"/>
        <v>0</v>
      </c>
      <c r="R331">
        <f t="shared" si="104"/>
        <v>0</v>
      </c>
      <c r="S331">
        <f t="shared" si="105"/>
        <v>0</v>
      </c>
      <c r="T331">
        <f t="shared" si="106"/>
        <v>0</v>
      </c>
      <c r="U331">
        <f t="shared" si="107"/>
        <v>0</v>
      </c>
      <c r="V331">
        <f t="shared" si="108"/>
        <v>0</v>
      </c>
      <c r="W331" t="s">
        <v>39</v>
      </c>
      <c r="X331">
        <f t="shared" si="109"/>
        <v>1</v>
      </c>
      <c r="Y331">
        <f t="shared" si="110"/>
        <v>0</v>
      </c>
      <c r="Z331">
        <v>1</v>
      </c>
      <c r="AA331">
        <f t="shared" si="111"/>
        <v>0</v>
      </c>
      <c r="AB331" t="s">
        <v>46</v>
      </c>
      <c r="AC331">
        <f t="shared" si="112"/>
        <v>0</v>
      </c>
      <c r="AD331">
        <f t="shared" si="113"/>
        <v>0</v>
      </c>
      <c r="AE331" t="s">
        <v>41</v>
      </c>
      <c r="AF331">
        <f>IF(AE331="website",1,0)</f>
        <v>1</v>
      </c>
    </row>
    <row r="332" spans="1:32">
      <c r="A332" t="s">
        <v>893</v>
      </c>
      <c r="B332" t="s">
        <v>33</v>
      </c>
      <c r="C332" s="3">
        <f t="shared" si="95"/>
        <v>0</v>
      </c>
      <c r="D332">
        <f t="shared" si="96"/>
        <v>1</v>
      </c>
      <c r="E332" t="s">
        <v>894</v>
      </c>
      <c r="F332" t="s">
        <v>610</v>
      </c>
      <c r="G332" s="1">
        <v>30825</v>
      </c>
      <c r="H332" s="2">
        <f t="shared" ca="1" si="97"/>
        <v>42</v>
      </c>
      <c r="I332" s="2">
        <f t="shared" ca="1" si="98"/>
        <v>0.24285714285714285</v>
      </c>
      <c r="J332" t="s">
        <v>36</v>
      </c>
      <c r="K332" t="s">
        <v>37</v>
      </c>
      <c r="L332">
        <f t="shared" si="99"/>
        <v>1</v>
      </c>
      <c r="M332">
        <f t="shared" si="100"/>
        <v>0</v>
      </c>
      <c r="N332">
        <f t="shared" si="101"/>
        <v>0</v>
      </c>
      <c r="O332" t="s">
        <v>38</v>
      </c>
      <c r="P332">
        <f t="shared" si="102"/>
        <v>1</v>
      </c>
      <c r="Q332">
        <f t="shared" si="103"/>
        <v>0</v>
      </c>
      <c r="R332">
        <f t="shared" si="104"/>
        <v>0</v>
      </c>
      <c r="S332">
        <f t="shared" si="105"/>
        <v>0</v>
      </c>
      <c r="T332">
        <f t="shared" si="106"/>
        <v>0</v>
      </c>
      <c r="U332">
        <f t="shared" si="107"/>
        <v>0</v>
      </c>
      <c r="V332">
        <f t="shared" si="108"/>
        <v>0</v>
      </c>
      <c r="W332" t="s">
        <v>58</v>
      </c>
      <c r="X332">
        <f t="shared" si="109"/>
        <v>0</v>
      </c>
      <c r="Y332">
        <f t="shared" si="110"/>
        <v>1</v>
      </c>
      <c r="Z332">
        <v>3</v>
      </c>
      <c r="AA332">
        <f t="shared" si="111"/>
        <v>0.5</v>
      </c>
      <c r="AB332" t="s">
        <v>46</v>
      </c>
      <c r="AC332">
        <f t="shared" si="112"/>
        <v>1</v>
      </c>
      <c r="AD332">
        <f t="shared" si="113"/>
        <v>0</v>
      </c>
      <c r="AE332" t="s">
        <v>50</v>
      </c>
      <c r="AF332">
        <f>IF(AE332="website",1,0)</f>
        <v>0</v>
      </c>
    </row>
    <row r="333" spans="1:32">
      <c r="A333" t="s">
        <v>895</v>
      </c>
      <c r="B333" t="s">
        <v>33</v>
      </c>
      <c r="C333" s="3">
        <f t="shared" si="95"/>
        <v>0</v>
      </c>
      <c r="D333">
        <f t="shared" si="96"/>
        <v>1</v>
      </c>
      <c r="E333" t="s">
        <v>690</v>
      </c>
      <c r="F333" t="s">
        <v>664</v>
      </c>
      <c r="G333" s="1">
        <v>32857</v>
      </c>
      <c r="H333" s="2">
        <f t="shared" ca="1" si="97"/>
        <v>36</v>
      </c>
      <c r="I333" s="2">
        <f t="shared" ca="1" si="98"/>
        <v>0.15714285714285714</v>
      </c>
      <c r="J333" t="s">
        <v>45</v>
      </c>
      <c r="K333" t="s">
        <v>37</v>
      </c>
      <c r="L333">
        <f t="shared" si="99"/>
        <v>1</v>
      </c>
      <c r="M333">
        <f t="shared" si="100"/>
        <v>0</v>
      </c>
      <c r="N333">
        <f t="shared" si="101"/>
        <v>0</v>
      </c>
      <c r="O333" t="s">
        <v>592</v>
      </c>
      <c r="P333">
        <f t="shared" si="102"/>
        <v>0</v>
      </c>
      <c r="Q333">
        <f t="shared" si="103"/>
        <v>0</v>
      </c>
      <c r="R333">
        <f t="shared" si="104"/>
        <v>0</v>
      </c>
      <c r="S333">
        <f t="shared" si="105"/>
        <v>0</v>
      </c>
      <c r="T333">
        <f t="shared" si="106"/>
        <v>0</v>
      </c>
      <c r="U333">
        <f t="shared" si="107"/>
        <v>0</v>
      </c>
      <c r="V333">
        <f t="shared" si="108"/>
        <v>0</v>
      </c>
      <c r="W333" t="s">
        <v>58</v>
      </c>
      <c r="X333">
        <f t="shared" si="109"/>
        <v>0</v>
      </c>
      <c r="Y333">
        <f t="shared" si="110"/>
        <v>1</v>
      </c>
      <c r="Z333">
        <v>3</v>
      </c>
      <c r="AA333">
        <f t="shared" si="111"/>
        <v>0.5</v>
      </c>
      <c r="AB333" t="s">
        <v>46</v>
      </c>
      <c r="AC333">
        <f t="shared" si="112"/>
        <v>0</v>
      </c>
      <c r="AD333">
        <f t="shared" si="113"/>
        <v>0</v>
      </c>
      <c r="AE333" t="s">
        <v>41</v>
      </c>
      <c r="AF333">
        <f>IF(AE333="website",1,0)</f>
        <v>1</v>
      </c>
    </row>
    <row r="334" spans="1:32">
      <c r="A334" t="s">
        <v>896</v>
      </c>
      <c r="B334" t="s">
        <v>33</v>
      </c>
      <c r="C334" s="3">
        <f t="shared" si="95"/>
        <v>0</v>
      </c>
      <c r="D334">
        <f t="shared" si="96"/>
        <v>1</v>
      </c>
      <c r="E334" t="s">
        <v>259</v>
      </c>
      <c r="F334" t="s">
        <v>549</v>
      </c>
      <c r="G334" s="1">
        <v>20446</v>
      </c>
      <c r="H334" s="2">
        <f t="shared" ca="1" si="97"/>
        <v>70</v>
      </c>
      <c r="I334" s="2">
        <f t="shared" ca="1" si="98"/>
        <v>0.6428571428571429</v>
      </c>
      <c r="J334" t="s">
        <v>36</v>
      </c>
      <c r="K334" t="s">
        <v>248</v>
      </c>
      <c r="L334">
        <f t="shared" si="99"/>
        <v>0</v>
      </c>
      <c r="M334">
        <f t="shared" si="100"/>
        <v>0</v>
      </c>
      <c r="N334">
        <f t="shared" si="101"/>
        <v>0</v>
      </c>
      <c r="O334" t="s">
        <v>836</v>
      </c>
      <c r="P334">
        <f t="shared" si="102"/>
        <v>0</v>
      </c>
      <c r="Q334">
        <f t="shared" si="103"/>
        <v>0</v>
      </c>
      <c r="R334">
        <f t="shared" si="104"/>
        <v>0</v>
      </c>
      <c r="S334">
        <f t="shared" si="105"/>
        <v>0</v>
      </c>
      <c r="T334">
        <f t="shared" si="106"/>
        <v>0</v>
      </c>
      <c r="U334">
        <f t="shared" si="107"/>
        <v>0</v>
      </c>
      <c r="V334">
        <f t="shared" si="108"/>
        <v>0</v>
      </c>
      <c r="W334" t="s">
        <v>39</v>
      </c>
      <c r="X334">
        <f t="shared" si="109"/>
        <v>1</v>
      </c>
      <c r="Y334">
        <f t="shared" si="110"/>
        <v>0</v>
      </c>
      <c r="Z334">
        <v>3</v>
      </c>
      <c r="AA334">
        <f t="shared" si="111"/>
        <v>0.5</v>
      </c>
      <c r="AB334" t="s">
        <v>46</v>
      </c>
      <c r="AC334">
        <f t="shared" si="112"/>
        <v>0</v>
      </c>
      <c r="AD334">
        <f t="shared" si="113"/>
        <v>0</v>
      </c>
      <c r="AE334" t="s">
        <v>41</v>
      </c>
      <c r="AF334">
        <f>IF(AE334="website",1,0)</f>
        <v>1</v>
      </c>
    </row>
    <row r="335" spans="1:32">
      <c r="A335" t="s">
        <v>897</v>
      </c>
      <c r="B335" t="s">
        <v>33</v>
      </c>
      <c r="C335" s="3">
        <f t="shared" si="95"/>
        <v>0</v>
      </c>
      <c r="D335">
        <f t="shared" si="96"/>
        <v>1</v>
      </c>
      <c r="E335" t="s">
        <v>865</v>
      </c>
      <c r="F335" t="s">
        <v>653</v>
      </c>
      <c r="G335" s="1">
        <v>18476</v>
      </c>
      <c r="H335" s="2">
        <f t="shared" ca="1" si="97"/>
        <v>76</v>
      </c>
      <c r="I335" s="2">
        <f t="shared" ca="1" si="98"/>
        <v>0.72857142857142854</v>
      </c>
      <c r="J335" t="s">
        <v>45</v>
      </c>
      <c r="K335" t="s">
        <v>37</v>
      </c>
      <c r="L335">
        <f t="shared" si="99"/>
        <v>1</v>
      </c>
      <c r="M335">
        <f t="shared" si="100"/>
        <v>0</v>
      </c>
      <c r="N335">
        <f t="shared" si="101"/>
        <v>0</v>
      </c>
      <c r="O335" t="s">
        <v>97</v>
      </c>
      <c r="P335">
        <f t="shared" si="102"/>
        <v>0</v>
      </c>
      <c r="Q335">
        <f t="shared" si="103"/>
        <v>0</v>
      </c>
      <c r="R335">
        <f t="shared" si="104"/>
        <v>0</v>
      </c>
      <c r="S335">
        <f t="shared" si="105"/>
        <v>0</v>
      </c>
      <c r="T335">
        <f t="shared" si="106"/>
        <v>1</v>
      </c>
      <c r="U335">
        <f t="shared" si="107"/>
        <v>0</v>
      </c>
      <c r="V335">
        <f t="shared" si="108"/>
        <v>0</v>
      </c>
      <c r="W335" t="s">
        <v>58</v>
      </c>
      <c r="X335">
        <f t="shared" si="109"/>
        <v>0</v>
      </c>
      <c r="Y335">
        <f t="shared" si="110"/>
        <v>1</v>
      </c>
      <c r="Z335">
        <v>3</v>
      </c>
      <c r="AA335">
        <f t="shared" si="111"/>
        <v>0.5</v>
      </c>
      <c r="AB335" t="s">
        <v>46</v>
      </c>
      <c r="AC335">
        <f t="shared" si="112"/>
        <v>1</v>
      </c>
      <c r="AD335">
        <f t="shared" si="113"/>
        <v>0</v>
      </c>
      <c r="AE335" t="s">
        <v>50</v>
      </c>
      <c r="AF335">
        <f>IF(AE335="website",1,0)</f>
        <v>0</v>
      </c>
    </row>
    <row r="336" spans="1:32">
      <c r="A336" t="s">
        <v>898</v>
      </c>
      <c r="B336" t="s">
        <v>33</v>
      </c>
      <c r="C336" s="3">
        <f t="shared" si="95"/>
        <v>0</v>
      </c>
      <c r="D336">
        <f t="shared" si="96"/>
        <v>1</v>
      </c>
      <c r="E336" t="s">
        <v>527</v>
      </c>
      <c r="F336" t="s">
        <v>742</v>
      </c>
      <c r="G336" s="1">
        <v>27752</v>
      </c>
      <c r="H336" s="2">
        <f t="shared" ca="1" si="97"/>
        <v>50</v>
      </c>
      <c r="I336" s="2">
        <f t="shared" ca="1" si="98"/>
        <v>0.35714285714285715</v>
      </c>
      <c r="J336" t="s">
        <v>45</v>
      </c>
      <c r="K336" t="s">
        <v>37</v>
      </c>
      <c r="L336">
        <f t="shared" si="99"/>
        <v>1</v>
      </c>
      <c r="M336">
        <f t="shared" si="100"/>
        <v>0</v>
      </c>
      <c r="N336">
        <f t="shared" si="101"/>
        <v>0</v>
      </c>
      <c r="O336" t="s">
        <v>97</v>
      </c>
      <c r="P336">
        <f t="shared" si="102"/>
        <v>0</v>
      </c>
      <c r="Q336">
        <f t="shared" si="103"/>
        <v>0</v>
      </c>
      <c r="R336">
        <f t="shared" si="104"/>
        <v>0</v>
      </c>
      <c r="S336">
        <f t="shared" si="105"/>
        <v>0</v>
      </c>
      <c r="T336">
        <f t="shared" si="106"/>
        <v>1</v>
      </c>
      <c r="U336">
        <f t="shared" si="107"/>
        <v>0</v>
      </c>
      <c r="V336">
        <f t="shared" si="108"/>
        <v>0</v>
      </c>
      <c r="W336" t="s">
        <v>39</v>
      </c>
      <c r="X336">
        <f t="shared" si="109"/>
        <v>1</v>
      </c>
      <c r="Y336">
        <f t="shared" si="110"/>
        <v>0</v>
      </c>
      <c r="Z336">
        <v>4</v>
      </c>
      <c r="AA336">
        <f t="shared" si="111"/>
        <v>0.75</v>
      </c>
      <c r="AB336" t="s">
        <v>46</v>
      </c>
      <c r="AC336">
        <f t="shared" si="112"/>
        <v>0</v>
      </c>
      <c r="AD336">
        <f t="shared" si="113"/>
        <v>0</v>
      </c>
      <c r="AE336" t="s">
        <v>41</v>
      </c>
      <c r="AF336">
        <f>IF(AE336="website",1,0)</f>
        <v>1</v>
      </c>
    </row>
    <row r="337" spans="1:32">
      <c r="A337" t="s">
        <v>899</v>
      </c>
      <c r="B337" t="s">
        <v>33</v>
      </c>
      <c r="C337" s="3">
        <f t="shared" si="95"/>
        <v>0</v>
      </c>
      <c r="D337">
        <f t="shared" si="96"/>
        <v>1</v>
      </c>
      <c r="E337" t="s">
        <v>615</v>
      </c>
      <c r="F337" t="s">
        <v>664</v>
      </c>
      <c r="G337" s="1">
        <v>26254</v>
      </c>
      <c r="H337" s="2">
        <f t="shared" ca="1" si="97"/>
        <v>54</v>
      </c>
      <c r="I337" s="2">
        <f t="shared" ca="1" si="98"/>
        <v>0.41428571428571431</v>
      </c>
      <c r="J337" t="s">
        <v>36</v>
      </c>
      <c r="K337" t="s">
        <v>37</v>
      </c>
      <c r="L337">
        <f t="shared" si="99"/>
        <v>1</v>
      </c>
      <c r="M337">
        <f t="shared" si="100"/>
        <v>0</v>
      </c>
      <c r="N337">
        <f t="shared" si="101"/>
        <v>0</v>
      </c>
      <c r="O337" t="s">
        <v>38</v>
      </c>
      <c r="P337">
        <f t="shared" si="102"/>
        <v>1</v>
      </c>
      <c r="Q337">
        <f t="shared" si="103"/>
        <v>0</v>
      </c>
      <c r="R337">
        <f t="shared" si="104"/>
        <v>0</v>
      </c>
      <c r="S337">
        <f t="shared" si="105"/>
        <v>0</v>
      </c>
      <c r="T337">
        <f t="shared" si="106"/>
        <v>0</v>
      </c>
      <c r="U337">
        <f t="shared" si="107"/>
        <v>0</v>
      </c>
      <c r="V337">
        <f t="shared" si="108"/>
        <v>0</v>
      </c>
      <c r="W337" t="s">
        <v>58</v>
      </c>
      <c r="X337">
        <f t="shared" si="109"/>
        <v>0</v>
      </c>
      <c r="Y337">
        <f t="shared" si="110"/>
        <v>1</v>
      </c>
      <c r="Z337">
        <v>5</v>
      </c>
      <c r="AA337">
        <f t="shared" si="111"/>
        <v>1</v>
      </c>
      <c r="AB337" t="s">
        <v>46</v>
      </c>
      <c r="AC337">
        <f t="shared" si="112"/>
        <v>1</v>
      </c>
      <c r="AD337">
        <f t="shared" si="113"/>
        <v>0</v>
      </c>
      <c r="AE337" t="s">
        <v>50</v>
      </c>
      <c r="AF337">
        <f>IF(AE337="website",1,0)</f>
        <v>0</v>
      </c>
    </row>
    <row r="338" spans="1:32">
      <c r="A338" t="s">
        <v>900</v>
      </c>
      <c r="B338" t="s">
        <v>33</v>
      </c>
      <c r="C338" s="3">
        <f t="shared" si="95"/>
        <v>0</v>
      </c>
      <c r="D338">
        <f t="shared" si="96"/>
        <v>1</v>
      </c>
      <c r="E338" t="s">
        <v>694</v>
      </c>
      <c r="F338" t="s">
        <v>576</v>
      </c>
      <c r="G338" s="1">
        <v>15368</v>
      </c>
      <c r="H338" s="2">
        <f t="shared" ca="1" si="97"/>
        <v>84</v>
      </c>
      <c r="I338" s="2">
        <f t="shared" ca="1" si="98"/>
        <v>0.84285714285714286</v>
      </c>
      <c r="J338" t="s">
        <v>45</v>
      </c>
      <c r="K338" t="s">
        <v>37</v>
      </c>
      <c r="L338">
        <f t="shared" si="99"/>
        <v>1</v>
      </c>
      <c r="M338">
        <f t="shared" si="100"/>
        <v>0</v>
      </c>
      <c r="N338">
        <f t="shared" si="101"/>
        <v>0</v>
      </c>
      <c r="O338" t="s">
        <v>97</v>
      </c>
      <c r="P338">
        <f t="shared" si="102"/>
        <v>0</v>
      </c>
      <c r="Q338">
        <f t="shared" si="103"/>
        <v>0</v>
      </c>
      <c r="R338">
        <f t="shared" si="104"/>
        <v>0</v>
      </c>
      <c r="S338">
        <f t="shared" si="105"/>
        <v>0</v>
      </c>
      <c r="T338">
        <f t="shared" si="106"/>
        <v>1</v>
      </c>
      <c r="U338">
        <f t="shared" si="107"/>
        <v>0</v>
      </c>
      <c r="V338">
        <f t="shared" si="108"/>
        <v>0</v>
      </c>
      <c r="W338" t="s">
        <v>39</v>
      </c>
      <c r="X338">
        <f t="shared" si="109"/>
        <v>1</v>
      </c>
      <c r="Y338">
        <f t="shared" si="110"/>
        <v>0</v>
      </c>
      <c r="Z338">
        <v>3</v>
      </c>
      <c r="AA338">
        <f t="shared" si="111"/>
        <v>0.5</v>
      </c>
      <c r="AB338" t="s">
        <v>40</v>
      </c>
      <c r="AC338">
        <f t="shared" si="112"/>
        <v>0</v>
      </c>
      <c r="AD338">
        <f t="shared" si="113"/>
        <v>0</v>
      </c>
      <c r="AE338" t="s">
        <v>41</v>
      </c>
      <c r="AF338">
        <f>IF(AE338="website",1,0)</f>
        <v>1</v>
      </c>
    </row>
    <row r="339" spans="1:32">
      <c r="A339" t="s">
        <v>901</v>
      </c>
      <c r="B339" t="s">
        <v>33</v>
      </c>
      <c r="C339" s="3">
        <f t="shared" si="95"/>
        <v>0</v>
      </c>
      <c r="D339">
        <f t="shared" si="96"/>
        <v>1</v>
      </c>
      <c r="E339" t="s">
        <v>152</v>
      </c>
      <c r="F339" t="s">
        <v>882</v>
      </c>
      <c r="G339" s="1">
        <v>15854</v>
      </c>
      <c r="H339" s="2">
        <f t="shared" ca="1" si="97"/>
        <v>83</v>
      </c>
      <c r="I339" s="2">
        <f t="shared" ca="1" si="98"/>
        <v>0.82857142857142863</v>
      </c>
      <c r="J339" t="s">
        <v>45</v>
      </c>
      <c r="K339" t="s">
        <v>37</v>
      </c>
      <c r="L339">
        <f t="shared" si="99"/>
        <v>1</v>
      </c>
      <c r="M339">
        <f t="shared" si="100"/>
        <v>0</v>
      </c>
      <c r="N339">
        <f t="shared" si="101"/>
        <v>0</v>
      </c>
      <c r="O339" t="s">
        <v>38</v>
      </c>
      <c r="P339">
        <f t="shared" si="102"/>
        <v>1</v>
      </c>
      <c r="Q339">
        <f t="shared" si="103"/>
        <v>0</v>
      </c>
      <c r="R339">
        <f t="shared" si="104"/>
        <v>0</v>
      </c>
      <c r="S339">
        <f t="shared" si="105"/>
        <v>0</v>
      </c>
      <c r="T339">
        <f t="shared" si="106"/>
        <v>0</v>
      </c>
      <c r="U339">
        <f t="shared" si="107"/>
        <v>0</v>
      </c>
      <c r="V339">
        <f t="shared" si="108"/>
        <v>0</v>
      </c>
      <c r="W339" t="s">
        <v>39</v>
      </c>
      <c r="X339">
        <f t="shared" si="109"/>
        <v>1</v>
      </c>
      <c r="Y339">
        <f t="shared" si="110"/>
        <v>0</v>
      </c>
      <c r="Z339">
        <v>5</v>
      </c>
      <c r="AA339">
        <f t="shared" si="111"/>
        <v>1</v>
      </c>
      <c r="AB339" t="s">
        <v>40</v>
      </c>
      <c r="AC339">
        <f t="shared" si="112"/>
        <v>0</v>
      </c>
      <c r="AD339">
        <f t="shared" si="113"/>
        <v>0</v>
      </c>
      <c r="AE339" t="s">
        <v>41</v>
      </c>
      <c r="AF339">
        <f>IF(AE339="website",1,0)</f>
        <v>1</v>
      </c>
    </row>
    <row r="340" spans="1:32">
      <c r="A340" t="s">
        <v>902</v>
      </c>
      <c r="B340" t="s">
        <v>33</v>
      </c>
      <c r="C340" s="3">
        <f t="shared" si="95"/>
        <v>0</v>
      </c>
      <c r="D340">
        <f t="shared" si="96"/>
        <v>1</v>
      </c>
      <c r="E340" t="s">
        <v>903</v>
      </c>
      <c r="F340" t="s">
        <v>904</v>
      </c>
      <c r="G340" s="1">
        <v>23289</v>
      </c>
      <c r="H340" s="2">
        <f t="shared" ca="1" si="97"/>
        <v>63</v>
      </c>
      <c r="I340" s="2">
        <f t="shared" ca="1" si="98"/>
        <v>0.54285714285714282</v>
      </c>
      <c r="J340" t="s">
        <v>45</v>
      </c>
      <c r="K340" t="s">
        <v>37</v>
      </c>
      <c r="L340">
        <f t="shared" si="99"/>
        <v>1</v>
      </c>
      <c r="M340">
        <f t="shared" si="100"/>
        <v>0</v>
      </c>
      <c r="N340">
        <f t="shared" si="101"/>
        <v>0</v>
      </c>
      <c r="O340" t="s">
        <v>183</v>
      </c>
      <c r="P340">
        <f t="shared" si="102"/>
        <v>0</v>
      </c>
      <c r="Q340">
        <f t="shared" si="103"/>
        <v>0</v>
      </c>
      <c r="R340">
        <f t="shared" si="104"/>
        <v>0</v>
      </c>
      <c r="S340">
        <f t="shared" si="105"/>
        <v>0</v>
      </c>
      <c r="T340">
        <f t="shared" si="106"/>
        <v>0</v>
      </c>
      <c r="U340">
        <f t="shared" si="107"/>
        <v>0</v>
      </c>
      <c r="V340">
        <f t="shared" si="108"/>
        <v>0</v>
      </c>
      <c r="W340" t="s">
        <v>58</v>
      </c>
      <c r="X340">
        <f t="shared" si="109"/>
        <v>0</v>
      </c>
      <c r="Y340">
        <f t="shared" si="110"/>
        <v>1</v>
      </c>
      <c r="Z340">
        <v>5</v>
      </c>
      <c r="AA340">
        <f t="shared" si="111"/>
        <v>1</v>
      </c>
      <c r="AB340" t="s">
        <v>46</v>
      </c>
      <c r="AC340">
        <f t="shared" si="112"/>
        <v>1</v>
      </c>
      <c r="AD340">
        <f t="shared" si="113"/>
        <v>0</v>
      </c>
      <c r="AE340" t="s">
        <v>50</v>
      </c>
      <c r="AF340">
        <f>IF(AE340="website",1,0)</f>
        <v>0</v>
      </c>
    </row>
    <row r="341" spans="1:32">
      <c r="A341" t="s">
        <v>905</v>
      </c>
      <c r="B341" t="s">
        <v>33</v>
      </c>
      <c r="C341" s="3">
        <f t="shared" si="95"/>
        <v>0</v>
      </c>
      <c r="D341">
        <f t="shared" si="96"/>
        <v>1</v>
      </c>
      <c r="E341" t="s">
        <v>884</v>
      </c>
      <c r="F341" t="s">
        <v>714</v>
      </c>
      <c r="G341" s="1">
        <v>14940</v>
      </c>
      <c r="H341" s="2">
        <f t="shared" ca="1" si="97"/>
        <v>85</v>
      </c>
      <c r="I341" s="2">
        <f t="shared" ca="1" si="98"/>
        <v>0.8571428571428571</v>
      </c>
      <c r="J341" t="s">
        <v>45</v>
      </c>
      <c r="K341" t="s">
        <v>37</v>
      </c>
      <c r="L341">
        <f t="shared" si="99"/>
        <v>1</v>
      </c>
      <c r="M341">
        <f t="shared" si="100"/>
        <v>0</v>
      </c>
      <c r="N341">
        <f t="shared" si="101"/>
        <v>0</v>
      </c>
      <c r="O341" t="s">
        <v>38</v>
      </c>
      <c r="P341">
        <f t="shared" si="102"/>
        <v>1</v>
      </c>
      <c r="Q341">
        <f t="shared" si="103"/>
        <v>0</v>
      </c>
      <c r="R341">
        <f t="shared" si="104"/>
        <v>0</v>
      </c>
      <c r="S341">
        <f t="shared" si="105"/>
        <v>0</v>
      </c>
      <c r="T341">
        <f t="shared" si="106"/>
        <v>0</v>
      </c>
      <c r="U341">
        <f t="shared" si="107"/>
        <v>0</v>
      </c>
      <c r="V341">
        <f t="shared" si="108"/>
        <v>0</v>
      </c>
      <c r="W341" t="s">
        <v>58</v>
      </c>
      <c r="X341">
        <f t="shared" si="109"/>
        <v>0</v>
      </c>
      <c r="Y341">
        <f t="shared" si="110"/>
        <v>1</v>
      </c>
      <c r="Z341">
        <v>2</v>
      </c>
      <c r="AA341">
        <f t="shared" si="111"/>
        <v>0.25</v>
      </c>
      <c r="AB341" t="s">
        <v>46</v>
      </c>
      <c r="AC341">
        <f t="shared" si="112"/>
        <v>1</v>
      </c>
      <c r="AD341">
        <f t="shared" si="113"/>
        <v>0</v>
      </c>
      <c r="AE341" t="s">
        <v>50</v>
      </c>
      <c r="AF341">
        <f>IF(AE341="website",1,0)</f>
        <v>0</v>
      </c>
    </row>
    <row r="342" spans="1:32">
      <c r="A342" t="s">
        <v>906</v>
      </c>
      <c r="B342" t="s">
        <v>33</v>
      </c>
      <c r="C342" s="3">
        <f t="shared" si="95"/>
        <v>0</v>
      </c>
      <c r="D342">
        <f t="shared" si="96"/>
        <v>1</v>
      </c>
      <c r="E342" t="s">
        <v>744</v>
      </c>
      <c r="F342" t="s">
        <v>585</v>
      </c>
      <c r="G342" s="1">
        <v>30265</v>
      </c>
      <c r="H342" s="2">
        <f t="shared" ca="1" si="97"/>
        <v>43</v>
      </c>
      <c r="I342" s="2">
        <f t="shared" ca="1" si="98"/>
        <v>0.25714285714285712</v>
      </c>
      <c r="J342" t="s">
        <v>45</v>
      </c>
      <c r="K342" t="s">
        <v>37</v>
      </c>
      <c r="L342">
        <f t="shared" si="99"/>
        <v>1</v>
      </c>
      <c r="M342">
        <f t="shared" si="100"/>
        <v>0</v>
      </c>
      <c r="N342">
        <f t="shared" si="101"/>
        <v>0</v>
      </c>
      <c r="O342" t="s">
        <v>38</v>
      </c>
      <c r="P342">
        <f t="shared" si="102"/>
        <v>1</v>
      </c>
      <c r="Q342">
        <f t="shared" si="103"/>
        <v>0</v>
      </c>
      <c r="R342">
        <f t="shared" si="104"/>
        <v>0</v>
      </c>
      <c r="S342">
        <f t="shared" si="105"/>
        <v>0</v>
      </c>
      <c r="T342">
        <f t="shared" si="106"/>
        <v>0</v>
      </c>
      <c r="U342">
        <f t="shared" si="107"/>
        <v>0</v>
      </c>
      <c r="V342">
        <f t="shared" si="108"/>
        <v>0</v>
      </c>
      <c r="W342" t="s">
        <v>58</v>
      </c>
      <c r="X342">
        <f t="shared" si="109"/>
        <v>0</v>
      </c>
      <c r="Y342">
        <f t="shared" si="110"/>
        <v>1</v>
      </c>
      <c r="Z342">
        <v>4</v>
      </c>
      <c r="AA342">
        <f t="shared" si="111"/>
        <v>0.75</v>
      </c>
      <c r="AB342" t="s">
        <v>46</v>
      </c>
      <c r="AC342">
        <f t="shared" si="112"/>
        <v>1</v>
      </c>
      <c r="AD342">
        <f t="shared" si="113"/>
        <v>0</v>
      </c>
      <c r="AE342" t="s">
        <v>50</v>
      </c>
      <c r="AF342">
        <f>IF(AE342="website",1,0)</f>
        <v>0</v>
      </c>
    </row>
    <row r="343" spans="1:32">
      <c r="A343" t="s">
        <v>907</v>
      </c>
      <c r="B343" t="s">
        <v>33</v>
      </c>
      <c r="C343" s="3">
        <f t="shared" si="95"/>
        <v>0</v>
      </c>
      <c r="D343">
        <f t="shared" si="96"/>
        <v>1</v>
      </c>
      <c r="E343" t="s">
        <v>191</v>
      </c>
      <c r="F343" t="s">
        <v>716</v>
      </c>
      <c r="G343" s="1">
        <v>27256</v>
      </c>
      <c r="H343" s="2">
        <f t="shared" ca="1" si="97"/>
        <v>52</v>
      </c>
      <c r="I343" s="2">
        <f t="shared" ca="1" si="98"/>
        <v>0.38571428571428573</v>
      </c>
      <c r="J343" t="s">
        <v>45</v>
      </c>
      <c r="K343" t="s">
        <v>37</v>
      </c>
      <c r="L343">
        <f t="shared" si="99"/>
        <v>1</v>
      </c>
      <c r="M343">
        <f t="shared" si="100"/>
        <v>0</v>
      </c>
      <c r="N343">
        <f t="shared" si="101"/>
        <v>0</v>
      </c>
      <c r="O343" t="s">
        <v>38</v>
      </c>
      <c r="P343">
        <f t="shared" si="102"/>
        <v>1</v>
      </c>
      <c r="Q343">
        <f t="shared" si="103"/>
        <v>0</v>
      </c>
      <c r="R343">
        <f t="shared" si="104"/>
        <v>0</v>
      </c>
      <c r="S343">
        <f t="shared" si="105"/>
        <v>0</v>
      </c>
      <c r="T343">
        <f t="shared" si="106"/>
        <v>0</v>
      </c>
      <c r="U343">
        <f t="shared" si="107"/>
        <v>0</v>
      </c>
      <c r="V343">
        <f t="shared" si="108"/>
        <v>0</v>
      </c>
      <c r="W343" t="s">
        <v>58</v>
      </c>
      <c r="X343">
        <f t="shared" si="109"/>
        <v>0</v>
      </c>
      <c r="Y343">
        <f t="shared" si="110"/>
        <v>1</v>
      </c>
      <c r="Z343">
        <v>2</v>
      </c>
      <c r="AA343">
        <f t="shared" si="111"/>
        <v>0.25</v>
      </c>
      <c r="AB343" t="s">
        <v>46</v>
      </c>
      <c r="AC343">
        <f t="shared" si="112"/>
        <v>0</v>
      </c>
      <c r="AD343">
        <f t="shared" si="113"/>
        <v>1</v>
      </c>
      <c r="AE343" t="s">
        <v>90</v>
      </c>
      <c r="AF343">
        <f>IF(AE343="website",1,0)</f>
        <v>0</v>
      </c>
    </row>
    <row r="344" spans="1:32">
      <c r="A344" t="s">
        <v>908</v>
      </c>
      <c r="B344" t="s">
        <v>33</v>
      </c>
      <c r="C344" s="3">
        <f t="shared" si="95"/>
        <v>0</v>
      </c>
      <c r="D344">
        <f t="shared" si="96"/>
        <v>1</v>
      </c>
      <c r="E344" t="s">
        <v>647</v>
      </c>
      <c r="F344" t="s">
        <v>798</v>
      </c>
      <c r="G344" s="1">
        <v>19162</v>
      </c>
      <c r="H344" s="2">
        <f t="shared" ca="1" si="97"/>
        <v>74</v>
      </c>
      <c r="I344" s="2">
        <f t="shared" ca="1" si="98"/>
        <v>0.7</v>
      </c>
      <c r="J344" t="s">
        <v>36</v>
      </c>
      <c r="K344" t="s">
        <v>37</v>
      </c>
      <c r="L344">
        <f t="shared" si="99"/>
        <v>1</v>
      </c>
      <c r="M344">
        <f t="shared" si="100"/>
        <v>0</v>
      </c>
      <c r="N344">
        <f t="shared" si="101"/>
        <v>0</v>
      </c>
      <c r="O344" t="s">
        <v>38</v>
      </c>
      <c r="P344">
        <f t="shared" si="102"/>
        <v>1</v>
      </c>
      <c r="Q344">
        <f t="shared" si="103"/>
        <v>0</v>
      </c>
      <c r="R344">
        <f t="shared" si="104"/>
        <v>0</v>
      </c>
      <c r="S344">
        <f t="shared" si="105"/>
        <v>0</v>
      </c>
      <c r="T344">
        <f t="shared" si="106"/>
        <v>0</v>
      </c>
      <c r="U344">
        <f t="shared" si="107"/>
        <v>0</v>
      </c>
      <c r="V344">
        <f t="shared" si="108"/>
        <v>0</v>
      </c>
      <c r="W344" t="s">
        <v>39</v>
      </c>
      <c r="X344">
        <f t="shared" si="109"/>
        <v>1</v>
      </c>
      <c r="Y344">
        <f t="shared" si="110"/>
        <v>0</v>
      </c>
      <c r="Z344">
        <v>2</v>
      </c>
      <c r="AA344">
        <f t="shared" si="111"/>
        <v>0.25</v>
      </c>
      <c r="AB344" t="s">
        <v>46</v>
      </c>
      <c r="AC344">
        <f t="shared" si="112"/>
        <v>0</v>
      </c>
      <c r="AD344">
        <f t="shared" si="113"/>
        <v>0</v>
      </c>
      <c r="AE344" t="s">
        <v>41</v>
      </c>
      <c r="AF344">
        <f>IF(AE344="website",1,0)</f>
        <v>1</v>
      </c>
    </row>
    <row r="345" spans="1:32">
      <c r="A345" t="s">
        <v>909</v>
      </c>
      <c r="B345" t="s">
        <v>33</v>
      </c>
      <c r="C345" s="3">
        <f t="shared" si="95"/>
        <v>0</v>
      </c>
      <c r="D345">
        <f t="shared" si="96"/>
        <v>1</v>
      </c>
      <c r="E345" t="s">
        <v>910</v>
      </c>
      <c r="F345" t="s">
        <v>911</v>
      </c>
      <c r="G345" s="1">
        <v>35563</v>
      </c>
      <c r="H345" s="2">
        <f t="shared" ca="1" si="97"/>
        <v>29</v>
      </c>
      <c r="I345" s="2">
        <f t="shared" ca="1" si="98"/>
        <v>5.7142857142857141E-2</v>
      </c>
      <c r="J345" t="s">
        <v>45</v>
      </c>
      <c r="K345" t="s">
        <v>65</v>
      </c>
      <c r="L345">
        <f t="shared" si="99"/>
        <v>0</v>
      </c>
      <c r="M345">
        <f t="shared" si="100"/>
        <v>1</v>
      </c>
      <c r="N345">
        <f t="shared" si="101"/>
        <v>0</v>
      </c>
      <c r="O345" t="s">
        <v>642</v>
      </c>
      <c r="P345">
        <f t="shared" si="102"/>
        <v>0</v>
      </c>
      <c r="Q345">
        <f t="shared" si="103"/>
        <v>0</v>
      </c>
      <c r="R345">
        <f t="shared" si="104"/>
        <v>0</v>
      </c>
      <c r="S345">
        <f t="shared" si="105"/>
        <v>0</v>
      </c>
      <c r="T345">
        <f t="shared" si="106"/>
        <v>0</v>
      </c>
      <c r="U345">
        <f t="shared" si="107"/>
        <v>0</v>
      </c>
      <c r="V345">
        <f t="shared" si="108"/>
        <v>0</v>
      </c>
      <c r="W345" t="s">
        <v>39</v>
      </c>
      <c r="X345">
        <f t="shared" si="109"/>
        <v>1</v>
      </c>
      <c r="Y345">
        <f t="shared" si="110"/>
        <v>0</v>
      </c>
      <c r="Z345">
        <v>2</v>
      </c>
      <c r="AA345">
        <f t="shared" si="111"/>
        <v>0.25</v>
      </c>
      <c r="AB345" t="s">
        <v>40</v>
      </c>
      <c r="AC345">
        <f t="shared" si="112"/>
        <v>0</v>
      </c>
      <c r="AD345">
        <f t="shared" si="113"/>
        <v>0</v>
      </c>
      <c r="AE345" t="s">
        <v>41</v>
      </c>
      <c r="AF345">
        <f>IF(AE345="website",1,0)</f>
        <v>1</v>
      </c>
    </row>
    <row r="346" spans="1:32">
      <c r="A346" t="s">
        <v>912</v>
      </c>
      <c r="B346" t="s">
        <v>33</v>
      </c>
      <c r="C346" s="3">
        <f t="shared" si="95"/>
        <v>0</v>
      </c>
      <c r="D346">
        <f t="shared" si="96"/>
        <v>1</v>
      </c>
      <c r="E346" t="s">
        <v>747</v>
      </c>
      <c r="F346" t="s">
        <v>549</v>
      </c>
      <c r="G346" s="1">
        <v>25461</v>
      </c>
      <c r="H346" s="2">
        <f t="shared" ca="1" si="97"/>
        <v>57</v>
      </c>
      <c r="I346" s="2">
        <f t="shared" ca="1" si="98"/>
        <v>0.45714285714285713</v>
      </c>
      <c r="J346" t="s">
        <v>36</v>
      </c>
      <c r="K346" t="s">
        <v>37</v>
      </c>
      <c r="L346">
        <f t="shared" si="99"/>
        <v>1</v>
      </c>
      <c r="M346">
        <f t="shared" si="100"/>
        <v>0</v>
      </c>
      <c r="N346">
        <f t="shared" si="101"/>
        <v>0</v>
      </c>
      <c r="O346" t="s">
        <v>717</v>
      </c>
      <c r="P346">
        <f t="shared" si="102"/>
        <v>0</v>
      </c>
      <c r="Q346">
        <f t="shared" si="103"/>
        <v>0</v>
      </c>
      <c r="R346">
        <f t="shared" si="104"/>
        <v>0</v>
      </c>
      <c r="S346">
        <f t="shared" si="105"/>
        <v>0</v>
      </c>
      <c r="T346">
        <f t="shared" si="106"/>
        <v>0</v>
      </c>
      <c r="U346">
        <f t="shared" si="107"/>
        <v>0</v>
      </c>
      <c r="V346">
        <f t="shared" si="108"/>
        <v>0</v>
      </c>
      <c r="W346" t="s">
        <v>39</v>
      </c>
      <c r="X346">
        <f t="shared" si="109"/>
        <v>1</v>
      </c>
      <c r="Y346">
        <f t="shared" si="110"/>
        <v>0</v>
      </c>
      <c r="Z346">
        <v>4</v>
      </c>
      <c r="AA346">
        <f t="shared" si="111"/>
        <v>0.75</v>
      </c>
      <c r="AB346" t="s">
        <v>40</v>
      </c>
      <c r="AC346">
        <f t="shared" si="112"/>
        <v>0</v>
      </c>
      <c r="AD346">
        <f t="shared" si="113"/>
        <v>0</v>
      </c>
      <c r="AE346" t="s">
        <v>41</v>
      </c>
      <c r="AF346">
        <f>IF(AE346="website",1,0)</f>
        <v>1</v>
      </c>
    </row>
    <row r="347" spans="1:32">
      <c r="A347" t="s">
        <v>913</v>
      </c>
      <c r="B347" t="s">
        <v>33</v>
      </c>
      <c r="C347" s="3">
        <f t="shared" si="95"/>
        <v>0</v>
      </c>
      <c r="D347">
        <f t="shared" si="96"/>
        <v>1</v>
      </c>
      <c r="E347" t="s">
        <v>666</v>
      </c>
      <c r="F347" t="s">
        <v>112</v>
      </c>
      <c r="G347" s="1">
        <v>23164</v>
      </c>
      <c r="H347" s="2">
        <f t="shared" ca="1" si="97"/>
        <v>63</v>
      </c>
      <c r="I347" s="2">
        <f t="shared" ca="1" si="98"/>
        <v>0.54285714285714282</v>
      </c>
      <c r="J347" t="s">
        <v>36</v>
      </c>
      <c r="K347" t="s">
        <v>37</v>
      </c>
      <c r="L347">
        <f t="shared" si="99"/>
        <v>1</v>
      </c>
      <c r="M347">
        <f t="shared" si="100"/>
        <v>0</v>
      </c>
      <c r="N347">
        <f t="shared" si="101"/>
        <v>0</v>
      </c>
      <c r="O347" t="s">
        <v>38</v>
      </c>
      <c r="P347">
        <f t="shared" si="102"/>
        <v>1</v>
      </c>
      <c r="Q347">
        <f t="shared" si="103"/>
        <v>0</v>
      </c>
      <c r="R347">
        <f t="shared" si="104"/>
        <v>0</v>
      </c>
      <c r="S347">
        <f t="shared" si="105"/>
        <v>0</v>
      </c>
      <c r="T347">
        <f t="shared" si="106"/>
        <v>0</v>
      </c>
      <c r="U347">
        <f t="shared" si="107"/>
        <v>0</v>
      </c>
      <c r="V347">
        <f t="shared" si="108"/>
        <v>0</v>
      </c>
      <c r="W347" t="s">
        <v>39</v>
      </c>
      <c r="X347">
        <f t="shared" si="109"/>
        <v>1</v>
      </c>
      <c r="Y347">
        <f t="shared" si="110"/>
        <v>0</v>
      </c>
      <c r="Z347">
        <v>5</v>
      </c>
      <c r="AA347">
        <f t="shared" si="111"/>
        <v>1</v>
      </c>
      <c r="AB347" t="s">
        <v>46</v>
      </c>
      <c r="AC347">
        <f t="shared" si="112"/>
        <v>1</v>
      </c>
      <c r="AD347">
        <f t="shared" si="113"/>
        <v>0</v>
      </c>
      <c r="AE347" t="s">
        <v>50</v>
      </c>
      <c r="AF347">
        <f>IF(AE347="website",1,0)</f>
        <v>0</v>
      </c>
    </row>
    <row r="348" spans="1:32">
      <c r="A348" t="s">
        <v>914</v>
      </c>
      <c r="B348" t="s">
        <v>33</v>
      </c>
      <c r="C348" s="3">
        <f t="shared" si="95"/>
        <v>0</v>
      </c>
      <c r="D348">
        <f t="shared" si="96"/>
        <v>1</v>
      </c>
      <c r="E348" t="s">
        <v>658</v>
      </c>
      <c r="F348" t="s">
        <v>641</v>
      </c>
      <c r="G348" s="1">
        <v>33748</v>
      </c>
      <c r="H348" s="2">
        <f t="shared" ca="1" si="97"/>
        <v>34</v>
      </c>
      <c r="I348" s="2">
        <f t="shared" ca="1" si="98"/>
        <v>0.12857142857142856</v>
      </c>
      <c r="J348" t="s">
        <v>45</v>
      </c>
      <c r="K348" t="s">
        <v>37</v>
      </c>
      <c r="L348">
        <f t="shared" si="99"/>
        <v>1</v>
      </c>
      <c r="M348">
        <f t="shared" si="100"/>
        <v>0</v>
      </c>
      <c r="N348">
        <f t="shared" si="101"/>
        <v>0</v>
      </c>
      <c r="O348" t="s">
        <v>565</v>
      </c>
      <c r="P348">
        <f t="shared" si="102"/>
        <v>0</v>
      </c>
      <c r="Q348">
        <f t="shared" si="103"/>
        <v>0</v>
      </c>
      <c r="R348">
        <f t="shared" si="104"/>
        <v>0</v>
      </c>
      <c r="S348">
        <f t="shared" si="105"/>
        <v>0</v>
      </c>
      <c r="T348">
        <f t="shared" si="106"/>
        <v>0</v>
      </c>
      <c r="U348">
        <f t="shared" si="107"/>
        <v>0</v>
      </c>
      <c r="V348">
        <f t="shared" si="108"/>
        <v>0</v>
      </c>
      <c r="W348" t="s">
        <v>39</v>
      </c>
      <c r="X348">
        <f t="shared" si="109"/>
        <v>1</v>
      </c>
      <c r="Y348">
        <f t="shared" si="110"/>
        <v>0</v>
      </c>
      <c r="Z348">
        <v>3</v>
      </c>
      <c r="AA348">
        <f t="shared" si="111"/>
        <v>0.5</v>
      </c>
      <c r="AB348" t="s">
        <v>40</v>
      </c>
      <c r="AC348">
        <f t="shared" si="112"/>
        <v>0</v>
      </c>
      <c r="AD348">
        <f t="shared" si="113"/>
        <v>0</v>
      </c>
      <c r="AE348" t="s">
        <v>41</v>
      </c>
      <c r="AF348">
        <f>IF(AE348="website",1,0)</f>
        <v>1</v>
      </c>
    </row>
    <row r="349" spans="1:32">
      <c r="A349" t="s">
        <v>915</v>
      </c>
      <c r="B349" t="s">
        <v>33</v>
      </c>
      <c r="C349" s="3">
        <f t="shared" si="95"/>
        <v>0</v>
      </c>
      <c r="D349">
        <f t="shared" si="96"/>
        <v>1</v>
      </c>
      <c r="E349" t="s">
        <v>357</v>
      </c>
      <c r="F349" t="s">
        <v>599</v>
      </c>
      <c r="G349" s="1">
        <v>29995</v>
      </c>
      <c r="H349" s="2">
        <f t="shared" ca="1" si="97"/>
        <v>44</v>
      </c>
      <c r="I349" s="2">
        <f t="shared" ca="1" si="98"/>
        <v>0.27142857142857141</v>
      </c>
      <c r="J349" t="s">
        <v>45</v>
      </c>
      <c r="K349" t="s">
        <v>37</v>
      </c>
      <c r="L349">
        <f t="shared" si="99"/>
        <v>1</v>
      </c>
      <c r="M349">
        <f t="shared" si="100"/>
        <v>0</v>
      </c>
      <c r="N349">
        <f t="shared" si="101"/>
        <v>0</v>
      </c>
      <c r="O349" t="s">
        <v>137</v>
      </c>
      <c r="P349">
        <f t="shared" si="102"/>
        <v>0</v>
      </c>
      <c r="Q349">
        <f t="shared" si="103"/>
        <v>0</v>
      </c>
      <c r="R349">
        <f t="shared" si="104"/>
        <v>0</v>
      </c>
      <c r="S349">
        <f t="shared" si="105"/>
        <v>0</v>
      </c>
      <c r="T349">
        <f t="shared" si="106"/>
        <v>0</v>
      </c>
      <c r="U349">
        <f t="shared" si="107"/>
        <v>0</v>
      </c>
      <c r="V349">
        <f t="shared" si="108"/>
        <v>0</v>
      </c>
      <c r="W349" t="s">
        <v>58</v>
      </c>
      <c r="X349">
        <f t="shared" si="109"/>
        <v>0</v>
      </c>
      <c r="Y349">
        <f t="shared" si="110"/>
        <v>1</v>
      </c>
      <c r="Z349">
        <v>5</v>
      </c>
      <c r="AA349">
        <f t="shared" si="111"/>
        <v>1</v>
      </c>
      <c r="AB349" t="s">
        <v>40</v>
      </c>
      <c r="AC349">
        <f t="shared" si="112"/>
        <v>1</v>
      </c>
      <c r="AD349">
        <f t="shared" si="113"/>
        <v>0</v>
      </c>
      <c r="AE349" t="s">
        <v>50</v>
      </c>
      <c r="AF349">
        <f>IF(AE349="website",1,0)</f>
        <v>0</v>
      </c>
    </row>
    <row r="350" spans="1:32">
      <c r="A350" t="s">
        <v>916</v>
      </c>
      <c r="B350" t="s">
        <v>33</v>
      </c>
      <c r="C350" s="3">
        <f t="shared" si="95"/>
        <v>0</v>
      </c>
      <c r="D350">
        <f t="shared" si="96"/>
        <v>1</v>
      </c>
      <c r="E350" t="s">
        <v>792</v>
      </c>
      <c r="F350" t="s">
        <v>911</v>
      </c>
      <c r="G350" s="1">
        <v>27571</v>
      </c>
      <c r="H350" s="2">
        <f t="shared" ca="1" si="97"/>
        <v>51</v>
      </c>
      <c r="I350" s="2">
        <f t="shared" ca="1" si="98"/>
        <v>0.37142857142857144</v>
      </c>
      <c r="J350" t="s">
        <v>45</v>
      </c>
      <c r="K350" t="s">
        <v>37</v>
      </c>
      <c r="L350">
        <f t="shared" si="99"/>
        <v>1</v>
      </c>
      <c r="M350">
        <f t="shared" si="100"/>
        <v>0</v>
      </c>
      <c r="N350">
        <f t="shared" si="101"/>
        <v>0</v>
      </c>
      <c r="O350" t="s">
        <v>97</v>
      </c>
      <c r="P350">
        <f t="shared" si="102"/>
        <v>0</v>
      </c>
      <c r="Q350">
        <f t="shared" si="103"/>
        <v>0</v>
      </c>
      <c r="R350">
        <f t="shared" si="104"/>
        <v>0</v>
      </c>
      <c r="S350">
        <f t="shared" si="105"/>
        <v>0</v>
      </c>
      <c r="T350">
        <f t="shared" si="106"/>
        <v>1</v>
      </c>
      <c r="U350">
        <f t="shared" si="107"/>
        <v>0</v>
      </c>
      <c r="V350">
        <f t="shared" si="108"/>
        <v>0</v>
      </c>
      <c r="W350" t="s">
        <v>39</v>
      </c>
      <c r="X350">
        <f t="shared" si="109"/>
        <v>1</v>
      </c>
      <c r="Y350">
        <f t="shared" si="110"/>
        <v>0</v>
      </c>
      <c r="Z350">
        <v>2</v>
      </c>
      <c r="AA350">
        <f t="shared" si="111"/>
        <v>0.25</v>
      </c>
      <c r="AB350" t="s">
        <v>40</v>
      </c>
      <c r="AC350">
        <f t="shared" si="112"/>
        <v>1</v>
      </c>
      <c r="AD350">
        <f t="shared" si="113"/>
        <v>0</v>
      </c>
      <c r="AE350" t="s">
        <v>50</v>
      </c>
      <c r="AF350">
        <f>IF(AE350="website",1,0)</f>
        <v>0</v>
      </c>
    </row>
    <row r="351" spans="1:32">
      <c r="A351" t="s">
        <v>917</v>
      </c>
      <c r="B351" t="s">
        <v>33</v>
      </c>
      <c r="C351" s="3">
        <f t="shared" si="95"/>
        <v>0</v>
      </c>
      <c r="D351">
        <f t="shared" si="96"/>
        <v>1</v>
      </c>
      <c r="E351" t="s">
        <v>918</v>
      </c>
      <c r="F351" t="s">
        <v>562</v>
      </c>
      <c r="G351" s="1">
        <v>33949</v>
      </c>
      <c r="H351" s="2">
        <f t="shared" ca="1" si="97"/>
        <v>33</v>
      </c>
      <c r="I351" s="2">
        <f t="shared" ca="1" si="98"/>
        <v>0.11428571428571428</v>
      </c>
      <c r="J351" t="s">
        <v>45</v>
      </c>
      <c r="K351" t="s">
        <v>37</v>
      </c>
      <c r="L351">
        <f t="shared" si="99"/>
        <v>1</v>
      </c>
      <c r="M351">
        <f t="shared" si="100"/>
        <v>0</v>
      </c>
      <c r="N351">
        <f t="shared" si="101"/>
        <v>0</v>
      </c>
      <c r="O351" t="s">
        <v>97</v>
      </c>
      <c r="P351">
        <f t="shared" si="102"/>
        <v>0</v>
      </c>
      <c r="Q351">
        <f t="shared" si="103"/>
        <v>0</v>
      </c>
      <c r="R351">
        <f t="shared" si="104"/>
        <v>0</v>
      </c>
      <c r="S351">
        <f t="shared" si="105"/>
        <v>0</v>
      </c>
      <c r="T351">
        <f t="shared" si="106"/>
        <v>1</v>
      </c>
      <c r="U351">
        <f t="shared" si="107"/>
        <v>0</v>
      </c>
      <c r="V351">
        <f t="shared" si="108"/>
        <v>0</v>
      </c>
      <c r="W351" t="s">
        <v>39</v>
      </c>
      <c r="X351">
        <f t="shared" si="109"/>
        <v>1</v>
      </c>
      <c r="Y351">
        <f t="shared" si="110"/>
        <v>0</v>
      </c>
      <c r="Z351">
        <v>2</v>
      </c>
      <c r="AA351">
        <f t="shared" si="111"/>
        <v>0.25</v>
      </c>
      <c r="AB351" t="s">
        <v>46</v>
      </c>
      <c r="AC351">
        <f t="shared" si="112"/>
        <v>1</v>
      </c>
      <c r="AD351">
        <f t="shared" si="113"/>
        <v>0</v>
      </c>
      <c r="AE351" t="s">
        <v>50</v>
      </c>
      <c r="AF351">
        <f>IF(AE351="website",1,0)</f>
        <v>0</v>
      </c>
    </row>
    <row r="352" spans="1:32">
      <c r="A352" t="s">
        <v>919</v>
      </c>
      <c r="B352" t="s">
        <v>33</v>
      </c>
      <c r="C352" s="3">
        <f t="shared" si="95"/>
        <v>0</v>
      </c>
      <c r="D352">
        <f t="shared" si="96"/>
        <v>1</v>
      </c>
      <c r="E352" t="s">
        <v>482</v>
      </c>
      <c r="F352" t="s">
        <v>825</v>
      </c>
      <c r="G352" s="1">
        <v>22642</v>
      </c>
      <c r="H352" s="2">
        <f t="shared" ca="1" si="97"/>
        <v>64</v>
      </c>
      <c r="I352" s="2">
        <f t="shared" ca="1" si="98"/>
        <v>0.55714285714285716</v>
      </c>
      <c r="J352" t="s">
        <v>36</v>
      </c>
      <c r="K352" t="s">
        <v>37</v>
      </c>
      <c r="L352">
        <f t="shared" si="99"/>
        <v>1</v>
      </c>
      <c r="M352">
        <f t="shared" si="100"/>
        <v>0</v>
      </c>
      <c r="N352">
        <f t="shared" si="101"/>
        <v>0</v>
      </c>
      <c r="O352" t="s">
        <v>76</v>
      </c>
      <c r="P352">
        <f t="shared" si="102"/>
        <v>0</v>
      </c>
      <c r="Q352">
        <f t="shared" si="103"/>
        <v>1</v>
      </c>
      <c r="R352">
        <f t="shared" si="104"/>
        <v>0</v>
      </c>
      <c r="S352">
        <f t="shared" si="105"/>
        <v>0</v>
      </c>
      <c r="T352">
        <f t="shared" si="106"/>
        <v>0</v>
      </c>
      <c r="U352">
        <f t="shared" si="107"/>
        <v>0</v>
      </c>
      <c r="V352">
        <f t="shared" si="108"/>
        <v>0</v>
      </c>
      <c r="W352" t="s">
        <v>39</v>
      </c>
      <c r="X352">
        <f t="shared" si="109"/>
        <v>1</v>
      </c>
      <c r="Y352">
        <f t="shared" si="110"/>
        <v>0</v>
      </c>
      <c r="Z352">
        <v>5</v>
      </c>
      <c r="AA352">
        <f t="shared" si="111"/>
        <v>1</v>
      </c>
      <c r="AB352" t="s">
        <v>46</v>
      </c>
      <c r="AC352">
        <f t="shared" si="112"/>
        <v>1</v>
      </c>
      <c r="AD352">
        <f t="shared" si="113"/>
        <v>0</v>
      </c>
      <c r="AE352" t="s">
        <v>50</v>
      </c>
      <c r="AF352">
        <f>IF(AE352="website",1,0)</f>
        <v>0</v>
      </c>
    </row>
    <row r="353" spans="1:32">
      <c r="A353" t="s">
        <v>920</v>
      </c>
      <c r="B353" t="s">
        <v>33</v>
      </c>
      <c r="C353" s="3">
        <f t="shared" si="95"/>
        <v>0</v>
      </c>
      <c r="D353">
        <f t="shared" si="96"/>
        <v>1</v>
      </c>
      <c r="E353" t="s">
        <v>921</v>
      </c>
      <c r="F353" t="s">
        <v>579</v>
      </c>
      <c r="G353" s="1">
        <v>28298</v>
      </c>
      <c r="H353" s="2">
        <f t="shared" ca="1" si="97"/>
        <v>49</v>
      </c>
      <c r="I353" s="2">
        <f t="shared" ca="1" si="98"/>
        <v>0.34285714285714286</v>
      </c>
      <c r="J353" t="s">
        <v>36</v>
      </c>
      <c r="K353" t="s">
        <v>37</v>
      </c>
      <c r="L353">
        <f t="shared" si="99"/>
        <v>1</v>
      </c>
      <c r="M353">
        <f t="shared" si="100"/>
        <v>0</v>
      </c>
      <c r="N353">
        <f t="shared" si="101"/>
        <v>0</v>
      </c>
      <c r="O353" t="s">
        <v>124</v>
      </c>
      <c r="P353">
        <f t="shared" si="102"/>
        <v>0</v>
      </c>
      <c r="Q353">
        <f t="shared" si="103"/>
        <v>0</v>
      </c>
      <c r="R353">
        <f t="shared" si="104"/>
        <v>0</v>
      </c>
      <c r="S353">
        <f t="shared" si="105"/>
        <v>0</v>
      </c>
      <c r="T353">
        <f t="shared" si="106"/>
        <v>0</v>
      </c>
      <c r="U353">
        <f t="shared" si="107"/>
        <v>1</v>
      </c>
      <c r="V353">
        <f t="shared" si="108"/>
        <v>0</v>
      </c>
      <c r="W353" t="s">
        <v>58</v>
      </c>
      <c r="X353">
        <f t="shared" si="109"/>
        <v>0</v>
      </c>
      <c r="Y353">
        <f t="shared" si="110"/>
        <v>1</v>
      </c>
      <c r="Z353">
        <v>3</v>
      </c>
      <c r="AA353">
        <f t="shared" si="111"/>
        <v>0.5</v>
      </c>
      <c r="AB353" t="s">
        <v>46</v>
      </c>
      <c r="AC353">
        <f t="shared" si="112"/>
        <v>1</v>
      </c>
      <c r="AD353">
        <f t="shared" si="113"/>
        <v>0</v>
      </c>
      <c r="AE353" t="s">
        <v>50</v>
      </c>
      <c r="AF353">
        <f>IF(AE353="website",1,0)</f>
        <v>0</v>
      </c>
    </row>
    <row r="354" spans="1:32">
      <c r="A354" t="s">
        <v>922</v>
      </c>
      <c r="B354" t="s">
        <v>33</v>
      </c>
      <c r="C354" s="3">
        <f t="shared" si="95"/>
        <v>0</v>
      </c>
      <c r="D354">
        <f t="shared" si="96"/>
        <v>1</v>
      </c>
      <c r="E354" t="s">
        <v>612</v>
      </c>
      <c r="F354" t="s">
        <v>764</v>
      </c>
      <c r="G354" s="1">
        <v>23491</v>
      </c>
      <c r="H354" s="2">
        <f t="shared" ca="1" si="97"/>
        <v>62</v>
      </c>
      <c r="I354" s="2">
        <f t="shared" ca="1" si="98"/>
        <v>0.52857142857142858</v>
      </c>
      <c r="J354" t="s">
        <v>36</v>
      </c>
      <c r="K354" t="s">
        <v>37</v>
      </c>
      <c r="L354">
        <f t="shared" si="99"/>
        <v>1</v>
      </c>
      <c r="M354">
        <f t="shared" si="100"/>
        <v>0</v>
      </c>
      <c r="N354">
        <f t="shared" si="101"/>
        <v>0</v>
      </c>
      <c r="O354" t="s">
        <v>97</v>
      </c>
      <c r="P354">
        <f t="shared" si="102"/>
        <v>0</v>
      </c>
      <c r="Q354">
        <f t="shared" si="103"/>
        <v>0</v>
      </c>
      <c r="R354">
        <f t="shared" si="104"/>
        <v>0</v>
      </c>
      <c r="S354">
        <f t="shared" si="105"/>
        <v>0</v>
      </c>
      <c r="T354">
        <f t="shared" si="106"/>
        <v>1</v>
      </c>
      <c r="U354">
        <f t="shared" si="107"/>
        <v>0</v>
      </c>
      <c r="V354">
        <f t="shared" si="108"/>
        <v>0</v>
      </c>
      <c r="W354" t="s">
        <v>39</v>
      </c>
      <c r="X354">
        <f t="shared" si="109"/>
        <v>1</v>
      </c>
      <c r="Y354">
        <f t="shared" si="110"/>
        <v>0</v>
      </c>
      <c r="Z354">
        <v>2</v>
      </c>
      <c r="AA354">
        <f t="shared" si="111"/>
        <v>0.25</v>
      </c>
      <c r="AB354" t="s">
        <v>46</v>
      </c>
      <c r="AC354">
        <f t="shared" si="112"/>
        <v>1</v>
      </c>
      <c r="AD354">
        <f t="shared" si="113"/>
        <v>0</v>
      </c>
      <c r="AE354" t="s">
        <v>50</v>
      </c>
      <c r="AF354">
        <f>IF(AE354="website",1,0)</f>
        <v>0</v>
      </c>
    </row>
    <row r="355" spans="1:32">
      <c r="A355" t="s">
        <v>923</v>
      </c>
      <c r="B355" t="s">
        <v>33</v>
      </c>
      <c r="C355" s="3">
        <f t="shared" si="95"/>
        <v>0</v>
      </c>
      <c r="D355">
        <f t="shared" si="96"/>
        <v>1</v>
      </c>
      <c r="E355" t="s">
        <v>924</v>
      </c>
      <c r="F355" t="s">
        <v>430</v>
      </c>
      <c r="G355" s="1">
        <v>36091</v>
      </c>
      <c r="H355" s="2">
        <f t="shared" ca="1" si="97"/>
        <v>27</v>
      </c>
      <c r="I355" s="2">
        <f t="shared" ca="1" si="98"/>
        <v>2.8571428571428571E-2</v>
      </c>
      <c r="J355" t="s">
        <v>36</v>
      </c>
      <c r="K355" t="s">
        <v>37</v>
      </c>
      <c r="L355">
        <f t="shared" si="99"/>
        <v>1</v>
      </c>
      <c r="M355">
        <f t="shared" si="100"/>
        <v>0</v>
      </c>
      <c r="N355">
        <f t="shared" si="101"/>
        <v>0</v>
      </c>
      <c r="O355" t="s">
        <v>38</v>
      </c>
      <c r="P355">
        <f t="shared" si="102"/>
        <v>1</v>
      </c>
      <c r="Q355">
        <f t="shared" si="103"/>
        <v>0</v>
      </c>
      <c r="R355">
        <f t="shared" si="104"/>
        <v>0</v>
      </c>
      <c r="S355">
        <f t="shared" si="105"/>
        <v>0</v>
      </c>
      <c r="T355">
        <f t="shared" si="106"/>
        <v>0</v>
      </c>
      <c r="U355">
        <f t="shared" si="107"/>
        <v>0</v>
      </c>
      <c r="V355">
        <f t="shared" si="108"/>
        <v>0</v>
      </c>
      <c r="W355" t="s">
        <v>39</v>
      </c>
      <c r="X355">
        <f t="shared" si="109"/>
        <v>1</v>
      </c>
      <c r="Y355">
        <f t="shared" si="110"/>
        <v>0</v>
      </c>
      <c r="Z355">
        <v>4</v>
      </c>
      <c r="AA355">
        <f t="shared" si="111"/>
        <v>0.75</v>
      </c>
      <c r="AB355" t="s">
        <v>46</v>
      </c>
      <c r="AC355">
        <f t="shared" si="112"/>
        <v>0</v>
      </c>
      <c r="AD355">
        <f t="shared" si="113"/>
        <v>0</v>
      </c>
      <c r="AE355" t="s">
        <v>41</v>
      </c>
      <c r="AF355">
        <f>IF(AE355="website",1,0)</f>
        <v>1</v>
      </c>
    </row>
    <row r="356" spans="1:32">
      <c r="A356" t="s">
        <v>925</v>
      </c>
      <c r="B356" t="s">
        <v>33</v>
      </c>
      <c r="C356" s="3">
        <f t="shared" si="95"/>
        <v>0</v>
      </c>
      <c r="D356">
        <f t="shared" si="96"/>
        <v>1</v>
      </c>
      <c r="E356" t="s">
        <v>226</v>
      </c>
      <c r="F356" t="s">
        <v>576</v>
      </c>
      <c r="G356" s="1">
        <v>18917</v>
      </c>
      <c r="H356" s="2">
        <f t="shared" ca="1" si="97"/>
        <v>74</v>
      </c>
      <c r="I356" s="2">
        <f t="shared" ca="1" si="98"/>
        <v>0.7</v>
      </c>
      <c r="J356" t="s">
        <v>45</v>
      </c>
      <c r="K356" t="s">
        <v>158</v>
      </c>
      <c r="L356">
        <f t="shared" si="99"/>
        <v>0</v>
      </c>
      <c r="M356">
        <f t="shared" si="100"/>
        <v>0</v>
      </c>
      <c r="N356">
        <f t="shared" si="101"/>
        <v>0</v>
      </c>
      <c r="O356" t="s">
        <v>867</v>
      </c>
      <c r="P356">
        <f t="shared" si="102"/>
        <v>0</v>
      </c>
      <c r="Q356">
        <f t="shared" si="103"/>
        <v>0</v>
      </c>
      <c r="R356">
        <f t="shared" si="104"/>
        <v>0</v>
      </c>
      <c r="S356">
        <f t="shared" si="105"/>
        <v>0</v>
      </c>
      <c r="T356">
        <f t="shared" si="106"/>
        <v>0</v>
      </c>
      <c r="U356">
        <f t="shared" si="107"/>
        <v>0</v>
      </c>
      <c r="V356">
        <f t="shared" si="108"/>
        <v>0</v>
      </c>
      <c r="W356" t="s">
        <v>58</v>
      </c>
      <c r="X356">
        <f t="shared" si="109"/>
        <v>0</v>
      </c>
      <c r="Y356">
        <f t="shared" si="110"/>
        <v>1</v>
      </c>
      <c r="Z356">
        <v>1</v>
      </c>
      <c r="AA356">
        <f t="shared" si="111"/>
        <v>0</v>
      </c>
      <c r="AB356" t="s">
        <v>46</v>
      </c>
      <c r="AC356">
        <f t="shared" si="112"/>
        <v>0</v>
      </c>
      <c r="AD356">
        <f t="shared" si="113"/>
        <v>0</v>
      </c>
      <c r="AE356" t="s">
        <v>41</v>
      </c>
      <c r="AF356">
        <f>IF(AE356="website",1,0)</f>
        <v>1</v>
      </c>
    </row>
    <row r="357" spans="1:32">
      <c r="A357" t="s">
        <v>926</v>
      </c>
      <c r="B357" t="s">
        <v>33</v>
      </c>
      <c r="C357" s="3">
        <f t="shared" si="95"/>
        <v>0</v>
      </c>
      <c r="D357">
        <f t="shared" si="96"/>
        <v>1</v>
      </c>
      <c r="E357" t="s">
        <v>602</v>
      </c>
      <c r="F357" t="s">
        <v>607</v>
      </c>
      <c r="G357" s="1">
        <v>27917</v>
      </c>
      <c r="H357" s="2">
        <f t="shared" ca="1" si="97"/>
        <v>50</v>
      </c>
      <c r="I357" s="2">
        <f t="shared" ca="1" si="98"/>
        <v>0.35714285714285715</v>
      </c>
      <c r="J357" t="s">
        <v>36</v>
      </c>
      <c r="K357" t="s">
        <v>37</v>
      </c>
      <c r="L357">
        <f t="shared" si="99"/>
        <v>1</v>
      </c>
      <c r="M357">
        <f t="shared" si="100"/>
        <v>0</v>
      </c>
      <c r="N357">
        <f t="shared" si="101"/>
        <v>0</v>
      </c>
      <c r="O357" t="s">
        <v>785</v>
      </c>
      <c r="P357">
        <f t="shared" si="102"/>
        <v>0</v>
      </c>
      <c r="Q357">
        <f t="shared" si="103"/>
        <v>0</v>
      </c>
      <c r="R357">
        <f t="shared" si="104"/>
        <v>0</v>
      </c>
      <c r="S357">
        <f t="shared" si="105"/>
        <v>0</v>
      </c>
      <c r="T357">
        <f t="shared" si="106"/>
        <v>0</v>
      </c>
      <c r="U357">
        <f t="shared" si="107"/>
        <v>0</v>
      </c>
      <c r="V357">
        <f t="shared" si="108"/>
        <v>0</v>
      </c>
      <c r="W357" t="s">
        <v>39</v>
      </c>
      <c r="X357">
        <f t="shared" si="109"/>
        <v>1</v>
      </c>
      <c r="Y357">
        <f t="shared" si="110"/>
        <v>0</v>
      </c>
      <c r="Z357">
        <v>3</v>
      </c>
      <c r="AA357">
        <f t="shared" si="111"/>
        <v>0.5</v>
      </c>
      <c r="AB357" t="s">
        <v>46</v>
      </c>
      <c r="AC357">
        <f t="shared" si="112"/>
        <v>0</v>
      </c>
      <c r="AD357">
        <f t="shared" si="113"/>
        <v>0</v>
      </c>
      <c r="AE357" t="s">
        <v>41</v>
      </c>
      <c r="AF357">
        <f>IF(AE357="website",1,0)</f>
        <v>1</v>
      </c>
    </row>
    <row r="358" spans="1:32">
      <c r="A358" t="s">
        <v>927</v>
      </c>
      <c r="B358" t="s">
        <v>33</v>
      </c>
      <c r="C358" s="3">
        <f t="shared" si="95"/>
        <v>0</v>
      </c>
      <c r="D358">
        <f t="shared" si="96"/>
        <v>1</v>
      </c>
      <c r="E358" t="s">
        <v>784</v>
      </c>
      <c r="F358" t="s">
        <v>928</v>
      </c>
      <c r="G358" s="1">
        <v>32242</v>
      </c>
      <c r="H358" s="2">
        <f t="shared" ca="1" si="97"/>
        <v>38</v>
      </c>
      <c r="I358" s="2">
        <f t="shared" ca="1" si="98"/>
        <v>0.18571428571428572</v>
      </c>
      <c r="J358" t="s">
        <v>36</v>
      </c>
      <c r="K358" t="s">
        <v>37</v>
      </c>
      <c r="L358">
        <f t="shared" si="99"/>
        <v>1</v>
      </c>
      <c r="M358">
        <f t="shared" si="100"/>
        <v>0</v>
      </c>
      <c r="N358">
        <f t="shared" si="101"/>
        <v>0</v>
      </c>
      <c r="O358" t="s">
        <v>38</v>
      </c>
      <c r="P358">
        <f t="shared" si="102"/>
        <v>1</v>
      </c>
      <c r="Q358">
        <f t="shared" si="103"/>
        <v>0</v>
      </c>
      <c r="R358">
        <f t="shared" si="104"/>
        <v>0</v>
      </c>
      <c r="S358">
        <f t="shared" si="105"/>
        <v>0</v>
      </c>
      <c r="T358">
        <f t="shared" si="106"/>
        <v>0</v>
      </c>
      <c r="U358">
        <f t="shared" si="107"/>
        <v>0</v>
      </c>
      <c r="V358">
        <f t="shared" si="108"/>
        <v>0</v>
      </c>
      <c r="W358" t="s">
        <v>39</v>
      </c>
      <c r="X358">
        <f t="shared" si="109"/>
        <v>1</v>
      </c>
      <c r="Y358">
        <f t="shared" si="110"/>
        <v>0</v>
      </c>
      <c r="Z358">
        <v>3</v>
      </c>
      <c r="AA358">
        <f t="shared" si="111"/>
        <v>0.5</v>
      </c>
      <c r="AB358" t="s">
        <v>46</v>
      </c>
      <c r="AC358">
        <f t="shared" si="112"/>
        <v>0</v>
      </c>
      <c r="AD358">
        <f t="shared" si="113"/>
        <v>0</v>
      </c>
      <c r="AE358" t="s">
        <v>41</v>
      </c>
      <c r="AF358">
        <f>IF(AE358="website",1,0)</f>
        <v>1</v>
      </c>
    </row>
    <row r="359" spans="1:32">
      <c r="A359" t="s">
        <v>929</v>
      </c>
      <c r="B359" t="s">
        <v>33</v>
      </c>
      <c r="C359" s="3">
        <f t="shared" si="95"/>
        <v>0</v>
      </c>
      <c r="D359">
        <f t="shared" si="96"/>
        <v>1</v>
      </c>
      <c r="E359" t="s">
        <v>807</v>
      </c>
      <c r="F359" t="s">
        <v>928</v>
      </c>
      <c r="G359" s="1">
        <v>28759</v>
      </c>
      <c r="H359" s="2">
        <f t="shared" ca="1" si="97"/>
        <v>48</v>
      </c>
      <c r="I359" s="2">
        <f t="shared" ca="1" si="98"/>
        <v>0.32857142857142857</v>
      </c>
      <c r="J359" t="s">
        <v>36</v>
      </c>
      <c r="K359" t="s">
        <v>819</v>
      </c>
      <c r="L359">
        <f t="shared" si="99"/>
        <v>0</v>
      </c>
      <c r="M359">
        <f t="shared" si="100"/>
        <v>0</v>
      </c>
      <c r="N359">
        <f t="shared" si="101"/>
        <v>0</v>
      </c>
      <c r="O359" t="s">
        <v>820</v>
      </c>
      <c r="P359">
        <f t="shared" si="102"/>
        <v>0</v>
      </c>
      <c r="Q359">
        <f t="shared" si="103"/>
        <v>0</v>
      </c>
      <c r="R359">
        <f t="shared" si="104"/>
        <v>0</v>
      </c>
      <c r="S359">
        <f t="shared" si="105"/>
        <v>0</v>
      </c>
      <c r="T359">
        <f t="shared" si="106"/>
        <v>0</v>
      </c>
      <c r="U359">
        <f t="shared" si="107"/>
        <v>0</v>
      </c>
      <c r="V359">
        <f t="shared" si="108"/>
        <v>0</v>
      </c>
      <c r="W359" t="s">
        <v>39</v>
      </c>
      <c r="X359">
        <f t="shared" si="109"/>
        <v>1</v>
      </c>
      <c r="Y359">
        <f t="shared" si="110"/>
        <v>0</v>
      </c>
      <c r="Z359">
        <v>3</v>
      </c>
      <c r="AA359">
        <f t="shared" si="111"/>
        <v>0.5</v>
      </c>
      <c r="AB359" t="s">
        <v>40</v>
      </c>
      <c r="AC359">
        <f t="shared" si="112"/>
        <v>1</v>
      </c>
      <c r="AD359">
        <f t="shared" si="113"/>
        <v>0</v>
      </c>
      <c r="AE359" t="s">
        <v>50</v>
      </c>
      <c r="AF359">
        <f>IF(AE359="website",1,0)</f>
        <v>0</v>
      </c>
    </row>
    <row r="360" spans="1:32">
      <c r="A360" t="s">
        <v>930</v>
      </c>
      <c r="B360" t="s">
        <v>33</v>
      </c>
      <c r="C360" s="3">
        <f t="shared" si="95"/>
        <v>0</v>
      </c>
      <c r="D360">
        <f t="shared" si="96"/>
        <v>1</v>
      </c>
      <c r="E360" t="s">
        <v>564</v>
      </c>
      <c r="F360" t="s">
        <v>861</v>
      </c>
      <c r="G360" s="1">
        <v>18697</v>
      </c>
      <c r="H360" s="2">
        <f t="shared" ca="1" si="97"/>
        <v>75</v>
      </c>
      <c r="I360" s="2">
        <f t="shared" ca="1" si="98"/>
        <v>0.7142857142857143</v>
      </c>
      <c r="J360" t="s">
        <v>36</v>
      </c>
      <c r="K360" t="s">
        <v>37</v>
      </c>
      <c r="L360">
        <f t="shared" si="99"/>
        <v>1</v>
      </c>
      <c r="M360">
        <f t="shared" si="100"/>
        <v>0</v>
      </c>
      <c r="N360">
        <f t="shared" si="101"/>
        <v>0</v>
      </c>
      <c r="O360" t="s">
        <v>38</v>
      </c>
      <c r="P360">
        <f t="shared" si="102"/>
        <v>1</v>
      </c>
      <c r="Q360">
        <f t="shared" si="103"/>
        <v>0</v>
      </c>
      <c r="R360">
        <f t="shared" si="104"/>
        <v>0</v>
      </c>
      <c r="S360">
        <f t="shared" si="105"/>
        <v>0</v>
      </c>
      <c r="T360">
        <f t="shared" si="106"/>
        <v>0</v>
      </c>
      <c r="U360">
        <f t="shared" si="107"/>
        <v>0</v>
      </c>
      <c r="V360">
        <f t="shared" si="108"/>
        <v>0</v>
      </c>
      <c r="W360" t="s">
        <v>58</v>
      </c>
      <c r="X360">
        <f t="shared" si="109"/>
        <v>0</v>
      </c>
      <c r="Y360">
        <f t="shared" si="110"/>
        <v>1</v>
      </c>
      <c r="Z360">
        <v>1</v>
      </c>
      <c r="AA360">
        <f t="shared" si="111"/>
        <v>0</v>
      </c>
      <c r="AB360" t="s">
        <v>46</v>
      </c>
      <c r="AC360">
        <f t="shared" si="112"/>
        <v>1</v>
      </c>
      <c r="AD360">
        <f t="shared" si="113"/>
        <v>0</v>
      </c>
      <c r="AE360" t="s">
        <v>50</v>
      </c>
      <c r="AF360">
        <f>IF(AE360="website",1,0)</f>
        <v>0</v>
      </c>
    </row>
    <row r="361" spans="1:32">
      <c r="A361" t="s">
        <v>931</v>
      </c>
      <c r="B361" t="s">
        <v>33</v>
      </c>
      <c r="C361" s="3">
        <f t="shared" si="95"/>
        <v>0</v>
      </c>
      <c r="D361">
        <f t="shared" si="96"/>
        <v>1</v>
      </c>
      <c r="E361" t="s">
        <v>584</v>
      </c>
      <c r="F361" t="s">
        <v>728</v>
      </c>
      <c r="G361" s="1">
        <v>17785</v>
      </c>
      <c r="H361" s="2">
        <f t="shared" ca="1" si="97"/>
        <v>78</v>
      </c>
      <c r="I361" s="2">
        <f t="shared" ca="1" si="98"/>
        <v>0.75714285714285712</v>
      </c>
      <c r="J361" t="s">
        <v>36</v>
      </c>
      <c r="K361" t="s">
        <v>37</v>
      </c>
      <c r="L361">
        <f t="shared" si="99"/>
        <v>1</v>
      </c>
      <c r="M361">
        <f t="shared" si="100"/>
        <v>0</v>
      </c>
      <c r="N361">
        <f t="shared" si="101"/>
        <v>0</v>
      </c>
      <c r="O361" t="s">
        <v>183</v>
      </c>
      <c r="P361">
        <f t="shared" si="102"/>
        <v>0</v>
      </c>
      <c r="Q361">
        <f t="shared" si="103"/>
        <v>0</v>
      </c>
      <c r="R361">
        <f t="shared" si="104"/>
        <v>0</v>
      </c>
      <c r="S361">
        <f t="shared" si="105"/>
        <v>0</v>
      </c>
      <c r="T361">
        <f t="shared" si="106"/>
        <v>0</v>
      </c>
      <c r="U361">
        <f t="shared" si="107"/>
        <v>0</v>
      </c>
      <c r="V361">
        <f t="shared" si="108"/>
        <v>0</v>
      </c>
      <c r="W361" t="s">
        <v>39</v>
      </c>
      <c r="X361">
        <f t="shared" si="109"/>
        <v>1</v>
      </c>
      <c r="Y361">
        <f t="shared" si="110"/>
        <v>0</v>
      </c>
      <c r="Z361">
        <v>2</v>
      </c>
      <c r="AA361">
        <f t="shared" si="111"/>
        <v>0.25</v>
      </c>
      <c r="AB361" t="s">
        <v>40</v>
      </c>
      <c r="AC361">
        <f t="shared" si="112"/>
        <v>1</v>
      </c>
      <c r="AD361">
        <f t="shared" si="113"/>
        <v>0</v>
      </c>
      <c r="AE361" t="s">
        <v>50</v>
      </c>
      <c r="AF361">
        <f>IF(AE361="website",1,0)</f>
        <v>0</v>
      </c>
    </row>
    <row r="362" spans="1:32">
      <c r="A362" t="s">
        <v>932</v>
      </c>
      <c r="B362" t="s">
        <v>33</v>
      </c>
      <c r="C362" s="3">
        <f t="shared" si="95"/>
        <v>0</v>
      </c>
      <c r="D362">
        <f t="shared" si="96"/>
        <v>1</v>
      </c>
      <c r="E362" t="s">
        <v>596</v>
      </c>
      <c r="F362" t="s">
        <v>364</v>
      </c>
      <c r="G362" s="1">
        <v>21436</v>
      </c>
      <c r="H362" s="2">
        <f t="shared" ca="1" si="97"/>
        <v>68</v>
      </c>
      <c r="I362" s="2">
        <f t="shared" ca="1" si="98"/>
        <v>0.61428571428571432</v>
      </c>
      <c r="J362" t="s">
        <v>45</v>
      </c>
      <c r="K362" t="s">
        <v>248</v>
      </c>
      <c r="L362">
        <f t="shared" si="99"/>
        <v>0</v>
      </c>
      <c r="M362">
        <f t="shared" si="100"/>
        <v>0</v>
      </c>
      <c r="N362">
        <f t="shared" si="101"/>
        <v>0</v>
      </c>
      <c r="O362" t="s">
        <v>582</v>
      </c>
      <c r="P362">
        <f t="shared" si="102"/>
        <v>0</v>
      </c>
      <c r="Q362">
        <f t="shared" si="103"/>
        <v>0</v>
      </c>
      <c r="R362">
        <f t="shared" si="104"/>
        <v>0</v>
      </c>
      <c r="S362">
        <f t="shared" si="105"/>
        <v>0</v>
      </c>
      <c r="T362">
        <f t="shared" si="106"/>
        <v>0</v>
      </c>
      <c r="U362">
        <f t="shared" si="107"/>
        <v>0</v>
      </c>
      <c r="V362">
        <f t="shared" si="108"/>
        <v>0</v>
      </c>
      <c r="W362" t="s">
        <v>39</v>
      </c>
      <c r="X362">
        <f t="shared" si="109"/>
        <v>1</v>
      </c>
      <c r="Y362">
        <f t="shared" si="110"/>
        <v>0</v>
      </c>
      <c r="Z362">
        <v>1</v>
      </c>
      <c r="AA362">
        <f t="shared" si="111"/>
        <v>0</v>
      </c>
      <c r="AB362" t="s">
        <v>40</v>
      </c>
      <c r="AC362">
        <f t="shared" si="112"/>
        <v>0</v>
      </c>
      <c r="AD362">
        <f t="shared" si="113"/>
        <v>0</v>
      </c>
      <c r="AE362" t="s">
        <v>41</v>
      </c>
      <c r="AF362">
        <f>IF(AE362="website",1,0)</f>
        <v>1</v>
      </c>
    </row>
    <row r="363" spans="1:32">
      <c r="A363" t="s">
        <v>933</v>
      </c>
      <c r="B363" t="s">
        <v>33</v>
      </c>
      <c r="C363" s="3">
        <f t="shared" si="95"/>
        <v>0</v>
      </c>
      <c r="D363">
        <f t="shared" si="96"/>
        <v>1</v>
      </c>
      <c r="E363" t="s">
        <v>755</v>
      </c>
      <c r="F363" t="s">
        <v>620</v>
      </c>
      <c r="G363" s="1">
        <v>36775</v>
      </c>
      <c r="H363" s="2">
        <f t="shared" ca="1" si="97"/>
        <v>26</v>
      </c>
      <c r="I363" s="2">
        <f t="shared" ca="1" si="98"/>
        <v>1.4285714285714285E-2</v>
      </c>
      <c r="J363" t="s">
        <v>36</v>
      </c>
      <c r="K363" t="s">
        <v>37</v>
      </c>
      <c r="L363">
        <f t="shared" si="99"/>
        <v>1</v>
      </c>
      <c r="M363">
        <f t="shared" si="100"/>
        <v>0</v>
      </c>
      <c r="N363">
        <f t="shared" si="101"/>
        <v>0</v>
      </c>
      <c r="O363" t="s">
        <v>183</v>
      </c>
      <c r="P363">
        <f t="shared" si="102"/>
        <v>0</v>
      </c>
      <c r="Q363">
        <f t="shared" si="103"/>
        <v>0</v>
      </c>
      <c r="R363">
        <f t="shared" si="104"/>
        <v>0</v>
      </c>
      <c r="S363">
        <f t="shared" si="105"/>
        <v>0</v>
      </c>
      <c r="T363">
        <f t="shared" si="106"/>
        <v>0</v>
      </c>
      <c r="U363">
        <f t="shared" si="107"/>
        <v>0</v>
      </c>
      <c r="V363">
        <f t="shared" si="108"/>
        <v>0</v>
      </c>
      <c r="W363" t="s">
        <v>39</v>
      </c>
      <c r="X363">
        <f t="shared" si="109"/>
        <v>1</v>
      </c>
      <c r="Y363">
        <f t="shared" si="110"/>
        <v>0</v>
      </c>
      <c r="Z363">
        <v>4</v>
      </c>
      <c r="AA363">
        <f t="shared" si="111"/>
        <v>0.75</v>
      </c>
      <c r="AB363" t="s">
        <v>46</v>
      </c>
      <c r="AC363">
        <f t="shared" si="112"/>
        <v>0</v>
      </c>
      <c r="AD363">
        <f t="shared" si="113"/>
        <v>0</v>
      </c>
      <c r="AE363" t="s">
        <v>41</v>
      </c>
      <c r="AF363">
        <f>IF(AE363="website",1,0)</f>
        <v>1</v>
      </c>
    </row>
    <row r="364" spans="1:32">
      <c r="A364" t="s">
        <v>934</v>
      </c>
      <c r="B364" t="s">
        <v>33</v>
      </c>
      <c r="C364" s="3">
        <f t="shared" si="95"/>
        <v>0</v>
      </c>
      <c r="D364">
        <f t="shared" si="96"/>
        <v>1</v>
      </c>
      <c r="E364" t="s">
        <v>644</v>
      </c>
      <c r="F364" t="s">
        <v>308</v>
      </c>
      <c r="G364" s="1">
        <v>21575</v>
      </c>
      <c r="H364" s="2">
        <f t="shared" ca="1" si="97"/>
        <v>67</v>
      </c>
      <c r="I364" s="2">
        <f t="shared" ca="1" si="98"/>
        <v>0.6</v>
      </c>
      <c r="J364" t="s">
        <v>36</v>
      </c>
      <c r="K364" t="s">
        <v>37</v>
      </c>
      <c r="L364">
        <f t="shared" si="99"/>
        <v>1</v>
      </c>
      <c r="M364">
        <f t="shared" si="100"/>
        <v>0</v>
      </c>
      <c r="N364">
        <f t="shared" si="101"/>
        <v>0</v>
      </c>
      <c r="O364" t="s">
        <v>183</v>
      </c>
      <c r="P364">
        <f t="shared" si="102"/>
        <v>0</v>
      </c>
      <c r="Q364">
        <f t="shared" si="103"/>
        <v>0</v>
      </c>
      <c r="R364">
        <f t="shared" si="104"/>
        <v>0</v>
      </c>
      <c r="S364">
        <f t="shared" si="105"/>
        <v>0</v>
      </c>
      <c r="T364">
        <f t="shared" si="106"/>
        <v>0</v>
      </c>
      <c r="U364">
        <f t="shared" si="107"/>
        <v>0</v>
      </c>
      <c r="V364">
        <f t="shared" si="108"/>
        <v>0</v>
      </c>
      <c r="W364" t="s">
        <v>58</v>
      </c>
      <c r="X364">
        <f t="shared" si="109"/>
        <v>0</v>
      </c>
      <c r="Y364">
        <f t="shared" si="110"/>
        <v>1</v>
      </c>
      <c r="Z364">
        <v>2</v>
      </c>
      <c r="AA364">
        <f t="shared" si="111"/>
        <v>0.25</v>
      </c>
      <c r="AB364" t="s">
        <v>46</v>
      </c>
      <c r="AC364">
        <f t="shared" si="112"/>
        <v>0</v>
      </c>
      <c r="AD364">
        <f t="shared" si="113"/>
        <v>1</v>
      </c>
      <c r="AE364" t="s">
        <v>90</v>
      </c>
      <c r="AF364">
        <f>IF(AE364="website",1,0)</f>
        <v>0</v>
      </c>
    </row>
    <row r="365" spans="1:32">
      <c r="A365" t="s">
        <v>935</v>
      </c>
      <c r="B365" t="s">
        <v>33</v>
      </c>
      <c r="C365" s="3">
        <f t="shared" si="95"/>
        <v>0</v>
      </c>
      <c r="D365">
        <f t="shared" si="96"/>
        <v>1</v>
      </c>
      <c r="E365" t="s">
        <v>936</v>
      </c>
      <c r="F365" t="s">
        <v>656</v>
      </c>
      <c r="G365" s="1">
        <v>16133</v>
      </c>
      <c r="H365" s="2">
        <f t="shared" ca="1" si="97"/>
        <v>82</v>
      </c>
      <c r="I365" s="2">
        <f t="shared" ca="1" si="98"/>
        <v>0.81428571428571428</v>
      </c>
      <c r="J365" t="s">
        <v>45</v>
      </c>
      <c r="K365" t="s">
        <v>37</v>
      </c>
      <c r="L365">
        <f t="shared" si="99"/>
        <v>1</v>
      </c>
      <c r="M365">
        <f t="shared" si="100"/>
        <v>0</v>
      </c>
      <c r="N365">
        <f t="shared" si="101"/>
        <v>0</v>
      </c>
      <c r="O365" t="s">
        <v>592</v>
      </c>
      <c r="P365">
        <f t="shared" si="102"/>
        <v>0</v>
      </c>
      <c r="Q365">
        <f t="shared" si="103"/>
        <v>0</v>
      </c>
      <c r="R365">
        <f t="shared" si="104"/>
        <v>0</v>
      </c>
      <c r="S365">
        <f t="shared" si="105"/>
        <v>0</v>
      </c>
      <c r="T365">
        <f t="shared" si="106"/>
        <v>0</v>
      </c>
      <c r="U365">
        <f t="shared" si="107"/>
        <v>0</v>
      </c>
      <c r="V365">
        <f t="shared" si="108"/>
        <v>0</v>
      </c>
      <c r="W365" t="s">
        <v>39</v>
      </c>
      <c r="X365">
        <f t="shared" si="109"/>
        <v>1</v>
      </c>
      <c r="Y365">
        <f t="shared" si="110"/>
        <v>0</v>
      </c>
      <c r="Z365">
        <v>2</v>
      </c>
      <c r="AA365">
        <f t="shared" si="111"/>
        <v>0.25</v>
      </c>
      <c r="AB365" t="s">
        <v>46</v>
      </c>
      <c r="AC365">
        <f t="shared" si="112"/>
        <v>0</v>
      </c>
      <c r="AD365">
        <f t="shared" si="113"/>
        <v>0</v>
      </c>
      <c r="AE365" t="s">
        <v>41</v>
      </c>
      <c r="AF365">
        <f>IF(AE365="website",1,0)</f>
        <v>1</v>
      </c>
    </row>
    <row r="366" spans="1:32">
      <c r="A366" t="s">
        <v>937</v>
      </c>
      <c r="B366" t="s">
        <v>33</v>
      </c>
      <c r="C366" s="3">
        <f t="shared" si="95"/>
        <v>0</v>
      </c>
      <c r="D366">
        <f t="shared" si="96"/>
        <v>1</v>
      </c>
      <c r="E366" t="s">
        <v>575</v>
      </c>
      <c r="F366" t="s">
        <v>730</v>
      </c>
      <c r="G366" s="1">
        <v>22688</v>
      </c>
      <c r="H366" s="2">
        <f t="shared" ca="1" si="97"/>
        <v>64</v>
      </c>
      <c r="I366" s="2">
        <f t="shared" ca="1" si="98"/>
        <v>0.55714285714285716</v>
      </c>
      <c r="J366" t="s">
        <v>45</v>
      </c>
      <c r="K366" t="s">
        <v>37</v>
      </c>
      <c r="L366">
        <f t="shared" si="99"/>
        <v>1</v>
      </c>
      <c r="M366">
        <f t="shared" si="100"/>
        <v>0</v>
      </c>
      <c r="N366">
        <f t="shared" si="101"/>
        <v>0</v>
      </c>
      <c r="O366" t="s">
        <v>137</v>
      </c>
      <c r="P366">
        <f t="shared" si="102"/>
        <v>0</v>
      </c>
      <c r="Q366">
        <f t="shared" si="103"/>
        <v>0</v>
      </c>
      <c r="R366">
        <f t="shared" si="104"/>
        <v>0</v>
      </c>
      <c r="S366">
        <f t="shared" si="105"/>
        <v>0</v>
      </c>
      <c r="T366">
        <f t="shared" si="106"/>
        <v>0</v>
      </c>
      <c r="U366">
        <f t="shared" si="107"/>
        <v>0</v>
      </c>
      <c r="V366">
        <f t="shared" si="108"/>
        <v>0</v>
      </c>
      <c r="W366" t="s">
        <v>58</v>
      </c>
      <c r="X366">
        <f t="shared" si="109"/>
        <v>0</v>
      </c>
      <c r="Y366">
        <f t="shared" si="110"/>
        <v>1</v>
      </c>
      <c r="Z366">
        <v>5</v>
      </c>
      <c r="AA366">
        <f t="shared" si="111"/>
        <v>1</v>
      </c>
      <c r="AB366" t="s">
        <v>46</v>
      </c>
      <c r="AC366">
        <f t="shared" si="112"/>
        <v>1</v>
      </c>
      <c r="AD366">
        <f t="shared" si="113"/>
        <v>0</v>
      </c>
      <c r="AE366" t="s">
        <v>50</v>
      </c>
      <c r="AF366">
        <f>IF(AE366="website",1,0)</f>
        <v>0</v>
      </c>
    </row>
    <row r="367" spans="1:32">
      <c r="A367" t="s">
        <v>938</v>
      </c>
      <c r="B367" t="s">
        <v>33</v>
      </c>
      <c r="C367" s="3">
        <f t="shared" si="95"/>
        <v>0</v>
      </c>
      <c r="D367">
        <f t="shared" si="96"/>
        <v>1</v>
      </c>
      <c r="E367" t="s">
        <v>903</v>
      </c>
      <c r="F367" t="s">
        <v>738</v>
      </c>
      <c r="G367" s="1">
        <v>30432</v>
      </c>
      <c r="H367" s="2">
        <f t="shared" ca="1" si="97"/>
        <v>43</v>
      </c>
      <c r="I367" s="2">
        <f t="shared" ca="1" si="98"/>
        <v>0.25714285714285712</v>
      </c>
      <c r="J367" t="s">
        <v>45</v>
      </c>
      <c r="K367" t="s">
        <v>37</v>
      </c>
      <c r="L367">
        <f t="shared" si="99"/>
        <v>1</v>
      </c>
      <c r="M367">
        <f t="shared" si="100"/>
        <v>0</v>
      </c>
      <c r="N367">
        <f t="shared" si="101"/>
        <v>0</v>
      </c>
      <c r="O367" t="s">
        <v>38</v>
      </c>
      <c r="P367">
        <f t="shared" si="102"/>
        <v>1</v>
      </c>
      <c r="Q367">
        <f t="shared" si="103"/>
        <v>0</v>
      </c>
      <c r="R367">
        <f t="shared" si="104"/>
        <v>0</v>
      </c>
      <c r="S367">
        <f t="shared" si="105"/>
        <v>0</v>
      </c>
      <c r="T367">
        <f t="shared" si="106"/>
        <v>0</v>
      </c>
      <c r="U367">
        <f t="shared" si="107"/>
        <v>0</v>
      </c>
      <c r="V367">
        <f t="shared" si="108"/>
        <v>0</v>
      </c>
      <c r="W367" t="s">
        <v>39</v>
      </c>
      <c r="X367">
        <f t="shared" si="109"/>
        <v>1</v>
      </c>
      <c r="Y367">
        <f t="shared" si="110"/>
        <v>0</v>
      </c>
      <c r="Z367">
        <v>4</v>
      </c>
      <c r="AA367">
        <f t="shared" si="111"/>
        <v>0.75</v>
      </c>
      <c r="AB367" t="s">
        <v>46</v>
      </c>
      <c r="AC367">
        <f t="shared" si="112"/>
        <v>0</v>
      </c>
      <c r="AD367">
        <f t="shared" si="113"/>
        <v>0</v>
      </c>
      <c r="AE367" t="s">
        <v>41</v>
      </c>
      <c r="AF367">
        <f>IF(AE367="website",1,0)</f>
        <v>1</v>
      </c>
    </row>
    <row r="368" spans="1:32">
      <c r="A368" t="s">
        <v>939</v>
      </c>
      <c r="B368" t="s">
        <v>33</v>
      </c>
      <c r="C368" s="3">
        <f t="shared" si="95"/>
        <v>0</v>
      </c>
      <c r="D368">
        <f t="shared" si="96"/>
        <v>1</v>
      </c>
      <c r="E368" t="s">
        <v>852</v>
      </c>
      <c r="F368" t="s">
        <v>745</v>
      </c>
      <c r="G368" s="1">
        <v>23706</v>
      </c>
      <c r="H368" s="2">
        <f t="shared" ca="1" si="97"/>
        <v>61</v>
      </c>
      <c r="I368" s="2">
        <f t="shared" ca="1" si="98"/>
        <v>0.51428571428571423</v>
      </c>
      <c r="J368" t="s">
        <v>45</v>
      </c>
      <c r="K368" t="s">
        <v>37</v>
      </c>
      <c r="L368">
        <f t="shared" si="99"/>
        <v>1</v>
      </c>
      <c r="M368">
        <f t="shared" si="100"/>
        <v>0</v>
      </c>
      <c r="N368">
        <f t="shared" si="101"/>
        <v>0</v>
      </c>
      <c r="O368" t="s">
        <v>38</v>
      </c>
      <c r="P368">
        <f t="shared" si="102"/>
        <v>1</v>
      </c>
      <c r="Q368">
        <f t="shared" si="103"/>
        <v>0</v>
      </c>
      <c r="R368">
        <f t="shared" si="104"/>
        <v>0</v>
      </c>
      <c r="S368">
        <f t="shared" si="105"/>
        <v>0</v>
      </c>
      <c r="T368">
        <f t="shared" si="106"/>
        <v>0</v>
      </c>
      <c r="U368">
        <f t="shared" si="107"/>
        <v>0</v>
      </c>
      <c r="V368">
        <f t="shared" si="108"/>
        <v>0</v>
      </c>
      <c r="W368" t="s">
        <v>58</v>
      </c>
      <c r="X368">
        <f t="shared" si="109"/>
        <v>0</v>
      </c>
      <c r="Y368">
        <f t="shared" si="110"/>
        <v>1</v>
      </c>
      <c r="Z368">
        <v>4</v>
      </c>
      <c r="AA368">
        <f t="shared" si="111"/>
        <v>0.75</v>
      </c>
      <c r="AB368" t="s">
        <v>46</v>
      </c>
      <c r="AC368">
        <f t="shared" si="112"/>
        <v>1</v>
      </c>
      <c r="AD368">
        <f t="shared" si="113"/>
        <v>0</v>
      </c>
      <c r="AE368" t="s">
        <v>50</v>
      </c>
      <c r="AF368">
        <f>IF(AE368="website",1,0)</f>
        <v>0</v>
      </c>
    </row>
    <row r="369" spans="1:32">
      <c r="A369" t="s">
        <v>940</v>
      </c>
      <c r="B369" t="s">
        <v>33</v>
      </c>
      <c r="C369" s="3">
        <f t="shared" si="95"/>
        <v>0</v>
      </c>
      <c r="D369">
        <f t="shared" si="96"/>
        <v>1</v>
      </c>
      <c r="E369" t="s">
        <v>755</v>
      </c>
      <c r="F369" t="s">
        <v>941</v>
      </c>
      <c r="G369" s="1">
        <v>33827</v>
      </c>
      <c r="H369" s="2">
        <f t="shared" ca="1" si="97"/>
        <v>34</v>
      </c>
      <c r="I369" s="2">
        <f t="shared" ca="1" si="98"/>
        <v>0.12857142857142856</v>
      </c>
      <c r="J369" t="s">
        <v>36</v>
      </c>
      <c r="K369" t="s">
        <v>37</v>
      </c>
      <c r="L369">
        <f t="shared" si="99"/>
        <v>1</v>
      </c>
      <c r="M369">
        <f t="shared" si="100"/>
        <v>0</v>
      </c>
      <c r="N369">
        <f t="shared" si="101"/>
        <v>0</v>
      </c>
      <c r="O369" t="s">
        <v>38</v>
      </c>
      <c r="P369">
        <f t="shared" si="102"/>
        <v>1</v>
      </c>
      <c r="Q369">
        <f t="shared" si="103"/>
        <v>0</v>
      </c>
      <c r="R369">
        <f t="shared" si="104"/>
        <v>0</v>
      </c>
      <c r="S369">
        <f t="shared" si="105"/>
        <v>0</v>
      </c>
      <c r="T369">
        <f t="shared" si="106"/>
        <v>0</v>
      </c>
      <c r="U369">
        <f t="shared" si="107"/>
        <v>0</v>
      </c>
      <c r="V369">
        <f t="shared" si="108"/>
        <v>0</v>
      </c>
      <c r="W369" t="s">
        <v>39</v>
      </c>
      <c r="X369">
        <f t="shared" si="109"/>
        <v>1</v>
      </c>
      <c r="Y369">
        <f t="shared" si="110"/>
        <v>0</v>
      </c>
      <c r="Z369">
        <v>4</v>
      </c>
      <c r="AA369">
        <f t="shared" si="111"/>
        <v>0.75</v>
      </c>
      <c r="AB369" t="s">
        <v>40</v>
      </c>
      <c r="AC369">
        <f t="shared" si="112"/>
        <v>1</v>
      </c>
      <c r="AD369">
        <f t="shared" si="113"/>
        <v>0</v>
      </c>
      <c r="AE369" t="s">
        <v>50</v>
      </c>
      <c r="AF369">
        <f>IF(AE369="website",1,0)</f>
        <v>0</v>
      </c>
    </row>
    <row r="370" spans="1:32">
      <c r="A370" t="s">
        <v>942</v>
      </c>
      <c r="B370" t="s">
        <v>33</v>
      </c>
      <c r="C370" s="3">
        <f t="shared" si="95"/>
        <v>0</v>
      </c>
      <c r="D370">
        <f t="shared" si="96"/>
        <v>1</v>
      </c>
      <c r="E370" t="s">
        <v>259</v>
      </c>
      <c r="F370" t="s">
        <v>764</v>
      </c>
      <c r="G370" s="1">
        <v>19998</v>
      </c>
      <c r="H370" s="2">
        <f t="shared" ca="1" si="97"/>
        <v>72</v>
      </c>
      <c r="I370" s="2">
        <f t="shared" ca="1" si="98"/>
        <v>0.67142857142857137</v>
      </c>
      <c r="J370" t="s">
        <v>36</v>
      </c>
      <c r="K370" t="s">
        <v>37</v>
      </c>
      <c r="L370">
        <f t="shared" si="99"/>
        <v>1</v>
      </c>
      <c r="M370">
        <f t="shared" si="100"/>
        <v>0</v>
      </c>
      <c r="N370">
        <f t="shared" si="101"/>
        <v>0</v>
      </c>
      <c r="O370" t="s">
        <v>183</v>
      </c>
      <c r="P370">
        <f t="shared" si="102"/>
        <v>0</v>
      </c>
      <c r="Q370">
        <f t="shared" si="103"/>
        <v>0</v>
      </c>
      <c r="R370">
        <f t="shared" si="104"/>
        <v>0</v>
      </c>
      <c r="S370">
        <f t="shared" si="105"/>
        <v>0</v>
      </c>
      <c r="T370">
        <f t="shared" si="106"/>
        <v>0</v>
      </c>
      <c r="U370">
        <f t="shared" si="107"/>
        <v>0</v>
      </c>
      <c r="V370">
        <f t="shared" si="108"/>
        <v>0</v>
      </c>
      <c r="W370" t="s">
        <v>39</v>
      </c>
      <c r="X370">
        <f t="shared" si="109"/>
        <v>1</v>
      </c>
      <c r="Y370">
        <f t="shared" si="110"/>
        <v>0</v>
      </c>
      <c r="Z370">
        <v>2</v>
      </c>
      <c r="AA370">
        <f t="shared" si="111"/>
        <v>0.25</v>
      </c>
      <c r="AB370" t="s">
        <v>40</v>
      </c>
      <c r="AC370">
        <f t="shared" si="112"/>
        <v>1</v>
      </c>
      <c r="AD370">
        <f t="shared" si="113"/>
        <v>0</v>
      </c>
      <c r="AE370" t="s">
        <v>50</v>
      </c>
      <c r="AF370">
        <f>IF(AE370="website",1,0)</f>
        <v>0</v>
      </c>
    </row>
    <row r="371" spans="1:32">
      <c r="A371" t="s">
        <v>943</v>
      </c>
      <c r="B371" t="s">
        <v>33</v>
      </c>
      <c r="C371" s="3">
        <f t="shared" si="95"/>
        <v>0</v>
      </c>
      <c r="D371">
        <f t="shared" si="96"/>
        <v>1</v>
      </c>
      <c r="E371" t="s">
        <v>482</v>
      </c>
      <c r="F371" t="s">
        <v>645</v>
      </c>
      <c r="G371" s="1">
        <v>21086</v>
      </c>
      <c r="H371" s="2">
        <f t="shared" ca="1" si="97"/>
        <v>69</v>
      </c>
      <c r="I371" s="2">
        <f t="shared" ca="1" si="98"/>
        <v>0.62857142857142856</v>
      </c>
      <c r="J371" t="s">
        <v>36</v>
      </c>
      <c r="K371" t="s">
        <v>172</v>
      </c>
      <c r="L371">
        <f t="shared" si="99"/>
        <v>0</v>
      </c>
      <c r="M371">
        <f t="shared" si="100"/>
        <v>0</v>
      </c>
      <c r="N371">
        <f t="shared" si="101"/>
        <v>0</v>
      </c>
      <c r="O371" t="s">
        <v>173</v>
      </c>
      <c r="P371">
        <f t="shared" si="102"/>
        <v>0</v>
      </c>
      <c r="Q371">
        <f t="shared" si="103"/>
        <v>0</v>
      </c>
      <c r="R371">
        <f t="shared" si="104"/>
        <v>0</v>
      </c>
      <c r="S371">
        <f t="shared" si="105"/>
        <v>0</v>
      </c>
      <c r="T371">
        <f t="shared" si="106"/>
        <v>0</v>
      </c>
      <c r="U371">
        <f t="shared" si="107"/>
        <v>0</v>
      </c>
      <c r="V371">
        <f t="shared" si="108"/>
        <v>0</v>
      </c>
      <c r="W371" t="s">
        <v>39</v>
      </c>
      <c r="X371">
        <f t="shared" si="109"/>
        <v>1</v>
      </c>
      <c r="Y371">
        <f t="shared" si="110"/>
        <v>0</v>
      </c>
      <c r="Z371">
        <v>1</v>
      </c>
      <c r="AA371">
        <f t="shared" si="111"/>
        <v>0</v>
      </c>
      <c r="AB371" t="s">
        <v>46</v>
      </c>
      <c r="AC371">
        <f t="shared" si="112"/>
        <v>0</v>
      </c>
      <c r="AD371">
        <f t="shared" si="113"/>
        <v>0</v>
      </c>
      <c r="AE371" t="s">
        <v>41</v>
      </c>
      <c r="AF371">
        <f>IF(AE371="website",1,0)</f>
        <v>1</v>
      </c>
    </row>
    <row r="372" spans="1:32">
      <c r="A372" t="s">
        <v>944</v>
      </c>
      <c r="B372" t="s">
        <v>33</v>
      </c>
      <c r="C372" s="3">
        <f t="shared" si="95"/>
        <v>0</v>
      </c>
      <c r="D372">
        <f t="shared" si="96"/>
        <v>1</v>
      </c>
      <c r="E372" t="s">
        <v>635</v>
      </c>
      <c r="F372" t="s">
        <v>620</v>
      </c>
      <c r="G372" s="1">
        <v>25642</v>
      </c>
      <c r="H372" s="2">
        <f t="shared" ca="1" si="97"/>
        <v>56</v>
      </c>
      <c r="I372" s="2">
        <f t="shared" ca="1" si="98"/>
        <v>0.44285714285714284</v>
      </c>
      <c r="J372" t="s">
        <v>45</v>
      </c>
      <c r="K372" t="s">
        <v>153</v>
      </c>
      <c r="L372">
        <f t="shared" si="99"/>
        <v>0</v>
      </c>
      <c r="M372">
        <f t="shared" si="100"/>
        <v>0</v>
      </c>
      <c r="N372">
        <f t="shared" si="101"/>
        <v>0</v>
      </c>
      <c r="O372" t="s">
        <v>945</v>
      </c>
      <c r="P372">
        <f t="shared" si="102"/>
        <v>0</v>
      </c>
      <c r="Q372">
        <f t="shared" si="103"/>
        <v>0</v>
      </c>
      <c r="R372">
        <f t="shared" si="104"/>
        <v>0</v>
      </c>
      <c r="S372">
        <f t="shared" si="105"/>
        <v>0</v>
      </c>
      <c r="T372">
        <f t="shared" si="106"/>
        <v>0</v>
      </c>
      <c r="U372">
        <f t="shared" si="107"/>
        <v>0</v>
      </c>
      <c r="V372">
        <f t="shared" si="108"/>
        <v>0</v>
      </c>
      <c r="W372" t="s">
        <v>58</v>
      </c>
      <c r="X372">
        <f t="shared" si="109"/>
        <v>0</v>
      </c>
      <c r="Y372">
        <f t="shared" si="110"/>
        <v>1</v>
      </c>
      <c r="Z372">
        <v>3</v>
      </c>
      <c r="AA372">
        <f t="shared" si="111"/>
        <v>0.5</v>
      </c>
      <c r="AB372" t="s">
        <v>46</v>
      </c>
      <c r="AC372">
        <f t="shared" si="112"/>
        <v>1</v>
      </c>
      <c r="AD372">
        <f t="shared" si="113"/>
        <v>0</v>
      </c>
      <c r="AE372" t="s">
        <v>50</v>
      </c>
      <c r="AF372">
        <f>IF(AE372="website",1,0)</f>
        <v>0</v>
      </c>
    </row>
    <row r="373" spans="1:32">
      <c r="A373" t="s">
        <v>946</v>
      </c>
      <c r="B373" t="s">
        <v>33</v>
      </c>
      <c r="C373" s="3">
        <f t="shared" si="95"/>
        <v>0</v>
      </c>
      <c r="D373">
        <f t="shared" si="96"/>
        <v>1</v>
      </c>
      <c r="E373" t="s">
        <v>947</v>
      </c>
      <c r="F373" t="s">
        <v>112</v>
      </c>
      <c r="G373" s="1">
        <v>19106</v>
      </c>
      <c r="H373" s="2">
        <f t="shared" ca="1" si="97"/>
        <v>74</v>
      </c>
      <c r="I373" s="2">
        <f t="shared" ca="1" si="98"/>
        <v>0.7</v>
      </c>
      <c r="J373" t="s">
        <v>36</v>
      </c>
      <c r="K373" t="s">
        <v>153</v>
      </c>
      <c r="L373">
        <f t="shared" si="99"/>
        <v>0</v>
      </c>
      <c r="M373">
        <f t="shared" si="100"/>
        <v>0</v>
      </c>
      <c r="N373">
        <f t="shared" si="101"/>
        <v>0</v>
      </c>
      <c r="O373" t="s">
        <v>778</v>
      </c>
      <c r="P373">
        <f t="shared" si="102"/>
        <v>0</v>
      </c>
      <c r="Q373">
        <f t="shared" si="103"/>
        <v>0</v>
      </c>
      <c r="R373">
        <f t="shared" si="104"/>
        <v>0</v>
      </c>
      <c r="S373">
        <f t="shared" si="105"/>
        <v>0</v>
      </c>
      <c r="T373">
        <f t="shared" si="106"/>
        <v>0</v>
      </c>
      <c r="U373">
        <f t="shared" si="107"/>
        <v>0</v>
      </c>
      <c r="V373">
        <f t="shared" si="108"/>
        <v>0</v>
      </c>
      <c r="W373" t="s">
        <v>58</v>
      </c>
      <c r="X373">
        <f t="shared" si="109"/>
        <v>0</v>
      </c>
      <c r="Y373">
        <f t="shared" si="110"/>
        <v>1</v>
      </c>
      <c r="Z373">
        <v>1</v>
      </c>
      <c r="AA373">
        <f t="shared" si="111"/>
        <v>0</v>
      </c>
      <c r="AB373" t="s">
        <v>46</v>
      </c>
      <c r="AC373">
        <f t="shared" si="112"/>
        <v>1</v>
      </c>
      <c r="AD373">
        <f t="shared" si="113"/>
        <v>0</v>
      </c>
      <c r="AE373" t="s">
        <v>50</v>
      </c>
      <c r="AF373">
        <f>IF(AE373="website",1,0)</f>
        <v>0</v>
      </c>
    </row>
    <row r="374" spans="1:32">
      <c r="A374" t="s">
        <v>948</v>
      </c>
      <c r="B374" t="s">
        <v>33</v>
      </c>
      <c r="C374" s="3">
        <f t="shared" si="95"/>
        <v>0</v>
      </c>
      <c r="D374">
        <f t="shared" si="96"/>
        <v>1</v>
      </c>
      <c r="E374" t="s">
        <v>615</v>
      </c>
      <c r="F374" t="s">
        <v>730</v>
      </c>
      <c r="G374" s="1">
        <v>33996</v>
      </c>
      <c r="H374" s="2">
        <f t="shared" ca="1" si="97"/>
        <v>33</v>
      </c>
      <c r="I374" s="2">
        <f t="shared" ca="1" si="98"/>
        <v>0.11428571428571428</v>
      </c>
      <c r="J374" t="s">
        <v>36</v>
      </c>
      <c r="K374" t="s">
        <v>37</v>
      </c>
      <c r="L374">
        <f t="shared" si="99"/>
        <v>1</v>
      </c>
      <c r="M374">
        <f t="shared" si="100"/>
        <v>0</v>
      </c>
      <c r="N374">
        <f t="shared" si="101"/>
        <v>0</v>
      </c>
      <c r="O374" t="s">
        <v>785</v>
      </c>
      <c r="P374">
        <f t="shared" si="102"/>
        <v>0</v>
      </c>
      <c r="Q374">
        <f t="shared" si="103"/>
        <v>0</v>
      </c>
      <c r="R374">
        <f t="shared" si="104"/>
        <v>0</v>
      </c>
      <c r="S374">
        <f t="shared" si="105"/>
        <v>0</v>
      </c>
      <c r="T374">
        <f t="shared" si="106"/>
        <v>0</v>
      </c>
      <c r="U374">
        <f t="shared" si="107"/>
        <v>0</v>
      </c>
      <c r="V374">
        <f t="shared" si="108"/>
        <v>0</v>
      </c>
      <c r="W374" t="s">
        <v>39</v>
      </c>
      <c r="X374">
        <f t="shared" si="109"/>
        <v>1</v>
      </c>
      <c r="Y374">
        <f t="shared" si="110"/>
        <v>0</v>
      </c>
      <c r="Z374">
        <v>2</v>
      </c>
      <c r="AA374">
        <f t="shared" si="111"/>
        <v>0.25</v>
      </c>
      <c r="AB374" t="s">
        <v>46</v>
      </c>
      <c r="AC374">
        <f t="shared" si="112"/>
        <v>1</v>
      </c>
      <c r="AD374">
        <f t="shared" si="113"/>
        <v>0</v>
      </c>
      <c r="AE374" t="s">
        <v>50</v>
      </c>
      <c r="AF374">
        <f>IF(AE374="website",1,0)</f>
        <v>0</v>
      </c>
    </row>
    <row r="375" spans="1:32">
      <c r="A375" t="s">
        <v>949</v>
      </c>
      <c r="B375" t="s">
        <v>33</v>
      </c>
      <c r="C375" s="3">
        <f t="shared" si="95"/>
        <v>0</v>
      </c>
      <c r="D375">
        <f t="shared" si="96"/>
        <v>1</v>
      </c>
      <c r="E375" t="s">
        <v>950</v>
      </c>
      <c r="F375" t="s">
        <v>716</v>
      </c>
      <c r="G375" s="1">
        <v>34280</v>
      </c>
      <c r="H375" s="2">
        <f t="shared" ca="1" si="97"/>
        <v>32</v>
      </c>
      <c r="I375" s="2">
        <f t="shared" ca="1" si="98"/>
        <v>0.1</v>
      </c>
      <c r="J375" t="s">
        <v>36</v>
      </c>
      <c r="K375" t="s">
        <v>819</v>
      </c>
      <c r="L375">
        <f t="shared" si="99"/>
        <v>0</v>
      </c>
      <c r="M375">
        <f t="shared" si="100"/>
        <v>0</v>
      </c>
      <c r="N375">
        <f t="shared" si="101"/>
        <v>0</v>
      </c>
      <c r="O375" t="s">
        <v>820</v>
      </c>
      <c r="P375">
        <f t="shared" si="102"/>
        <v>0</v>
      </c>
      <c r="Q375">
        <f t="shared" si="103"/>
        <v>0</v>
      </c>
      <c r="R375">
        <f t="shared" si="104"/>
        <v>0</v>
      </c>
      <c r="S375">
        <f t="shared" si="105"/>
        <v>0</v>
      </c>
      <c r="T375">
        <f t="shared" si="106"/>
        <v>0</v>
      </c>
      <c r="U375">
        <f t="shared" si="107"/>
        <v>0</v>
      </c>
      <c r="V375">
        <f t="shared" si="108"/>
        <v>0</v>
      </c>
      <c r="W375" t="s">
        <v>58</v>
      </c>
      <c r="X375">
        <f t="shared" si="109"/>
        <v>0</v>
      </c>
      <c r="Y375">
        <f t="shared" si="110"/>
        <v>1</v>
      </c>
      <c r="Z375">
        <v>4</v>
      </c>
      <c r="AA375">
        <f t="shared" si="111"/>
        <v>0.75</v>
      </c>
      <c r="AB375" t="s">
        <v>40</v>
      </c>
      <c r="AC375">
        <f t="shared" si="112"/>
        <v>1</v>
      </c>
      <c r="AD375">
        <f t="shared" si="113"/>
        <v>0</v>
      </c>
      <c r="AE375" t="s">
        <v>50</v>
      </c>
      <c r="AF375">
        <f>IF(AE375="website",1,0)</f>
        <v>0</v>
      </c>
    </row>
    <row r="376" spans="1:32">
      <c r="A376" t="s">
        <v>951</v>
      </c>
      <c r="B376" t="s">
        <v>33</v>
      </c>
      <c r="C376" s="3">
        <f t="shared" si="95"/>
        <v>0</v>
      </c>
      <c r="D376">
        <f t="shared" si="96"/>
        <v>1</v>
      </c>
      <c r="E376" t="s">
        <v>655</v>
      </c>
      <c r="F376" t="s">
        <v>798</v>
      </c>
      <c r="G376" s="1">
        <v>25034</v>
      </c>
      <c r="H376" s="2">
        <f t="shared" ca="1" si="97"/>
        <v>58</v>
      </c>
      <c r="I376" s="2">
        <f t="shared" ca="1" si="98"/>
        <v>0.47142857142857142</v>
      </c>
      <c r="J376" t="s">
        <v>45</v>
      </c>
      <c r="K376" t="s">
        <v>37</v>
      </c>
      <c r="L376">
        <f t="shared" si="99"/>
        <v>1</v>
      </c>
      <c r="M376">
        <f t="shared" si="100"/>
        <v>0</v>
      </c>
      <c r="N376">
        <f t="shared" si="101"/>
        <v>0</v>
      </c>
      <c r="O376" t="s">
        <v>38</v>
      </c>
      <c r="P376">
        <f t="shared" si="102"/>
        <v>1</v>
      </c>
      <c r="Q376">
        <f t="shared" si="103"/>
        <v>0</v>
      </c>
      <c r="R376">
        <f t="shared" si="104"/>
        <v>0</v>
      </c>
      <c r="S376">
        <f t="shared" si="105"/>
        <v>0</v>
      </c>
      <c r="T376">
        <f t="shared" si="106"/>
        <v>0</v>
      </c>
      <c r="U376">
        <f t="shared" si="107"/>
        <v>0</v>
      </c>
      <c r="V376">
        <f t="shared" si="108"/>
        <v>0</v>
      </c>
      <c r="W376" t="s">
        <v>58</v>
      </c>
      <c r="X376">
        <f t="shared" si="109"/>
        <v>0</v>
      </c>
      <c r="Y376">
        <f t="shared" si="110"/>
        <v>1</v>
      </c>
      <c r="Z376">
        <v>4</v>
      </c>
      <c r="AA376">
        <f t="shared" si="111"/>
        <v>0.75</v>
      </c>
      <c r="AB376" t="s">
        <v>46</v>
      </c>
      <c r="AC376">
        <f t="shared" si="112"/>
        <v>0</v>
      </c>
      <c r="AD376">
        <f t="shared" si="113"/>
        <v>0</v>
      </c>
      <c r="AE376" t="s">
        <v>41</v>
      </c>
      <c r="AF376">
        <f>IF(AE376="website",1,0)</f>
        <v>1</v>
      </c>
    </row>
    <row r="377" spans="1:32">
      <c r="A377" t="s">
        <v>952</v>
      </c>
      <c r="B377" t="s">
        <v>33</v>
      </c>
      <c r="C377" s="3">
        <f t="shared" si="95"/>
        <v>0</v>
      </c>
      <c r="D377">
        <f t="shared" si="96"/>
        <v>1</v>
      </c>
      <c r="E377" t="s">
        <v>681</v>
      </c>
      <c r="F377" t="s">
        <v>953</v>
      </c>
      <c r="G377" s="1">
        <v>19468</v>
      </c>
      <c r="H377" s="2">
        <f t="shared" ca="1" si="97"/>
        <v>73</v>
      </c>
      <c r="I377" s="2">
        <f t="shared" ca="1" si="98"/>
        <v>0.68571428571428572</v>
      </c>
      <c r="J377" t="s">
        <v>36</v>
      </c>
      <c r="K377" t="s">
        <v>37</v>
      </c>
      <c r="L377">
        <f t="shared" si="99"/>
        <v>1</v>
      </c>
      <c r="M377">
        <f t="shared" si="100"/>
        <v>0</v>
      </c>
      <c r="N377">
        <f t="shared" si="101"/>
        <v>0</v>
      </c>
      <c r="O377" t="s">
        <v>38</v>
      </c>
      <c r="P377">
        <f t="shared" si="102"/>
        <v>1</v>
      </c>
      <c r="Q377">
        <f t="shared" si="103"/>
        <v>0</v>
      </c>
      <c r="R377">
        <f t="shared" si="104"/>
        <v>0</v>
      </c>
      <c r="S377">
        <f t="shared" si="105"/>
        <v>0</v>
      </c>
      <c r="T377">
        <f t="shared" si="106"/>
        <v>0</v>
      </c>
      <c r="U377">
        <f t="shared" si="107"/>
        <v>0</v>
      </c>
      <c r="V377">
        <f t="shared" si="108"/>
        <v>0</v>
      </c>
      <c r="W377" t="s">
        <v>39</v>
      </c>
      <c r="X377">
        <f t="shared" si="109"/>
        <v>1</v>
      </c>
      <c r="Y377">
        <f t="shared" si="110"/>
        <v>0</v>
      </c>
      <c r="Z377">
        <v>3</v>
      </c>
      <c r="AA377">
        <f t="shared" si="111"/>
        <v>0.5</v>
      </c>
      <c r="AB377" t="s">
        <v>46</v>
      </c>
      <c r="AC377">
        <f t="shared" si="112"/>
        <v>0</v>
      </c>
      <c r="AD377">
        <f t="shared" si="113"/>
        <v>0</v>
      </c>
      <c r="AE377" t="s">
        <v>41</v>
      </c>
      <c r="AF377">
        <f>IF(AE377="website",1,0)</f>
        <v>1</v>
      </c>
    </row>
    <row r="378" spans="1:32">
      <c r="A378" t="s">
        <v>954</v>
      </c>
      <c r="B378" t="s">
        <v>33</v>
      </c>
      <c r="C378" s="3">
        <f t="shared" si="95"/>
        <v>0</v>
      </c>
      <c r="D378">
        <f t="shared" si="96"/>
        <v>1</v>
      </c>
      <c r="E378" t="s">
        <v>527</v>
      </c>
      <c r="F378" t="s">
        <v>726</v>
      </c>
      <c r="G378" s="1">
        <v>35929</v>
      </c>
      <c r="H378" s="2">
        <f t="shared" ca="1" si="97"/>
        <v>28</v>
      </c>
      <c r="I378" s="2">
        <f t="shared" ca="1" si="98"/>
        <v>4.2857142857142858E-2</v>
      </c>
      <c r="J378" t="s">
        <v>45</v>
      </c>
      <c r="K378" t="s">
        <v>37</v>
      </c>
      <c r="L378">
        <f t="shared" si="99"/>
        <v>1</v>
      </c>
      <c r="M378">
        <f t="shared" si="100"/>
        <v>0</v>
      </c>
      <c r="N378">
        <f t="shared" si="101"/>
        <v>0</v>
      </c>
      <c r="O378" t="s">
        <v>565</v>
      </c>
      <c r="P378">
        <f t="shared" si="102"/>
        <v>0</v>
      </c>
      <c r="Q378">
        <f t="shared" si="103"/>
        <v>0</v>
      </c>
      <c r="R378">
        <f t="shared" si="104"/>
        <v>0</v>
      </c>
      <c r="S378">
        <f t="shared" si="105"/>
        <v>0</v>
      </c>
      <c r="T378">
        <f t="shared" si="106"/>
        <v>0</v>
      </c>
      <c r="U378">
        <f t="shared" si="107"/>
        <v>0</v>
      </c>
      <c r="V378">
        <f t="shared" si="108"/>
        <v>0</v>
      </c>
      <c r="W378" t="s">
        <v>39</v>
      </c>
      <c r="X378">
        <f t="shared" si="109"/>
        <v>1</v>
      </c>
      <c r="Y378">
        <f t="shared" si="110"/>
        <v>0</v>
      </c>
      <c r="Z378">
        <v>4</v>
      </c>
      <c r="AA378">
        <f t="shared" si="111"/>
        <v>0.75</v>
      </c>
      <c r="AB378" t="s">
        <v>46</v>
      </c>
      <c r="AC378">
        <f t="shared" si="112"/>
        <v>0</v>
      </c>
      <c r="AD378">
        <f t="shared" si="113"/>
        <v>0</v>
      </c>
      <c r="AE378" t="s">
        <v>41</v>
      </c>
      <c r="AF378">
        <f>IF(AE378="website",1,0)</f>
        <v>1</v>
      </c>
    </row>
    <row r="379" spans="1:32">
      <c r="A379" t="s">
        <v>955</v>
      </c>
      <c r="B379" t="s">
        <v>33</v>
      </c>
      <c r="C379" s="3">
        <f t="shared" si="95"/>
        <v>0</v>
      </c>
      <c r="D379">
        <f t="shared" si="96"/>
        <v>1</v>
      </c>
      <c r="E379" t="s">
        <v>804</v>
      </c>
      <c r="F379" t="s">
        <v>366</v>
      </c>
      <c r="G379" s="1">
        <v>21152</v>
      </c>
      <c r="H379" s="2">
        <f t="shared" ca="1" si="97"/>
        <v>68</v>
      </c>
      <c r="I379" s="2">
        <f t="shared" ca="1" si="98"/>
        <v>0.61428571428571432</v>
      </c>
      <c r="J379" t="s">
        <v>36</v>
      </c>
      <c r="K379" t="s">
        <v>37</v>
      </c>
      <c r="L379">
        <f t="shared" si="99"/>
        <v>1</v>
      </c>
      <c r="M379">
        <f t="shared" si="100"/>
        <v>0</v>
      </c>
      <c r="N379">
        <f t="shared" si="101"/>
        <v>0</v>
      </c>
      <c r="O379" t="s">
        <v>38</v>
      </c>
      <c r="P379">
        <f t="shared" si="102"/>
        <v>1</v>
      </c>
      <c r="Q379">
        <f t="shared" si="103"/>
        <v>0</v>
      </c>
      <c r="R379">
        <f t="shared" si="104"/>
        <v>0</v>
      </c>
      <c r="S379">
        <f t="shared" si="105"/>
        <v>0</v>
      </c>
      <c r="T379">
        <f t="shared" si="106"/>
        <v>0</v>
      </c>
      <c r="U379">
        <f t="shared" si="107"/>
        <v>0</v>
      </c>
      <c r="V379">
        <f t="shared" si="108"/>
        <v>0</v>
      </c>
      <c r="W379" t="s">
        <v>58</v>
      </c>
      <c r="X379">
        <f t="shared" si="109"/>
        <v>0</v>
      </c>
      <c r="Y379">
        <f t="shared" si="110"/>
        <v>1</v>
      </c>
      <c r="Z379">
        <v>3</v>
      </c>
      <c r="AA379">
        <f t="shared" si="111"/>
        <v>0.5</v>
      </c>
      <c r="AB379" t="s">
        <v>40</v>
      </c>
      <c r="AC379">
        <f t="shared" si="112"/>
        <v>0</v>
      </c>
      <c r="AD379">
        <f t="shared" si="113"/>
        <v>0</v>
      </c>
      <c r="AE379" t="s">
        <v>41</v>
      </c>
      <c r="AF379">
        <f>IF(AE379="website",1,0)</f>
        <v>1</v>
      </c>
    </row>
    <row r="380" spans="1:32">
      <c r="A380" t="s">
        <v>956</v>
      </c>
      <c r="B380" t="s">
        <v>55</v>
      </c>
      <c r="C380" s="3">
        <f t="shared" si="95"/>
        <v>1</v>
      </c>
      <c r="D380">
        <f t="shared" si="96"/>
        <v>0</v>
      </c>
      <c r="E380" t="s">
        <v>957</v>
      </c>
      <c r="F380" t="s">
        <v>57</v>
      </c>
      <c r="G380" s="1">
        <v>28237</v>
      </c>
      <c r="H380" s="2">
        <f t="shared" ca="1" si="97"/>
        <v>49</v>
      </c>
      <c r="I380" s="2">
        <f t="shared" ca="1" si="98"/>
        <v>0.34285714285714286</v>
      </c>
      <c r="J380" t="s">
        <v>45</v>
      </c>
      <c r="K380" t="s">
        <v>37</v>
      </c>
      <c r="L380">
        <f t="shared" si="99"/>
        <v>1</v>
      </c>
      <c r="M380">
        <f t="shared" si="100"/>
        <v>0</v>
      </c>
      <c r="N380">
        <f t="shared" si="101"/>
        <v>0</v>
      </c>
      <c r="O380" t="s">
        <v>38</v>
      </c>
      <c r="P380">
        <f t="shared" si="102"/>
        <v>1</v>
      </c>
      <c r="Q380">
        <f t="shared" si="103"/>
        <v>0</v>
      </c>
      <c r="R380">
        <f t="shared" si="104"/>
        <v>0</v>
      </c>
      <c r="S380">
        <f t="shared" si="105"/>
        <v>0</v>
      </c>
      <c r="T380">
        <f t="shared" si="106"/>
        <v>0</v>
      </c>
      <c r="U380">
        <f t="shared" si="107"/>
        <v>0</v>
      </c>
      <c r="V380">
        <f t="shared" si="108"/>
        <v>0</v>
      </c>
      <c r="W380" t="s">
        <v>58</v>
      </c>
      <c r="X380">
        <f t="shared" si="109"/>
        <v>0</v>
      </c>
      <c r="Y380">
        <f t="shared" si="110"/>
        <v>1</v>
      </c>
      <c r="Z380">
        <v>2</v>
      </c>
      <c r="AA380">
        <f t="shared" si="111"/>
        <v>0.25</v>
      </c>
      <c r="AB380" t="s">
        <v>40</v>
      </c>
      <c r="AC380">
        <f t="shared" si="112"/>
        <v>0</v>
      </c>
      <c r="AD380">
        <f t="shared" si="113"/>
        <v>1</v>
      </c>
      <c r="AE380" t="s">
        <v>90</v>
      </c>
      <c r="AF380">
        <f>IF(AE380="website",1,0)</f>
        <v>0</v>
      </c>
    </row>
    <row r="381" spans="1:32">
      <c r="A381" t="s">
        <v>958</v>
      </c>
      <c r="B381" t="s">
        <v>33</v>
      </c>
      <c r="C381" s="3">
        <f t="shared" si="95"/>
        <v>0</v>
      </c>
      <c r="D381">
        <f t="shared" si="96"/>
        <v>1</v>
      </c>
      <c r="E381" t="s">
        <v>697</v>
      </c>
      <c r="F381" t="s">
        <v>585</v>
      </c>
      <c r="G381" s="1">
        <v>26920</v>
      </c>
      <c r="H381" s="2">
        <f t="shared" ca="1" si="97"/>
        <v>53</v>
      </c>
      <c r="I381" s="2">
        <f t="shared" ca="1" si="98"/>
        <v>0.4</v>
      </c>
      <c r="J381" t="s">
        <v>36</v>
      </c>
      <c r="K381" t="s">
        <v>37</v>
      </c>
      <c r="L381">
        <f t="shared" si="99"/>
        <v>1</v>
      </c>
      <c r="M381">
        <f t="shared" si="100"/>
        <v>0</v>
      </c>
      <c r="N381">
        <f t="shared" si="101"/>
        <v>0</v>
      </c>
      <c r="O381" t="s">
        <v>38</v>
      </c>
      <c r="P381">
        <f t="shared" si="102"/>
        <v>1</v>
      </c>
      <c r="Q381">
        <f t="shared" si="103"/>
        <v>0</v>
      </c>
      <c r="R381">
        <f t="shared" si="104"/>
        <v>0</v>
      </c>
      <c r="S381">
        <f t="shared" si="105"/>
        <v>0</v>
      </c>
      <c r="T381">
        <f t="shared" si="106"/>
        <v>0</v>
      </c>
      <c r="U381">
        <f t="shared" si="107"/>
        <v>0</v>
      </c>
      <c r="V381">
        <f t="shared" si="108"/>
        <v>0</v>
      </c>
      <c r="W381" t="s">
        <v>39</v>
      </c>
      <c r="X381">
        <f t="shared" si="109"/>
        <v>1</v>
      </c>
      <c r="Y381">
        <f t="shared" si="110"/>
        <v>0</v>
      </c>
      <c r="Z381">
        <v>3</v>
      </c>
      <c r="AA381">
        <f t="shared" si="111"/>
        <v>0.5</v>
      </c>
      <c r="AB381" t="s">
        <v>40</v>
      </c>
      <c r="AC381">
        <f t="shared" si="112"/>
        <v>0</v>
      </c>
      <c r="AD381">
        <f t="shared" si="113"/>
        <v>0</v>
      </c>
      <c r="AE381" t="s">
        <v>41</v>
      </c>
      <c r="AF381">
        <f>IF(AE381="website",1,0)</f>
        <v>1</v>
      </c>
    </row>
    <row r="382" spans="1:32">
      <c r="A382" t="s">
        <v>959</v>
      </c>
      <c r="B382" t="s">
        <v>33</v>
      </c>
      <c r="C382" s="3">
        <f t="shared" si="95"/>
        <v>0</v>
      </c>
      <c r="D382">
        <f t="shared" si="96"/>
        <v>1</v>
      </c>
      <c r="E382" t="s">
        <v>787</v>
      </c>
      <c r="F382" t="s">
        <v>656</v>
      </c>
      <c r="G382" s="1">
        <v>22289</v>
      </c>
      <c r="H382" s="2">
        <f t="shared" ca="1" si="97"/>
        <v>65</v>
      </c>
      <c r="I382" s="2">
        <f t="shared" ca="1" si="98"/>
        <v>0.5714285714285714</v>
      </c>
      <c r="J382" t="s">
        <v>45</v>
      </c>
      <c r="K382" t="s">
        <v>37</v>
      </c>
      <c r="L382">
        <f t="shared" si="99"/>
        <v>1</v>
      </c>
      <c r="M382">
        <f t="shared" si="100"/>
        <v>0</v>
      </c>
      <c r="N382">
        <f t="shared" si="101"/>
        <v>0</v>
      </c>
      <c r="O382" t="s">
        <v>38</v>
      </c>
      <c r="P382">
        <f t="shared" si="102"/>
        <v>1</v>
      </c>
      <c r="Q382">
        <f t="shared" si="103"/>
        <v>0</v>
      </c>
      <c r="R382">
        <f t="shared" si="104"/>
        <v>0</v>
      </c>
      <c r="S382">
        <f t="shared" si="105"/>
        <v>0</v>
      </c>
      <c r="T382">
        <f t="shared" si="106"/>
        <v>0</v>
      </c>
      <c r="U382">
        <f t="shared" si="107"/>
        <v>0</v>
      </c>
      <c r="V382">
        <f t="shared" si="108"/>
        <v>0</v>
      </c>
      <c r="W382" t="s">
        <v>39</v>
      </c>
      <c r="X382">
        <f t="shared" si="109"/>
        <v>1</v>
      </c>
      <c r="Y382">
        <f t="shared" si="110"/>
        <v>0</v>
      </c>
      <c r="Z382">
        <v>5</v>
      </c>
      <c r="AA382">
        <f t="shared" si="111"/>
        <v>1</v>
      </c>
      <c r="AB382" t="s">
        <v>40</v>
      </c>
      <c r="AC382">
        <f t="shared" si="112"/>
        <v>1</v>
      </c>
      <c r="AD382">
        <f t="shared" si="113"/>
        <v>0</v>
      </c>
      <c r="AE382" t="s">
        <v>50</v>
      </c>
      <c r="AF382">
        <f>IF(AE382="website",1,0)</f>
        <v>0</v>
      </c>
    </row>
    <row r="383" spans="1:32">
      <c r="A383" t="s">
        <v>960</v>
      </c>
      <c r="B383" t="s">
        <v>33</v>
      </c>
      <c r="C383" s="3">
        <f t="shared" si="95"/>
        <v>0</v>
      </c>
      <c r="D383">
        <f t="shared" si="96"/>
        <v>1</v>
      </c>
      <c r="E383" t="s">
        <v>596</v>
      </c>
      <c r="F383" t="s">
        <v>714</v>
      </c>
      <c r="G383" s="1">
        <v>27614</v>
      </c>
      <c r="H383" s="2">
        <f t="shared" ca="1" si="97"/>
        <v>51</v>
      </c>
      <c r="I383" s="2">
        <f t="shared" ca="1" si="98"/>
        <v>0.37142857142857144</v>
      </c>
      <c r="J383" t="s">
        <v>45</v>
      </c>
      <c r="K383" t="s">
        <v>37</v>
      </c>
      <c r="L383">
        <f t="shared" si="99"/>
        <v>1</v>
      </c>
      <c r="M383">
        <f t="shared" si="100"/>
        <v>0</v>
      </c>
      <c r="N383">
        <f t="shared" si="101"/>
        <v>0</v>
      </c>
      <c r="O383" t="s">
        <v>38</v>
      </c>
      <c r="P383">
        <f t="shared" si="102"/>
        <v>1</v>
      </c>
      <c r="Q383">
        <f t="shared" si="103"/>
        <v>0</v>
      </c>
      <c r="R383">
        <f t="shared" si="104"/>
        <v>0</v>
      </c>
      <c r="S383">
        <f t="shared" si="105"/>
        <v>0</v>
      </c>
      <c r="T383">
        <f t="shared" si="106"/>
        <v>0</v>
      </c>
      <c r="U383">
        <f t="shared" si="107"/>
        <v>0</v>
      </c>
      <c r="V383">
        <f t="shared" si="108"/>
        <v>0</v>
      </c>
      <c r="W383" t="s">
        <v>58</v>
      </c>
      <c r="X383">
        <f t="shared" si="109"/>
        <v>0</v>
      </c>
      <c r="Y383">
        <f t="shared" si="110"/>
        <v>1</v>
      </c>
      <c r="Z383">
        <v>1</v>
      </c>
      <c r="AA383">
        <f t="shared" si="111"/>
        <v>0</v>
      </c>
      <c r="AB383" t="s">
        <v>40</v>
      </c>
      <c r="AC383">
        <f t="shared" si="112"/>
        <v>1</v>
      </c>
      <c r="AD383">
        <f t="shared" si="113"/>
        <v>0</v>
      </c>
      <c r="AE383" t="s">
        <v>50</v>
      </c>
      <c r="AF383">
        <f>IF(AE383="website",1,0)</f>
        <v>0</v>
      </c>
    </row>
    <row r="384" spans="1:32">
      <c r="A384" t="s">
        <v>961</v>
      </c>
      <c r="B384" t="s">
        <v>55</v>
      </c>
      <c r="C384" s="3">
        <f t="shared" si="95"/>
        <v>1</v>
      </c>
      <c r="D384">
        <f t="shared" si="96"/>
        <v>0</v>
      </c>
      <c r="E384" t="s">
        <v>962</v>
      </c>
      <c r="F384" t="s">
        <v>57</v>
      </c>
      <c r="G384" s="1">
        <v>31360</v>
      </c>
      <c r="H384" s="2">
        <f t="shared" ca="1" si="97"/>
        <v>40</v>
      </c>
      <c r="I384" s="2">
        <f t="shared" ca="1" si="98"/>
        <v>0.21428571428571427</v>
      </c>
      <c r="J384" t="s">
        <v>36</v>
      </c>
      <c r="K384" t="s">
        <v>158</v>
      </c>
      <c r="L384">
        <f t="shared" si="99"/>
        <v>0</v>
      </c>
      <c r="M384">
        <f t="shared" si="100"/>
        <v>0</v>
      </c>
      <c r="N384">
        <f t="shared" si="101"/>
        <v>0</v>
      </c>
      <c r="O384" t="s">
        <v>159</v>
      </c>
      <c r="P384">
        <f t="shared" si="102"/>
        <v>0</v>
      </c>
      <c r="Q384">
        <f t="shared" si="103"/>
        <v>0</v>
      </c>
      <c r="R384">
        <f t="shared" si="104"/>
        <v>0</v>
      </c>
      <c r="S384">
        <f t="shared" si="105"/>
        <v>0</v>
      </c>
      <c r="T384">
        <f t="shared" si="106"/>
        <v>0</v>
      </c>
      <c r="U384">
        <f t="shared" si="107"/>
        <v>0</v>
      </c>
      <c r="V384">
        <f t="shared" si="108"/>
        <v>0</v>
      </c>
      <c r="W384" t="s">
        <v>58</v>
      </c>
      <c r="X384">
        <f t="shared" si="109"/>
        <v>0</v>
      </c>
      <c r="Y384">
        <f t="shared" si="110"/>
        <v>1</v>
      </c>
      <c r="Z384">
        <v>3</v>
      </c>
      <c r="AA384">
        <f t="shared" si="111"/>
        <v>0.5</v>
      </c>
      <c r="AB384" t="s">
        <v>46</v>
      </c>
      <c r="AC384">
        <f t="shared" si="112"/>
        <v>1</v>
      </c>
      <c r="AD384">
        <f t="shared" si="113"/>
        <v>0</v>
      </c>
      <c r="AE384" t="s">
        <v>50</v>
      </c>
      <c r="AF384">
        <f>IF(AE384="website",1,0)</f>
        <v>0</v>
      </c>
    </row>
    <row r="385" spans="1:32">
      <c r="A385" t="s">
        <v>963</v>
      </c>
      <c r="B385" t="s">
        <v>33</v>
      </c>
      <c r="C385" s="3">
        <f t="shared" si="95"/>
        <v>0</v>
      </c>
      <c r="D385">
        <f t="shared" si="96"/>
        <v>1</v>
      </c>
      <c r="E385" t="s">
        <v>666</v>
      </c>
      <c r="F385" t="s">
        <v>372</v>
      </c>
      <c r="G385" s="1">
        <v>16153</v>
      </c>
      <c r="H385" s="2">
        <f t="shared" ca="1" si="97"/>
        <v>82</v>
      </c>
      <c r="I385" s="2">
        <f t="shared" ca="1" si="98"/>
        <v>0.81428571428571428</v>
      </c>
      <c r="J385" t="s">
        <v>36</v>
      </c>
      <c r="K385" t="s">
        <v>37</v>
      </c>
      <c r="L385">
        <f t="shared" si="99"/>
        <v>1</v>
      </c>
      <c r="M385">
        <f t="shared" si="100"/>
        <v>0</v>
      </c>
      <c r="N385">
        <f t="shared" si="101"/>
        <v>0</v>
      </c>
      <c r="O385" t="s">
        <v>38</v>
      </c>
      <c r="P385">
        <f t="shared" si="102"/>
        <v>1</v>
      </c>
      <c r="Q385">
        <f t="shared" si="103"/>
        <v>0</v>
      </c>
      <c r="R385">
        <f t="shared" si="104"/>
        <v>0</v>
      </c>
      <c r="S385">
        <f t="shared" si="105"/>
        <v>0</v>
      </c>
      <c r="T385">
        <f t="shared" si="106"/>
        <v>0</v>
      </c>
      <c r="U385">
        <f t="shared" si="107"/>
        <v>0</v>
      </c>
      <c r="V385">
        <f t="shared" si="108"/>
        <v>0</v>
      </c>
      <c r="W385" t="s">
        <v>39</v>
      </c>
      <c r="X385">
        <f t="shared" si="109"/>
        <v>1</v>
      </c>
      <c r="Y385">
        <f t="shared" si="110"/>
        <v>0</v>
      </c>
      <c r="Z385">
        <v>3</v>
      </c>
      <c r="AA385">
        <f t="shared" si="111"/>
        <v>0.5</v>
      </c>
      <c r="AB385" t="s">
        <v>40</v>
      </c>
      <c r="AC385">
        <f t="shared" si="112"/>
        <v>0</v>
      </c>
      <c r="AD385">
        <f t="shared" si="113"/>
        <v>0</v>
      </c>
      <c r="AE385" t="s">
        <v>41</v>
      </c>
      <c r="AF385">
        <f>IF(AE385="website",1,0)</f>
        <v>1</v>
      </c>
    </row>
    <row r="386" spans="1:32">
      <c r="A386" t="s">
        <v>964</v>
      </c>
      <c r="B386" t="s">
        <v>33</v>
      </c>
      <c r="C386" s="3">
        <f t="shared" ref="C386:C449" si="114">IF(B386="company",1,0)</f>
        <v>0</v>
      </c>
      <c r="D386">
        <f t="shared" ref="D386:D449" si="115">IF(B386="individual",1,0)</f>
        <v>1</v>
      </c>
      <c r="E386" t="s">
        <v>965</v>
      </c>
      <c r="F386" t="s">
        <v>703</v>
      </c>
      <c r="G386" s="1">
        <v>25215</v>
      </c>
      <c r="H386" s="2">
        <f t="shared" ref="H386:H449" ca="1" si="116">DATEDIF(G386,TODAY(),"Y")</f>
        <v>57</v>
      </c>
      <c r="I386" s="2">
        <f t="shared" ref="I386:I449" ca="1" si="117">(H386-MIN(H:H))/(MAX(H:H)-MIN(H:H))</f>
        <v>0.45714285714285713</v>
      </c>
      <c r="J386" t="s">
        <v>45</v>
      </c>
      <c r="K386" t="s">
        <v>248</v>
      </c>
      <c r="L386">
        <f t="shared" ref="L386:L449" si="118">IF(K386="usa",1,0)</f>
        <v>0</v>
      </c>
      <c r="M386">
        <f t="shared" ref="M386:M449" si="119">IF(K386="canada",1,0)</f>
        <v>0</v>
      </c>
      <c r="N386">
        <f t="shared" ref="N386:N449" si="120">IF(K386="germany",1,0)</f>
        <v>0</v>
      </c>
      <c r="O386" t="s">
        <v>249</v>
      </c>
      <c r="P386">
        <f t="shared" ref="P386:P449" si="121">IF(O386="california",1,0)</f>
        <v>0</v>
      </c>
      <c r="Q386">
        <f t="shared" ref="Q386:Q449" si="122">IF(O386="oregon",1,0)</f>
        <v>0</v>
      </c>
      <c r="R386">
        <f t="shared" ref="R386:R449" si="123">IF(O386="quebec",1,0)</f>
        <v>0</v>
      </c>
      <c r="S386">
        <f t="shared" ref="S386:S449" si="124">IF(O386="berlin",1,0)</f>
        <v>0</v>
      </c>
      <c r="T386">
        <f t="shared" ref="T386:T449" si="125">IF(O386="arizona",1,0)</f>
        <v>0</v>
      </c>
      <c r="U386">
        <f t="shared" ref="U386:U449" si="126">IF(O386="nevada",1,0)</f>
        <v>0</v>
      </c>
      <c r="V386">
        <f t="shared" ref="V386:V449" si="127">IF(O386="colardo",1,0)</f>
        <v>0</v>
      </c>
      <c r="W386" t="s">
        <v>58</v>
      </c>
      <c r="X386">
        <f t="shared" ref="X386:X449" si="128">IF(W386="home",1,0)</f>
        <v>0</v>
      </c>
      <c r="Y386">
        <f t="shared" ref="Y386:Y449" si="129">IF(W386="investment",1,0)</f>
        <v>1</v>
      </c>
      <c r="Z386">
        <v>4</v>
      </c>
      <c r="AA386">
        <f t="shared" ref="AA386:AA449" si="130">(Z386-1)/4</f>
        <v>0.75</v>
      </c>
      <c r="AB386" t="s">
        <v>46</v>
      </c>
      <c r="AC386">
        <f t="shared" ref="AC386:AC449" si="131">IF(AE386="agency",1,0)</f>
        <v>0</v>
      </c>
      <c r="AD386">
        <f t="shared" ref="AD386:AD449" si="132">IF(AE386="client",1,0)</f>
        <v>0</v>
      </c>
      <c r="AE386" t="s">
        <v>41</v>
      </c>
      <c r="AF386">
        <f>IF(AE386="website",1,0)</f>
        <v>1</v>
      </c>
    </row>
    <row r="387" spans="1:32">
      <c r="A387" t="s">
        <v>966</v>
      </c>
      <c r="B387" t="s">
        <v>33</v>
      </c>
      <c r="C387" s="3">
        <f t="shared" si="114"/>
        <v>0</v>
      </c>
      <c r="D387">
        <f t="shared" si="115"/>
        <v>1</v>
      </c>
      <c r="E387" t="s">
        <v>604</v>
      </c>
      <c r="F387" t="s">
        <v>372</v>
      </c>
      <c r="G387" s="1">
        <v>27844</v>
      </c>
      <c r="H387" s="2">
        <f t="shared" ca="1" si="116"/>
        <v>50</v>
      </c>
      <c r="I387" s="2">
        <f t="shared" ca="1" si="117"/>
        <v>0.35714285714285715</v>
      </c>
      <c r="J387" t="s">
        <v>36</v>
      </c>
      <c r="K387" t="s">
        <v>37</v>
      </c>
      <c r="L387">
        <f t="shared" si="118"/>
        <v>1</v>
      </c>
      <c r="M387">
        <f t="shared" si="119"/>
        <v>0</v>
      </c>
      <c r="N387">
        <f t="shared" si="120"/>
        <v>0</v>
      </c>
      <c r="O387" t="s">
        <v>137</v>
      </c>
      <c r="P387">
        <f t="shared" si="121"/>
        <v>0</v>
      </c>
      <c r="Q387">
        <f t="shared" si="122"/>
        <v>0</v>
      </c>
      <c r="R387">
        <f t="shared" si="123"/>
        <v>0</v>
      </c>
      <c r="S387">
        <f t="shared" si="124"/>
        <v>0</v>
      </c>
      <c r="T387">
        <f t="shared" si="125"/>
        <v>0</v>
      </c>
      <c r="U387">
        <f t="shared" si="126"/>
        <v>0</v>
      </c>
      <c r="V387">
        <f t="shared" si="127"/>
        <v>0</v>
      </c>
      <c r="W387" t="s">
        <v>39</v>
      </c>
      <c r="X387">
        <f t="shared" si="128"/>
        <v>1</v>
      </c>
      <c r="Y387">
        <f t="shared" si="129"/>
        <v>0</v>
      </c>
      <c r="Z387">
        <v>2</v>
      </c>
      <c r="AA387">
        <f t="shared" si="130"/>
        <v>0.25</v>
      </c>
      <c r="AB387" t="s">
        <v>46</v>
      </c>
      <c r="AC387">
        <f t="shared" si="131"/>
        <v>0</v>
      </c>
      <c r="AD387">
        <f t="shared" si="132"/>
        <v>1</v>
      </c>
      <c r="AE387" t="s">
        <v>90</v>
      </c>
      <c r="AF387">
        <f>IF(AE387="website",1,0)</f>
        <v>0</v>
      </c>
    </row>
    <row r="388" spans="1:32">
      <c r="A388" t="s">
        <v>967</v>
      </c>
      <c r="B388" t="s">
        <v>33</v>
      </c>
      <c r="C388" s="3">
        <f t="shared" si="114"/>
        <v>0</v>
      </c>
      <c r="D388">
        <f t="shared" si="115"/>
        <v>1</v>
      </c>
      <c r="E388" t="s">
        <v>968</v>
      </c>
      <c r="F388" t="s">
        <v>703</v>
      </c>
      <c r="G388" s="1">
        <v>27228</v>
      </c>
      <c r="H388" s="2">
        <f t="shared" ca="1" si="116"/>
        <v>52</v>
      </c>
      <c r="I388" s="2">
        <f t="shared" ca="1" si="117"/>
        <v>0.38571428571428573</v>
      </c>
      <c r="J388" t="s">
        <v>36</v>
      </c>
      <c r="K388" t="s">
        <v>37</v>
      </c>
      <c r="L388">
        <f t="shared" si="118"/>
        <v>1</v>
      </c>
      <c r="M388">
        <f t="shared" si="119"/>
        <v>0</v>
      </c>
      <c r="N388">
        <f t="shared" si="120"/>
        <v>0</v>
      </c>
      <c r="O388" t="s">
        <v>38</v>
      </c>
      <c r="P388">
        <f t="shared" si="121"/>
        <v>1</v>
      </c>
      <c r="Q388">
        <f t="shared" si="122"/>
        <v>0</v>
      </c>
      <c r="R388">
        <f t="shared" si="123"/>
        <v>0</v>
      </c>
      <c r="S388">
        <f t="shared" si="124"/>
        <v>0</v>
      </c>
      <c r="T388">
        <f t="shared" si="125"/>
        <v>0</v>
      </c>
      <c r="U388">
        <f t="shared" si="126"/>
        <v>0</v>
      </c>
      <c r="V388">
        <f t="shared" si="127"/>
        <v>0</v>
      </c>
      <c r="W388" t="s">
        <v>39</v>
      </c>
      <c r="X388">
        <f t="shared" si="128"/>
        <v>1</v>
      </c>
      <c r="Y388">
        <f t="shared" si="129"/>
        <v>0</v>
      </c>
      <c r="Z388">
        <v>2</v>
      </c>
      <c r="AA388">
        <f t="shared" si="130"/>
        <v>0.25</v>
      </c>
      <c r="AB388" t="s">
        <v>40</v>
      </c>
      <c r="AC388">
        <f t="shared" si="131"/>
        <v>0</v>
      </c>
      <c r="AD388">
        <f t="shared" si="132"/>
        <v>0</v>
      </c>
      <c r="AE388" t="s">
        <v>41</v>
      </c>
      <c r="AF388">
        <f>IF(AE388="website",1,0)</f>
        <v>1</v>
      </c>
    </row>
    <row r="389" spans="1:32">
      <c r="A389" t="s">
        <v>969</v>
      </c>
      <c r="B389" t="s">
        <v>33</v>
      </c>
      <c r="C389" s="3">
        <f t="shared" si="114"/>
        <v>0</v>
      </c>
      <c r="D389">
        <f t="shared" si="115"/>
        <v>1</v>
      </c>
      <c r="E389" t="s">
        <v>842</v>
      </c>
      <c r="F389" t="s">
        <v>856</v>
      </c>
      <c r="G389" s="1">
        <v>34966</v>
      </c>
      <c r="H389" s="2">
        <f t="shared" ca="1" si="116"/>
        <v>31</v>
      </c>
      <c r="I389" s="2">
        <f t="shared" ca="1" si="117"/>
        <v>8.5714285714285715E-2</v>
      </c>
      <c r="J389" t="s">
        <v>45</v>
      </c>
      <c r="K389" t="s">
        <v>37</v>
      </c>
      <c r="L389">
        <f t="shared" si="118"/>
        <v>1</v>
      </c>
      <c r="M389">
        <f t="shared" si="119"/>
        <v>0</v>
      </c>
      <c r="N389">
        <f t="shared" si="120"/>
        <v>0</v>
      </c>
      <c r="O389" t="s">
        <v>38</v>
      </c>
      <c r="P389">
        <f t="shared" si="121"/>
        <v>1</v>
      </c>
      <c r="Q389">
        <f t="shared" si="122"/>
        <v>0</v>
      </c>
      <c r="R389">
        <f t="shared" si="123"/>
        <v>0</v>
      </c>
      <c r="S389">
        <f t="shared" si="124"/>
        <v>0</v>
      </c>
      <c r="T389">
        <f t="shared" si="125"/>
        <v>0</v>
      </c>
      <c r="U389">
        <f t="shared" si="126"/>
        <v>0</v>
      </c>
      <c r="V389">
        <f t="shared" si="127"/>
        <v>0</v>
      </c>
      <c r="W389" t="s">
        <v>39</v>
      </c>
      <c r="X389">
        <f t="shared" si="128"/>
        <v>1</v>
      </c>
      <c r="Y389">
        <f t="shared" si="129"/>
        <v>0</v>
      </c>
      <c r="Z389">
        <v>4</v>
      </c>
      <c r="AA389">
        <f t="shared" si="130"/>
        <v>0.75</v>
      </c>
      <c r="AB389" t="s">
        <v>46</v>
      </c>
      <c r="AC389">
        <f t="shared" si="131"/>
        <v>1</v>
      </c>
      <c r="AD389">
        <f t="shared" si="132"/>
        <v>0</v>
      </c>
      <c r="AE389" t="s">
        <v>50</v>
      </c>
      <c r="AF389">
        <f>IF(AE389="website",1,0)</f>
        <v>0</v>
      </c>
    </row>
    <row r="390" spans="1:32">
      <c r="A390" t="s">
        <v>970</v>
      </c>
      <c r="B390" t="s">
        <v>33</v>
      </c>
      <c r="C390" s="3">
        <f t="shared" si="114"/>
        <v>0</v>
      </c>
      <c r="D390">
        <f t="shared" si="115"/>
        <v>1</v>
      </c>
      <c r="E390" t="s">
        <v>708</v>
      </c>
      <c r="F390" t="s">
        <v>691</v>
      </c>
      <c r="G390" s="1">
        <v>20046</v>
      </c>
      <c r="H390" s="2">
        <f t="shared" ca="1" si="116"/>
        <v>71</v>
      </c>
      <c r="I390" s="2">
        <f t="shared" ca="1" si="117"/>
        <v>0.65714285714285714</v>
      </c>
      <c r="J390" t="s">
        <v>45</v>
      </c>
      <c r="K390" t="s">
        <v>37</v>
      </c>
      <c r="L390">
        <f t="shared" si="118"/>
        <v>1</v>
      </c>
      <c r="M390">
        <f t="shared" si="119"/>
        <v>0</v>
      </c>
      <c r="N390">
        <f t="shared" si="120"/>
        <v>0</v>
      </c>
      <c r="O390" t="s">
        <v>137</v>
      </c>
      <c r="P390">
        <f t="shared" si="121"/>
        <v>0</v>
      </c>
      <c r="Q390">
        <f t="shared" si="122"/>
        <v>0</v>
      </c>
      <c r="R390">
        <f t="shared" si="123"/>
        <v>0</v>
      </c>
      <c r="S390">
        <f t="shared" si="124"/>
        <v>0</v>
      </c>
      <c r="T390">
        <f t="shared" si="125"/>
        <v>0</v>
      </c>
      <c r="U390">
        <f t="shared" si="126"/>
        <v>0</v>
      </c>
      <c r="V390">
        <f t="shared" si="127"/>
        <v>0</v>
      </c>
      <c r="W390" t="s">
        <v>39</v>
      </c>
      <c r="X390">
        <f t="shared" si="128"/>
        <v>1</v>
      </c>
      <c r="Y390">
        <f t="shared" si="129"/>
        <v>0</v>
      </c>
      <c r="Z390">
        <v>3</v>
      </c>
      <c r="AA390">
        <f t="shared" si="130"/>
        <v>0.5</v>
      </c>
      <c r="AB390" t="s">
        <v>46</v>
      </c>
      <c r="AC390">
        <f t="shared" si="131"/>
        <v>0</v>
      </c>
      <c r="AD390">
        <f t="shared" si="132"/>
        <v>0</v>
      </c>
      <c r="AE390" t="s">
        <v>41</v>
      </c>
      <c r="AF390">
        <f>IF(AE390="website",1,0)</f>
        <v>1</v>
      </c>
    </row>
    <row r="391" spans="1:32">
      <c r="A391" t="s">
        <v>971</v>
      </c>
      <c r="B391" t="s">
        <v>33</v>
      </c>
      <c r="C391" s="3">
        <f t="shared" si="114"/>
        <v>0</v>
      </c>
      <c r="D391">
        <f t="shared" si="115"/>
        <v>1</v>
      </c>
      <c r="E391" t="s">
        <v>972</v>
      </c>
      <c r="F391" t="s">
        <v>928</v>
      </c>
      <c r="G391" s="1">
        <v>15454</v>
      </c>
      <c r="H391" s="2">
        <f t="shared" ca="1" si="116"/>
        <v>84</v>
      </c>
      <c r="I391" s="2">
        <f t="shared" ca="1" si="117"/>
        <v>0.84285714285714286</v>
      </c>
      <c r="J391" t="s">
        <v>45</v>
      </c>
      <c r="K391" t="s">
        <v>65</v>
      </c>
      <c r="L391">
        <f t="shared" si="118"/>
        <v>0</v>
      </c>
      <c r="M391">
        <f t="shared" si="119"/>
        <v>1</v>
      </c>
      <c r="N391">
        <f t="shared" si="120"/>
        <v>0</v>
      </c>
      <c r="O391" t="s">
        <v>66</v>
      </c>
      <c r="P391">
        <f t="shared" si="121"/>
        <v>0</v>
      </c>
      <c r="Q391">
        <f t="shared" si="122"/>
        <v>0</v>
      </c>
      <c r="R391">
        <f t="shared" si="123"/>
        <v>1</v>
      </c>
      <c r="S391">
        <f t="shared" si="124"/>
        <v>0</v>
      </c>
      <c r="T391">
        <f t="shared" si="125"/>
        <v>0</v>
      </c>
      <c r="U391">
        <f t="shared" si="126"/>
        <v>0</v>
      </c>
      <c r="V391">
        <f t="shared" si="127"/>
        <v>0</v>
      </c>
      <c r="W391" t="s">
        <v>58</v>
      </c>
      <c r="X391">
        <f t="shared" si="128"/>
        <v>0</v>
      </c>
      <c r="Y391">
        <f t="shared" si="129"/>
        <v>1</v>
      </c>
      <c r="Z391">
        <v>2</v>
      </c>
      <c r="AA391">
        <f t="shared" si="130"/>
        <v>0.25</v>
      </c>
      <c r="AB391" t="s">
        <v>46</v>
      </c>
      <c r="AC391">
        <f t="shared" si="131"/>
        <v>0</v>
      </c>
      <c r="AD391">
        <f t="shared" si="132"/>
        <v>0</v>
      </c>
      <c r="AE391" t="s">
        <v>41</v>
      </c>
      <c r="AF391">
        <f>IF(AE391="website",1,0)</f>
        <v>1</v>
      </c>
    </row>
    <row r="392" spans="1:32">
      <c r="A392" t="s">
        <v>973</v>
      </c>
      <c r="B392" t="s">
        <v>33</v>
      </c>
      <c r="C392" s="3">
        <f t="shared" si="114"/>
        <v>0</v>
      </c>
      <c r="D392">
        <f t="shared" si="115"/>
        <v>1</v>
      </c>
      <c r="E392" t="s">
        <v>804</v>
      </c>
      <c r="F392" t="s">
        <v>738</v>
      </c>
      <c r="G392" s="1">
        <v>24423</v>
      </c>
      <c r="H392" s="2">
        <f t="shared" ca="1" si="116"/>
        <v>59</v>
      </c>
      <c r="I392" s="2">
        <f t="shared" ca="1" si="117"/>
        <v>0.48571428571428571</v>
      </c>
      <c r="J392" t="s">
        <v>36</v>
      </c>
      <c r="K392" t="s">
        <v>37</v>
      </c>
      <c r="L392">
        <f t="shared" si="118"/>
        <v>1</v>
      </c>
      <c r="M392">
        <f t="shared" si="119"/>
        <v>0</v>
      </c>
      <c r="N392">
        <f t="shared" si="120"/>
        <v>0</v>
      </c>
      <c r="O392" t="s">
        <v>38</v>
      </c>
      <c r="P392">
        <f t="shared" si="121"/>
        <v>1</v>
      </c>
      <c r="Q392">
        <f t="shared" si="122"/>
        <v>0</v>
      </c>
      <c r="R392">
        <f t="shared" si="123"/>
        <v>0</v>
      </c>
      <c r="S392">
        <f t="shared" si="124"/>
        <v>0</v>
      </c>
      <c r="T392">
        <f t="shared" si="125"/>
        <v>0</v>
      </c>
      <c r="U392">
        <f t="shared" si="126"/>
        <v>0</v>
      </c>
      <c r="V392">
        <f t="shared" si="127"/>
        <v>0</v>
      </c>
      <c r="W392" t="s">
        <v>39</v>
      </c>
      <c r="X392">
        <f t="shared" si="128"/>
        <v>1</v>
      </c>
      <c r="Y392">
        <f t="shared" si="129"/>
        <v>0</v>
      </c>
      <c r="Z392">
        <v>5</v>
      </c>
      <c r="AA392">
        <f t="shared" si="130"/>
        <v>1</v>
      </c>
      <c r="AB392" t="s">
        <v>46</v>
      </c>
      <c r="AC392">
        <f t="shared" si="131"/>
        <v>1</v>
      </c>
      <c r="AD392">
        <f t="shared" si="132"/>
        <v>0</v>
      </c>
      <c r="AE392" t="s">
        <v>50</v>
      </c>
      <c r="AF392">
        <f>IF(AE392="website",1,0)</f>
        <v>0</v>
      </c>
    </row>
    <row r="393" spans="1:32">
      <c r="A393" t="s">
        <v>974</v>
      </c>
      <c r="B393" t="s">
        <v>33</v>
      </c>
      <c r="C393" s="3">
        <f t="shared" si="114"/>
        <v>0</v>
      </c>
      <c r="D393">
        <f t="shared" si="115"/>
        <v>1</v>
      </c>
      <c r="E393" t="s">
        <v>807</v>
      </c>
      <c r="F393" t="s">
        <v>613</v>
      </c>
      <c r="G393" s="1">
        <v>28290</v>
      </c>
      <c r="H393" s="2">
        <f t="shared" ca="1" si="116"/>
        <v>49</v>
      </c>
      <c r="I393" s="2">
        <f t="shared" ca="1" si="117"/>
        <v>0.34285714285714286</v>
      </c>
      <c r="J393" t="s">
        <v>36</v>
      </c>
      <c r="K393" t="s">
        <v>37</v>
      </c>
      <c r="L393">
        <f t="shared" si="118"/>
        <v>1</v>
      </c>
      <c r="M393">
        <f t="shared" si="119"/>
        <v>0</v>
      </c>
      <c r="N393">
        <f t="shared" si="120"/>
        <v>0</v>
      </c>
      <c r="O393" t="s">
        <v>97</v>
      </c>
      <c r="P393">
        <f t="shared" si="121"/>
        <v>0</v>
      </c>
      <c r="Q393">
        <f t="shared" si="122"/>
        <v>0</v>
      </c>
      <c r="R393">
        <f t="shared" si="123"/>
        <v>0</v>
      </c>
      <c r="S393">
        <f t="shared" si="124"/>
        <v>0</v>
      </c>
      <c r="T393">
        <f t="shared" si="125"/>
        <v>1</v>
      </c>
      <c r="U393">
        <f t="shared" si="126"/>
        <v>0</v>
      </c>
      <c r="V393">
        <f t="shared" si="127"/>
        <v>0</v>
      </c>
      <c r="W393" t="s">
        <v>39</v>
      </c>
      <c r="X393">
        <f t="shared" si="128"/>
        <v>1</v>
      </c>
      <c r="Y393">
        <f t="shared" si="129"/>
        <v>0</v>
      </c>
      <c r="Z393">
        <v>2</v>
      </c>
      <c r="AA393">
        <f t="shared" si="130"/>
        <v>0.25</v>
      </c>
      <c r="AB393" t="s">
        <v>40</v>
      </c>
      <c r="AC393">
        <f t="shared" si="131"/>
        <v>0</v>
      </c>
      <c r="AD393">
        <f t="shared" si="132"/>
        <v>0</v>
      </c>
      <c r="AE393" t="s">
        <v>41</v>
      </c>
      <c r="AF393">
        <f>IF(AE393="website",1,0)</f>
        <v>1</v>
      </c>
    </row>
    <row r="394" spans="1:32">
      <c r="A394" t="s">
        <v>975</v>
      </c>
      <c r="B394" t="s">
        <v>33</v>
      </c>
      <c r="C394" s="3">
        <f t="shared" si="114"/>
        <v>0</v>
      </c>
      <c r="D394">
        <f t="shared" si="115"/>
        <v>1</v>
      </c>
      <c r="E394" t="s">
        <v>976</v>
      </c>
      <c r="F394" t="s">
        <v>720</v>
      </c>
      <c r="G394" s="1">
        <v>32302</v>
      </c>
      <c r="H394" s="2">
        <f t="shared" ca="1" si="116"/>
        <v>38</v>
      </c>
      <c r="I394" s="2">
        <f t="shared" ca="1" si="117"/>
        <v>0.18571428571428572</v>
      </c>
      <c r="J394" t="s">
        <v>36</v>
      </c>
      <c r="K394" t="s">
        <v>37</v>
      </c>
      <c r="L394">
        <f t="shared" si="118"/>
        <v>1</v>
      </c>
      <c r="M394">
        <f t="shared" si="119"/>
        <v>0</v>
      </c>
      <c r="N394">
        <f t="shared" si="120"/>
        <v>0</v>
      </c>
      <c r="O394" t="s">
        <v>97</v>
      </c>
      <c r="P394">
        <f t="shared" si="121"/>
        <v>0</v>
      </c>
      <c r="Q394">
        <f t="shared" si="122"/>
        <v>0</v>
      </c>
      <c r="R394">
        <f t="shared" si="123"/>
        <v>0</v>
      </c>
      <c r="S394">
        <f t="shared" si="124"/>
        <v>0</v>
      </c>
      <c r="T394">
        <f t="shared" si="125"/>
        <v>1</v>
      </c>
      <c r="U394">
        <f t="shared" si="126"/>
        <v>0</v>
      </c>
      <c r="V394">
        <f t="shared" si="127"/>
        <v>0</v>
      </c>
      <c r="W394" t="s">
        <v>39</v>
      </c>
      <c r="X394">
        <f t="shared" si="128"/>
        <v>1</v>
      </c>
      <c r="Y394">
        <f t="shared" si="129"/>
        <v>0</v>
      </c>
      <c r="Z394">
        <v>4</v>
      </c>
      <c r="AA394">
        <f t="shared" si="130"/>
        <v>0.75</v>
      </c>
      <c r="AB394" t="s">
        <v>46</v>
      </c>
      <c r="AC394">
        <f t="shared" si="131"/>
        <v>1</v>
      </c>
      <c r="AD394">
        <f t="shared" si="132"/>
        <v>0</v>
      </c>
      <c r="AE394" t="s">
        <v>50</v>
      </c>
      <c r="AF394">
        <f>IF(AE394="website",1,0)</f>
        <v>0</v>
      </c>
    </row>
    <row r="395" spans="1:32">
      <c r="A395" t="s">
        <v>977</v>
      </c>
      <c r="B395" t="s">
        <v>33</v>
      </c>
      <c r="C395" s="3">
        <f t="shared" si="114"/>
        <v>0</v>
      </c>
      <c r="D395">
        <f t="shared" si="115"/>
        <v>1</v>
      </c>
      <c r="E395" t="s">
        <v>681</v>
      </c>
      <c r="F395" t="s">
        <v>674</v>
      </c>
      <c r="G395" s="1">
        <v>20052</v>
      </c>
      <c r="H395" s="2">
        <f t="shared" ca="1" si="116"/>
        <v>71</v>
      </c>
      <c r="I395" s="2">
        <f t="shared" ca="1" si="117"/>
        <v>0.65714285714285714</v>
      </c>
      <c r="J395" t="s">
        <v>36</v>
      </c>
      <c r="K395" t="s">
        <v>37</v>
      </c>
      <c r="L395">
        <f t="shared" si="118"/>
        <v>1</v>
      </c>
      <c r="M395">
        <f t="shared" si="119"/>
        <v>0</v>
      </c>
      <c r="N395">
        <f t="shared" si="120"/>
        <v>0</v>
      </c>
      <c r="O395" t="s">
        <v>137</v>
      </c>
      <c r="P395">
        <f t="shared" si="121"/>
        <v>0</v>
      </c>
      <c r="Q395">
        <f t="shared" si="122"/>
        <v>0</v>
      </c>
      <c r="R395">
        <f t="shared" si="123"/>
        <v>0</v>
      </c>
      <c r="S395">
        <f t="shared" si="124"/>
        <v>0</v>
      </c>
      <c r="T395">
        <f t="shared" si="125"/>
        <v>0</v>
      </c>
      <c r="U395">
        <f t="shared" si="126"/>
        <v>0</v>
      </c>
      <c r="V395">
        <f t="shared" si="127"/>
        <v>0</v>
      </c>
      <c r="W395" t="s">
        <v>39</v>
      </c>
      <c r="X395">
        <f t="shared" si="128"/>
        <v>1</v>
      </c>
      <c r="Y395">
        <f t="shared" si="129"/>
        <v>0</v>
      </c>
      <c r="Z395">
        <v>3</v>
      </c>
      <c r="AA395">
        <f t="shared" si="130"/>
        <v>0.5</v>
      </c>
      <c r="AB395" t="s">
        <v>40</v>
      </c>
      <c r="AC395">
        <f t="shared" si="131"/>
        <v>0</v>
      </c>
      <c r="AD395">
        <f t="shared" si="132"/>
        <v>0</v>
      </c>
      <c r="AE395" t="s">
        <v>41</v>
      </c>
      <c r="AF395">
        <f>IF(AE395="website",1,0)</f>
        <v>1</v>
      </c>
    </row>
    <row r="396" spans="1:32">
      <c r="A396" t="s">
        <v>978</v>
      </c>
      <c r="B396" t="s">
        <v>33</v>
      </c>
      <c r="C396" s="3">
        <f t="shared" si="114"/>
        <v>0</v>
      </c>
      <c r="D396">
        <f t="shared" si="115"/>
        <v>1</v>
      </c>
      <c r="E396" t="s">
        <v>679</v>
      </c>
      <c r="F396" t="s">
        <v>585</v>
      </c>
      <c r="G396" s="1">
        <v>21567</v>
      </c>
      <c r="H396" s="2">
        <f t="shared" ca="1" si="116"/>
        <v>67</v>
      </c>
      <c r="I396" s="2">
        <f t="shared" ca="1" si="117"/>
        <v>0.6</v>
      </c>
      <c r="J396" t="s">
        <v>36</v>
      </c>
      <c r="K396" t="s">
        <v>37</v>
      </c>
      <c r="L396">
        <f t="shared" si="118"/>
        <v>1</v>
      </c>
      <c r="M396">
        <f t="shared" si="119"/>
        <v>0</v>
      </c>
      <c r="N396">
        <f t="shared" si="120"/>
        <v>0</v>
      </c>
      <c r="O396" t="s">
        <v>600</v>
      </c>
      <c r="P396">
        <f t="shared" si="121"/>
        <v>0</v>
      </c>
      <c r="Q396">
        <f t="shared" si="122"/>
        <v>0</v>
      </c>
      <c r="R396">
        <f t="shared" si="123"/>
        <v>0</v>
      </c>
      <c r="S396">
        <f t="shared" si="124"/>
        <v>0</v>
      </c>
      <c r="T396">
        <f t="shared" si="125"/>
        <v>0</v>
      </c>
      <c r="U396">
        <f t="shared" si="126"/>
        <v>0</v>
      </c>
      <c r="V396">
        <f t="shared" si="127"/>
        <v>0</v>
      </c>
      <c r="W396" t="s">
        <v>39</v>
      </c>
      <c r="X396">
        <f t="shared" si="128"/>
        <v>1</v>
      </c>
      <c r="Y396">
        <f t="shared" si="129"/>
        <v>0</v>
      </c>
      <c r="Z396">
        <v>1</v>
      </c>
      <c r="AA396">
        <f t="shared" si="130"/>
        <v>0</v>
      </c>
      <c r="AB396" t="s">
        <v>46</v>
      </c>
      <c r="AC396">
        <f t="shared" si="131"/>
        <v>0</v>
      </c>
      <c r="AD396">
        <f t="shared" si="132"/>
        <v>0</v>
      </c>
      <c r="AE396" t="s">
        <v>41</v>
      </c>
      <c r="AF396">
        <f>IF(AE396="website",1,0)</f>
        <v>1</v>
      </c>
    </row>
    <row r="397" spans="1:32">
      <c r="A397" t="s">
        <v>979</v>
      </c>
      <c r="B397" t="s">
        <v>33</v>
      </c>
      <c r="C397" s="3">
        <f t="shared" si="114"/>
        <v>0</v>
      </c>
      <c r="D397">
        <f t="shared" si="115"/>
        <v>1</v>
      </c>
      <c r="E397" t="s">
        <v>527</v>
      </c>
      <c r="F397" t="s">
        <v>720</v>
      </c>
      <c r="G397" s="1">
        <v>36633</v>
      </c>
      <c r="H397" s="2">
        <f t="shared" ca="1" si="116"/>
        <v>26</v>
      </c>
      <c r="I397" s="2">
        <f t="shared" ca="1" si="117"/>
        <v>1.4285714285714285E-2</v>
      </c>
      <c r="J397" t="s">
        <v>45</v>
      </c>
      <c r="K397" t="s">
        <v>37</v>
      </c>
      <c r="L397">
        <f t="shared" si="118"/>
        <v>1</v>
      </c>
      <c r="M397">
        <f t="shared" si="119"/>
        <v>0</v>
      </c>
      <c r="N397">
        <f t="shared" si="120"/>
        <v>0</v>
      </c>
      <c r="O397" t="s">
        <v>124</v>
      </c>
      <c r="P397">
        <f t="shared" si="121"/>
        <v>0</v>
      </c>
      <c r="Q397">
        <f t="shared" si="122"/>
        <v>0</v>
      </c>
      <c r="R397">
        <f t="shared" si="123"/>
        <v>0</v>
      </c>
      <c r="S397">
        <f t="shared" si="124"/>
        <v>0</v>
      </c>
      <c r="T397">
        <f t="shared" si="125"/>
        <v>0</v>
      </c>
      <c r="U397">
        <f t="shared" si="126"/>
        <v>1</v>
      </c>
      <c r="V397">
        <f t="shared" si="127"/>
        <v>0</v>
      </c>
      <c r="W397" t="s">
        <v>39</v>
      </c>
      <c r="X397">
        <f t="shared" si="128"/>
        <v>1</v>
      </c>
      <c r="Y397">
        <f t="shared" si="129"/>
        <v>0</v>
      </c>
      <c r="Z397">
        <v>5</v>
      </c>
      <c r="AA397">
        <f t="shared" si="130"/>
        <v>1</v>
      </c>
      <c r="AB397" t="s">
        <v>46</v>
      </c>
      <c r="AC397">
        <f t="shared" si="131"/>
        <v>1</v>
      </c>
      <c r="AD397">
        <f t="shared" si="132"/>
        <v>0</v>
      </c>
      <c r="AE397" t="s">
        <v>50</v>
      </c>
      <c r="AF397">
        <f>IF(AE397="website",1,0)</f>
        <v>0</v>
      </c>
    </row>
    <row r="398" spans="1:32">
      <c r="A398" t="s">
        <v>980</v>
      </c>
      <c r="B398" t="s">
        <v>33</v>
      </c>
      <c r="C398" s="3">
        <f t="shared" si="114"/>
        <v>0</v>
      </c>
      <c r="D398">
        <f t="shared" si="115"/>
        <v>1</v>
      </c>
      <c r="E398" t="s">
        <v>578</v>
      </c>
      <c r="F398" t="s">
        <v>579</v>
      </c>
      <c r="G398" s="1">
        <v>36787</v>
      </c>
      <c r="H398" s="2">
        <f t="shared" ca="1" si="116"/>
        <v>26</v>
      </c>
      <c r="I398" s="2">
        <f t="shared" ca="1" si="117"/>
        <v>1.4285714285714285E-2</v>
      </c>
      <c r="J398" t="s">
        <v>36</v>
      </c>
      <c r="K398" t="s">
        <v>37</v>
      </c>
      <c r="L398">
        <f t="shared" si="118"/>
        <v>1</v>
      </c>
      <c r="M398">
        <f t="shared" si="119"/>
        <v>0</v>
      </c>
      <c r="N398">
        <f t="shared" si="120"/>
        <v>0</v>
      </c>
      <c r="O398" t="s">
        <v>38</v>
      </c>
      <c r="P398">
        <f t="shared" si="121"/>
        <v>1</v>
      </c>
      <c r="Q398">
        <f t="shared" si="122"/>
        <v>0</v>
      </c>
      <c r="R398">
        <f t="shared" si="123"/>
        <v>0</v>
      </c>
      <c r="S398">
        <f t="shared" si="124"/>
        <v>0</v>
      </c>
      <c r="T398">
        <f t="shared" si="125"/>
        <v>0</v>
      </c>
      <c r="U398">
        <f t="shared" si="126"/>
        <v>0</v>
      </c>
      <c r="V398">
        <f t="shared" si="127"/>
        <v>0</v>
      </c>
      <c r="W398" t="s">
        <v>39</v>
      </c>
      <c r="X398">
        <f t="shared" si="128"/>
        <v>1</v>
      </c>
      <c r="Y398">
        <f t="shared" si="129"/>
        <v>0</v>
      </c>
      <c r="Z398">
        <v>5</v>
      </c>
      <c r="AA398">
        <f t="shared" si="130"/>
        <v>1</v>
      </c>
      <c r="AB398" t="s">
        <v>46</v>
      </c>
      <c r="AC398">
        <f t="shared" si="131"/>
        <v>0</v>
      </c>
      <c r="AD398">
        <f t="shared" si="132"/>
        <v>0</v>
      </c>
      <c r="AE398" t="s">
        <v>41</v>
      </c>
      <c r="AF398">
        <f>IF(AE398="website",1,0)</f>
        <v>1</v>
      </c>
    </row>
    <row r="399" spans="1:32">
      <c r="A399" t="s">
        <v>981</v>
      </c>
      <c r="B399" t="s">
        <v>33</v>
      </c>
      <c r="C399" s="3">
        <f t="shared" si="114"/>
        <v>0</v>
      </c>
      <c r="D399">
        <f t="shared" si="115"/>
        <v>1</v>
      </c>
      <c r="E399" t="s">
        <v>982</v>
      </c>
      <c r="F399" t="s">
        <v>576</v>
      </c>
      <c r="G399" s="1">
        <v>17889</v>
      </c>
      <c r="H399" s="2">
        <f t="shared" ca="1" si="116"/>
        <v>77</v>
      </c>
      <c r="I399" s="2">
        <f t="shared" ca="1" si="117"/>
        <v>0.74285714285714288</v>
      </c>
      <c r="J399" t="s">
        <v>36</v>
      </c>
      <c r="K399" t="s">
        <v>37</v>
      </c>
      <c r="L399">
        <f t="shared" si="118"/>
        <v>1</v>
      </c>
      <c r="M399">
        <f t="shared" si="119"/>
        <v>0</v>
      </c>
      <c r="N399">
        <f t="shared" si="120"/>
        <v>0</v>
      </c>
      <c r="O399" t="s">
        <v>592</v>
      </c>
      <c r="P399">
        <f t="shared" si="121"/>
        <v>0</v>
      </c>
      <c r="Q399">
        <f t="shared" si="122"/>
        <v>0</v>
      </c>
      <c r="R399">
        <f t="shared" si="123"/>
        <v>0</v>
      </c>
      <c r="S399">
        <f t="shared" si="124"/>
        <v>0</v>
      </c>
      <c r="T399">
        <f t="shared" si="125"/>
        <v>0</v>
      </c>
      <c r="U399">
        <f t="shared" si="126"/>
        <v>0</v>
      </c>
      <c r="V399">
        <f t="shared" si="127"/>
        <v>0</v>
      </c>
      <c r="W399" t="s">
        <v>39</v>
      </c>
      <c r="X399">
        <f t="shared" si="128"/>
        <v>1</v>
      </c>
      <c r="Y399">
        <f t="shared" si="129"/>
        <v>0</v>
      </c>
      <c r="Z399">
        <v>1</v>
      </c>
      <c r="AA399">
        <f t="shared" si="130"/>
        <v>0</v>
      </c>
      <c r="AB399" t="s">
        <v>40</v>
      </c>
      <c r="AC399">
        <f t="shared" si="131"/>
        <v>1</v>
      </c>
      <c r="AD399">
        <f t="shared" si="132"/>
        <v>0</v>
      </c>
      <c r="AE399" t="s">
        <v>50</v>
      </c>
      <c r="AF399">
        <f>IF(AE399="website",1,0)</f>
        <v>0</v>
      </c>
    </row>
    <row r="400" spans="1:32">
      <c r="A400" t="s">
        <v>983</v>
      </c>
      <c r="B400" t="s">
        <v>33</v>
      </c>
      <c r="C400" s="3">
        <f t="shared" si="114"/>
        <v>0</v>
      </c>
      <c r="D400">
        <f t="shared" si="115"/>
        <v>1</v>
      </c>
      <c r="E400" t="s">
        <v>677</v>
      </c>
      <c r="F400" t="s">
        <v>607</v>
      </c>
      <c r="G400" s="1">
        <v>30842</v>
      </c>
      <c r="H400" s="2">
        <f t="shared" ca="1" si="116"/>
        <v>42</v>
      </c>
      <c r="I400" s="2">
        <f t="shared" ca="1" si="117"/>
        <v>0.24285714285714285</v>
      </c>
      <c r="J400" t="s">
        <v>45</v>
      </c>
      <c r="K400" t="s">
        <v>37</v>
      </c>
      <c r="L400">
        <f t="shared" si="118"/>
        <v>1</v>
      </c>
      <c r="M400">
        <f t="shared" si="119"/>
        <v>0</v>
      </c>
      <c r="N400">
        <f t="shared" si="120"/>
        <v>0</v>
      </c>
      <c r="O400" t="s">
        <v>38</v>
      </c>
      <c r="P400">
        <f t="shared" si="121"/>
        <v>1</v>
      </c>
      <c r="Q400">
        <f t="shared" si="122"/>
        <v>0</v>
      </c>
      <c r="R400">
        <f t="shared" si="123"/>
        <v>0</v>
      </c>
      <c r="S400">
        <f t="shared" si="124"/>
        <v>0</v>
      </c>
      <c r="T400">
        <f t="shared" si="125"/>
        <v>0</v>
      </c>
      <c r="U400">
        <f t="shared" si="126"/>
        <v>0</v>
      </c>
      <c r="V400">
        <f t="shared" si="127"/>
        <v>0</v>
      </c>
      <c r="W400" t="s">
        <v>39</v>
      </c>
      <c r="X400">
        <f t="shared" si="128"/>
        <v>1</v>
      </c>
      <c r="Y400">
        <f t="shared" si="129"/>
        <v>0</v>
      </c>
      <c r="Z400">
        <v>4</v>
      </c>
      <c r="AA400">
        <f t="shared" si="130"/>
        <v>0.75</v>
      </c>
      <c r="AB400" t="s">
        <v>46</v>
      </c>
      <c r="AC400">
        <f t="shared" si="131"/>
        <v>1</v>
      </c>
      <c r="AD400">
        <f t="shared" si="132"/>
        <v>0</v>
      </c>
      <c r="AE400" t="s">
        <v>50</v>
      </c>
      <c r="AF400">
        <f>IF(AE400="website",1,0)</f>
        <v>0</v>
      </c>
    </row>
    <row r="401" spans="1:32">
      <c r="A401" t="s">
        <v>984</v>
      </c>
      <c r="B401" t="s">
        <v>33</v>
      </c>
      <c r="C401" s="3">
        <f t="shared" si="114"/>
        <v>0</v>
      </c>
      <c r="D401">
        <f t="shared" si="115"/>
        <v>1</v>
      </c>
      <c r="E401" t="s">
        <v>575</v>
      </c>
      <c r="F401" t="s">
        <v>366</v>
      </c>
      <c r="G401" s="1">
        <v>21879</v>
      </c>
      <c r="H401" s="2">
        <f t="shared" ca="1" si="116"/>
        <v>66</v>
      </c>
      <c r="I401" s="2">
        <f t="shared" ca="1" si="117"/>
        <v>0.58571428571428574</v>
      </c>
      <c r="J401" t="s">
        <v>45</v>
      </c>
      <c r="K401" t="s">
        <v>37</v>
      </c>
      <c r="L401">
        <f t="shared" si="118"/>
        <v>1</v>
      </c>
      <c r="M401">
        <f t="shared" si="119"/>
        <v>0</v>
      </c>
      <c r="N401">
        <f t="shared" si="120"/>
        <v>0</v>
      </c>
      <c r="O401" t="s">
        <v>38</v>
      </c>
      <c r="P401">
        <f t="shared" si="121"/>
        <v>1</v>
      </c>
      <c r="Q401">
        <f t="shared" si="122"/>
        <v>0</v>
      </c>
      <c r="R401">
        <f t="shared" si="123"/>
        <v>0</v>
      </c>
      <c r="S401">
        <f t="shared" si="124"/>
        <v>0</v>
      </c>
      <c r="T401">
        <f t="shared" si="125"/>
        <v>0</v>
      </c>
      <c r="U401">
        <f t="shared" si="126"/>
        <v>0</v>
      </c>
      <c r="V401">
        <f t="shared" si="127"/>
        <v>0</v>
      </c>
      <c r="W401" t="s">
        <v>39</v>
      </c>
      <c r="X401">
        <f t="shared" si="128"/>
        <v>1</v>
      </c>
      <c r="Y401">
        <f t="shared" si="129"/>
        <v>0</v>
      </c>
      <c r="Z401">
        <v>4</v>
      </c>
      <c r="AA401">
        <f t="shared" si="130"/>
        <v>0.75</v>
      </c>
      <c r="AB401" t="s">
        <v>46</v>
      </c>
      <c r="AC401">
        <f t="shared" si="131"/>
        <v>1</v>
      </c>
      <c r="AD401">
        <f t="shared" si="132"/>
        <v>0</v>
      </c>
      <c r="AE401" t="s">
        <v>50</v>
      </c>
      <c r="AF401">
        <f>IF(AE401="website",1,0)</f>
        <v>0</v>
      </c>
    </row>
    <row r="402" spans="1:32">
      <c r="A402" t="s">
        <v>985</v>
      </c>
      <c r="B402" t="s">
        <v>33</v>
      </c>
      <c r="C402" s="3">
        <f t="shared" si="114"/>
        <v>0</v>
      </c>
      <c r="D402">
        <f t="shared" si="115"/>
        <v>1</v>
      </c>
      <c r="E402" t="s">
        <v>986</v>
      </c>
      <c r="F402" t="s">
        <v>366</v>
      </c>
      <c r="G402" s="1">
        <v>25405</v>
      </c>
      <c r="H402" s="2">
        <f t="shared" ca="1" si="116"/>
        <v>57</v>
      </c>
      <c r="I402" s="2">
        <f t="shared" ca="1" si="117"/>
        <v>0.45714285714285713</v>
      </c>
      <c r="J402" t="s">
        <v>45</v>
      </c>
      <c r="K402" t="s">
        <v>37</v>
      </c>
      <c r="L402">
        <f t="shared" si="118"/>
        <v>1</v>
      </c>
      <c r="M402">
        <f t="shared" si="119"/>
        <v>0</v>
      </c>
      <c r="N402">
        <f t="shared" si="120"/>
        <v>0</v>
      </c>
      <c r="O402" t="s">
        <v>97</v>
      </c>
      <c r="P402">
        <f t="shared" si="121"/>
        <v>0</v>
      </c>
      <c r="Q402">
        <f t="shared" si="122"/>
        <v>0</v>
      </c>
      <c r="R402">
        <f t="shared" si="123"/>
        <v>0</v>
      </c>
      <c r="S402">
        <f t="shared" si="124"/>
        <v>0</v>
      </c>
      <c r="T402">
        <f t="shared" si="125"/>
        <v>1</v>
      </c>
      <c r="U402">
        <f t="shared" si="126"/>
        <v>0</v>
      </c>
      <c r="V402">
        <f t="shared" si="127"/>
        <v>0</v>
      </c>
      <c r="W402" t="s">
        <v>39</v>
      </c>
      <c r="X402">
        <f t="shared" si="128"/>
        <v>1</v>
      </c>
      <c r="Y402">
        <f t="shared" si="129"/>
        <v>0</v>
      </c>
      <c r="Z402">
        <v>5</v>
      </c>
      <c r="AA402">
        <f t="shared" si="130"/>
        <v>1</v>
      </c>
      <c r="AB402" t="s">
        <v>40</v>
      </c>
      <c r="AC402">
        <f t="shared" si="131"/>
        <v>0</v>
      </c>
      <c r="AD402">
        <f t="shared" si="132"/>
        <v>0</v>
      </c>
      <c r="AE402" t="s">
        <v>41</v>
      </c>
      <c r="AF402">
        <f>IF(AE402="website",1,0)</f>
        <v>1</v>
      </c>
    </row>
    <row r="403" spans="1:32">
      <c r="A403" t="s">
        <v>987</v>
      </c>
      <c r="B403" t="s">
        <v>33</v>
      </c>
      <c r="C403" s="3">
        <f t="shared" si="114"/>
        <v>0</v>
      </c>
      <c r="D403">
        <f t="shared" si="115"/>
        <v>1</v>
      </c>
      <c r="E403" t="s">
        <v>988</v>
      </c>
      <c r="F403" t="s">
        <v>714</v>
      </c>
      <c r="G403" s="1">
        <v>15029</v>
      </c>
      <c r="H403" s="2">
        <f t="shared" ca="1" si="116"/>
        <v>85</v>
      </c>
      <c r="I403" s="2">
        <f t="shared" ca="1" si="117"/>
        <v>0.8571428571428571</v>
      </c>
      <c r="J403" t="s">
        <v>36</v>
      </c>
      <c r="K403" t="s">
        <v>37</v>
      </c>
      <c r="L403">
        <f t="shared" si="118"/>
        <v>1</v>
      </c>
      <c r="M403">
        <f t="shared" si="119"/>
        <v>0</v>
      </c>
      <c r="N403">
        <f t="shared" si="120"/>
        <v>0</v>
      </c>
      <c r="O403" t="s">
        <v>785</v>
      </c>
      <c r="P403">
        <f t="shared" si="121"/>
        <v>0</v>
      </c>
      <c r="Q403">
        <f t="shared" si="122"/>
        <v>0</v>
      </c>
      <c r="R403">
        <f t="shared" si="123"/>
        <v>0</v>
      </c>
      <c r="S403">
        <f t="shared" si="124"/>
        <v>0</v>
      </c>
      <c r="T403">
        <f t="shared" si="125"/>
        <v>0</v>
      </c>
      <c r="U403">
        <f t="shared" si="126"/>
        <v>0</v>
      </c>
      <c r="V403">
        <f t="shared" si="127"/>
        <v>0</v>
      </c>
      <c r="W403" t="s">
        <v>39</v>
      </c>
      <c r="X403">
        <f t="shared" si="128"/>
        <v>1</v>
      </c>
      <c r="Y403">
        <f t="shared" si="129"/>
        <v>0</v>
      </c>
      <c r="Z403">
        <v>5</v>
      </c>
      <c r="AA403">
        <f t="shared" si="130"/>
        <v>1</v>
      </c>
      <c r="AB403" t="s">
        <v>46</v>
      </c>
      <c r="AC403">
        <f t="shared" si="131"/>
        <v>0</v>
      </c>
      <c r="AD403">
        <f t="shared" si="132"/>
        <v>0</v>
      </c>
      <c r="AE403" t="s">
        <v>41</v>
      </c>
      <c r="AF403">
        <f>IF(AE403="website",1,0)</f>
        <v>1</v>
      </c>
    </row>
    <row r="404" spans="1:32">
      <c r="A404" t="s">
        <v>989</v>
      </c>
      <c r="B404" t="s">
        <v>33</v>
      </c>
      <c r="C404" s="3">
        <f t="shared" si="114"/>
        <v>0</v>
      </c>
      <c r="D404">
        <f t="shared" si="115"/>
        <v>1</v>
      </c>
      <c r="E404" t="s">
        <v>982</v>
      </c>
      <c r="F404" t="s">
        <v>613</v>
      </c>
      <c r="G404" s="1">
        <v>23095</v>
      </c>
      <c r="H404" s="2">
        <f t="shared" ca="1" si="116"/>
        <v>63</v>
      </c>
      <c r="I404" s="2">
        <f t="shared" ca="1" si="117"/>
        <v>0.54285714285714282</v>
      </c>
      <c r="J404" t="s">
        <v>36</v>
      </c>
      <c r="K404" t="s">
        <v>819</v>
      </c>
      <c r="L404">
        <f t="shared" si="118"/>
        <v>0</v>
      </c>
      <c r="M404">
        <f t="shared" si="119"/>
        <v>0</v>
      </c>
      <c r="N404">
        <f t="shared" si="120"/>
        <v>0</v>
      </c>
      <c r="O404" t="s">
        <v>820</v>
      </c>
      <c r="P404">
        <f t="shared" si="121"/>
        <v>0</v>
      </c>
      <c r="Q404">
        <f t="shared" si="122"/>
        <v>0</v>
      </c>
      <c r="R404">
        <f t="shared" si="123"/>
        <v>0</v>
      </c>
      <c r="S404">
        <f t="shared" si="124"/>
        <v>0</v>
      </c>
      <c r="T404">
        <f t="shared" si="125"/>
        <v>0</v>
      </c>
      <c r="U404">
        <f t="shared" si="126"/>
        <v>0</v>
      </c>
      <c r="V404">
        <f t="shared" si="127"/>
        <v>0</v>
      </c>
      <c r="W404" t="s">
        <v>39</v>
      </c>
      <c r="X404">
        <f t="shared" si="128"/>
        <v>1</v>
      </c>
      <c r="Y404">
        <f t="shared" si="129"/>
        <v>0</v>
      </c>
      <c r="Z404">
        <v>1</v>
      </c>
      <c r="AA404">
        <f t="shared" si="130"/>
        <v>0</v>
      </c>
      <c r="AB404" t="s">
        <v>46</v>
      </c>
      <c r="AC404">
        <f t="shared" si="131"/>
        <v>0</v>
      </c>
      <c r="AD404">
        <f t="shared" si="132"/>
        <v>0</v>
      </c>
      <c r="AE404" t="s">
        <v>41</v>
      </c>
      <c r="AF404">
        <f>IF(AE404="website",1,0)</f>
        <v>1</v>
      </c>
    </row>
    <row r="405" spans="1:32">
      <c r="A405" t="s">
        <v>990</v>
      </c>
      <c r="B405" t="s">
        <v>33</v>
      </c>
      <c r="C405" s="3">
        <f t="shared" si="114"/>
        <v>0</v>
      </c>
      <c r="D405">
        <f t="shared" si="115"/>
        <v>1</v>
      </c>
      <c r="E405" t="s">
        <v>759</v>
      </c>
      <c r="F405" t="s">
        <v>876</v>
      </c>
      <c r="G405" s="1">
        <v>28099</v>
      </c>
      <c r="H405" s="2">
        <f t="shared" ca="1" si="116"/>
        <v>49</v>
      </c>
      <c r="I405" s="2">
        <f t="shared" ca="1" si="117"/>
        <v>0.34285714285714286</v>
      </c>
      <c r="J405" t="s">
        <v>36</v>
      </c>
      <c r="K405" t="s">
        <v>626</v>
      </c>
      <c r="L405">
        <f t="shared" si="118"/>
        <v>0</v>
      </c>
      <c r="M405">
        <f t="shared" si="119"/>
        <v>0</v>
      </c>
      <c r="N405">
        <f t="shared" si="120"/>
        <v>0</v>
      </c>
      <c r="O405" t="s">
        <v>740</v>
      </c>
      <c r="P405">
        <f t="shared" si="121"/>
        <v>0</v>
      </c>
      <c r="Q405">
        <f t="shared" si="122"/>
        <v>0</v>
      </c>
      <c r="R405">
        <f t="shared" si="123"/>
        <v>0</v>
      </c>
      <c r="S405">
        <f t="shared" si="124"/>
        <v>0</v>
      </c>
      <c r="T405">
        <f t="shared" si="125"/>
        <v>0</v>
      </c>
      <c r="U405">
        <f t="shared" si="126"/>
        <v>0</v>
      </c>
      <c r="V405">
        <f t="shared" si="127"/>
        <v>0</v>
      </c>
      <c r="W405" t="s">
        <v>58</v>
      </c>
      <c r="X405">
        <f t="shared" si="128"/>
        <v>0</v>
      </c>
      <c r="Y405">
        <f t="shared" si="129"/>
        <v>1</v>
      </c>
      <c r="Z405">
        <v>1</v>
      </c>
      <c r="AA405">
        <f t="shared" si="130"/>
        <v>0</v>
      </c>
      <c r="AB405" t="s">
        <v>46</v>
      </c>
      <c r="AC405">
        <f t="shared" si="131"/>
        <v>0</v>
      </c>
      <c r="AD405">
        <f t="shared" si="132"/>
        <v>1</v>
      </c>
      <c r="AE405" t="s">
        <v>90</v>
      </c>
      <c r="AF405">
        <f>IF(AE405="website",1,0)</f>
        <v>0</v>
      </c>
    </row>
    <row r="406" spans="1:32">
      <c r="A406" t="s">
        <v>991</v>
      </c>
      <c r="B406" t="s">
        <v>55</v>
      </c>
      <c r="C406" s="3">
        <f t="shared" si="114"/>
        <v>1</v>
      </c>
      <c r="D406">
        <f t="shared" si="115"/>
        <v>0</v>
      </c>
      <c r="E406" t="s">
        <v>992</v>
      </c>
      <c r="F406" t="s">
        <v>57</v>
      </c>
      <c r="G406" s="1">
        <v>25562</v>
      </c>
      <c r="H406" s="2">
        <f t="shared" ca="1" si="116"/>
        <v>56</v>
      </c>
      <c r="I406" s="2">
        <f t="shared" ca="1" si="117"/>
        <v>0.44285714285714284</v>
      </c>
      <c r="J406" t="s">
        <v>45</v>
      </c>
      <c r="K406" t="s">
        <v>37</v>
      </c>
      <c r="L406">
        <f t="shared" si="118"/>
        <v>1</v>
      </c>
      <c r="M406">
        <f t="shared" si="119"/>
        <v>0</v>
      </c>
      <c r="N406">
        <f t="shared" si="120"/>
        <v>0</v>
      </c>
      <c r="O406" t="s">
        <v>137</v>
      </c>
      <c r="P406">
        <f t="shared" si="121"/>
        <v>0</v>
      </c>
      <c r="Q406">
        <f t="shared" si="122"/>
        <v>0</v>
      </c>
      <c r="R406">
        <f t="shared" si="123"/>
        <v>0</v>
      </c>
      <c r="S406">
        <f t="shared" si="124"/>
        <v>0</v>
      </c>
      <c r="T406">
        <f t="shared" si="125"/>
        <v>0</v>
      </c>
      <c r="U406">
        <f t="shared" si="126"/>
        <v>0</v>
      </c>
      <c r="V406">
        <f t="shared" si="127"/>
        <v>0</v>
      </c>
      <c r="W406" t="s">
        <v>39</v>
      </c>
      <c r="X406">
        <f t="shared" si="128"/>
        <v>1</v>
      </c>
      <c r="Y406">
        <f t="shared" si="129"/>
        <v>0</v>
      </c>
      <c r="Z406">
        <v>1</v>
      </c>
      <c r="AA406">
        <f t="shared" si="130"/>
        <v>0</v>
      </c>
      <c r="AB406" t="s">
        <v>46</v>
      </c>
      <c r="AC406">
        <f t="shared" si="131"/>
        <v>1</v>
      </c>
      <c r="AD406">
        <f t="shared" si="132"/>
        <v>0</v>
      </c>
      <c r="AE406" t="s">
        <v>50</v>
      </c>
      <c r="AF406">
        <f>IF(AE406="website",1,0)</f>
        <v>0</v>
      </c>
    </row>
    <row r="407" spans="1:32">
      <c r="A407" t="s">
        <v>993</v>
      </c>
      <c r="B407" t="s">
        <v>33</v>
      </c>
      <c r="C407" s="3">
        <f t="shared" si="114"/>
        <v>0</v>
      </c>
      <c r="D407">
        <f t="shared" si="115"/>
        <v>1</v>
      </c>
      <c r="E407" t="s">
        <v>644</v>
      </c>
      <c r="F407" t="s">
        <v>247</v>
      </c>
      <c r="G407" s="1">
        <v>22062</v>
      </c>
      <c r="H407" s="2">
        <f t="shared" ca="1" si="116"/>
        <v>66</v>
      </c>
      <c r="I407" s="2">
        <f t="shared" ca="1" si="117"/>
        <v>0.58571428571428574</v>
      </c>
      <c r="J407" t="s">
        <v>36</v>
      </c>
      <c r="K407" t="s">
        <v>37</v>
      </c>
      <c r="L407">
        <f t="shared" si="118"/>
        <v>1</v>
      </c>
      <c r="M407">
        <f t="shared" si="119"/>
        <v>0</v>
      </c>
      <c r="N407">
        <f t="shared" si="120"/>
        <v>0</v>
      </c>
      <c r="O407" t="s">
        <v>137</v>
      </c>
      <c r="P407">
        <f t="shared" si="121"/>
        <v>0</v>
      </c>
      <c r="Q407">
        <f t="shared" si="122"/>
        <v>0</v>
      </c>
      <c r="R407">
        <f t="shared" si="123"/>
        <v>0</v>
      </c>
      <c r="S407">
        <f t="shared" si="124"/>
        <v>0</v>
      </c>
      <c r="T407">
        <f t="shared" si="125"/>
        <v>0</v>
      </c>
      <c r="U407">
        <f t="shared" si="126"/>
        <v>0</v>
      </c>
      <c r="V407">
        <f t="shared" si="127"/>
        <v>0</v>
      </c>
      <c r="W407" t="s">
        <v>39</v>
      </c>
      <c r="X407">
        <f t="shared" si="128"/>
        <v>1</v>
      </c>
      <c r="Y407">
        <f t="shared" si="129"/>
        <v>0</v>
      </c>
      <c r="Z407">
        <v>3</v>
      </c>
      <c r="AA407">
        <f t="shared" si="130"/>
        <v>0.5</v>
      </c>
      <c r="AB407" t="s">
        <v>46</v>
      </c>
      <c r="AC407">
        <f t="shared" si="131"/>
        <v>0</v>
      </c>
      <c r="AD407">
        <f t="shared" si="132"/>
        <v>0</v>
      </c>
      <c r="AE407" t="s">
        <v>41</v>
      </c>
      <c r="AF407">
        <f>IF(AE407="website",1,0)</f>
        <v>1</v>
      </c>
    </row>
    <row r="408" spans="1:32">
      <c r="A408" t="s">
        <v>994</v>
      </c>
      <c r="B408" t="s">
        <v>33</v>
      </c>
      <c r="C408" s="3">
        <f t="shared" si="114"/>
        <v>0</v>
      </c>
      <c r="D408">
        <f t="shared" si="115"/>
        <v>1</v>
      </c>
      <c r="E408" t="s">
        <v>845</v>
      </c>
      <c r="F408" t="s">
        <v>757</v>
      </c>
      <c r="G408" s="1">
        <v>30064</v>
      </c>
      <c r="H408" s="2">
        <f t="shared" ca="1" si="116"/>
        <v>44</v>
      </c>
      <c r="I408" s="2">
        <f t="shared" ca="1" si="117"/>
        <v>0.27142857142857141</v>
      </c>
      <c r="J408" t="s">
        <v>36</v>
      </c>
      <c r="K408" t="s">
        <v>37</v>
      </c>
      <c r="L408">
        <f t="shared" si="118"/>
        <v>1</v>
      </c>
      <c r="M408">
        <f t="shared" si="119"/>
        <v>0</v>
      </c>
      <c r="N408">
        <f t="shared" si="120"/>
        <v>0</v>
      </c>
      <c r="O408" t="s">
        <v>38</v>
      </c>
      <c r="P408">
        <f t="shared" si="121"/>
        <v>1</v>
      </c>
      <c r="Q408">
        <f t="shared" si="122"/>
        <v>0</v>
      </c>
      <c r="R408">
        <f t="shared" si="123"/>
        <v>0</v>
      </c>
      <c r="S408">
        <f t="shared" si="124"/>
        <v>0</v>
      </c>
      <c r="T408">
        <f t="shared" si="125"/>
        <v>0</v>
      </c>
      <c r="U408">
        <f t="shared" si="126"/>
        <v>0</v>
      </c>
      <c r="V408">
        <f t="shared" si="127"/>
        <v>0</v>
      </c>
      <c r="W408" t="s">
        <v>39</v>
      </c>
      <c r="X408">
        <f t="shared" si="128"/>
        <v>1</v>
      </c>
      <c r="Y408">
        <f t="shared" si="129"/>
        <v>0</v>
      </c>
      <c r="Z408">
        <v>2</v>
      </c>
      <c r="AA408">
        <f t="shared" si="130"/>
        <v>0.25</v>
      </c>
      <c r="AB408" t="s">
        <v>46</v>
      </c>
      <c r="AC408">
        <f t="shared" si="131"/>
        <v>0</v>
      </c>
      <c r="AD408">
        <f t="shared" si="132"/>
        <v>1</v>
      </c>
      <c r="AE408" t="s">
        <v>90</v>
      </c>
      <c r="AF408">
        <f>IF(AE408="website",1,0)</f>
        <v>0</v>
      </c>
    </row>
    <row r="409" spans="1:32">
      <c r="A409" t="s">
        <v>995</v>
      </c>
      <c r="B409" t="s">
        <v>33</v>
      </c>
      <c r="C409" s="3">
        <f t="shared" si="114"/>
        <v>0</v>
      </c>
      <c r="D409">
        <f t="shared" si="115"/>
        <v>1</v>
      </c>
      <c r="E409" t="s">
        <v>240</v>
      </c>
      <c r="F409" t="s">
        <v>709</v>
      </c>
      <c r="G409" s="1">
        <v>28159</v>
      </c>
      <c r="H409" s="2">
        <f t="shared" ca="1" si="116"/>
        <v>49</v>
      </c>
      <c r="I409" s="2">
        <f t="shared" ca="1" si="117"/>
        <v>0.34285714285714286</v>
      </c>
      <c r="J409" t="s">
        <v>45</v>
      </c>
      <c r="K409" t="s">
        <v>37</v>
      </c>
      <c r="L409">
        <f t="shared" si="118"/>
        <v>1</v>
      </c>
      <c r="M409">
        <f t="shared" si="119"/>
        <v>0</v>
      </c>
      <c r="N409">
        <f t="shared" si="120"/>
        <v>0</v>
      </c>
      <c r="O409" t="s">
        <v>38</v>
      </c>
      <c r="P409">
        <f t="shared" si="121"/>
        <v>1</v>
      </c>
      <c r="Q409">
        <f t="shared" si="122"/>
        <v>0</v>
      </c>
      <c r="R409">
        <f t="shared" si="123"/>
        <v>0</v>
      </c>
      <c r="S409">
        <f t="shared" si="124"/>
        <v>0</v>
      </c>
      <c r="T409">
        <f t="shared" si="125"/>
        <v>0</v>
      </c>
      <c r="U409">
        <f t="shared" si="126"/>
        <v>0</v>
      </c>
      <c r="V409">
        <f t="shared" si="127"/>
        <v>0</v>
      </c>
      <c r="W409" t="s">
        <v>39</v>
      </c>
      <c r="X409">
        <f t="shared" si="128"/>
        <v>1</v>
      </c>
      <c r="Y409">
        <f t="shared" si="129"/>
        <v>0</v>
      </c>
      <c r="Z409">
        <v>3</v>
      </c>
      <c r="AA409">
        <f t="shared" si="130"/>
        <v>0.5</v>
      </c>
      <c r="AB409" t="s">
        <v>46</v>
      </c>
      <c r="AC409">
        <f t="shared" si="131"/>
        <v>0</v>
      </c>
      <c r="AD409">
        <f t="shared" si="132"/>
        <v>0</v>
      </c>
      <c r="AE409" t="s">
        <v>41</v>
      </c>
      <c r="AF409">
        <f>IF(AE409="website",1,0)</f>
        <v>1</v>
      </c>
    </row>
    <row r="410" spans="1:32">
      <c r="A410" t="s">
        <v>996</v>
      </c>
      <c r="B410" t="s">
        <v>33</v>
      </c>
      <c r="C410" s="3">
        <f t="shared" si="114"/>
        <v>0</v>
      </c>
      <c r="D410">
        <f t="shared" si="115"/>
        <v>1</v>
      </c>
      <c r="E410" t="s">
        <v>997</v>
      </c>
      <c r="F410" t="s">
        <v>641</v>
      </c>
      <c r="G410" s="1">
        <v>26560</v>
      </c>
      <c r="H410" s="2">
        <f t="shared" ca="1" si="116"/>
        <v>54</v>
      </c>
      <c r="I410" s="2">
        <f t="shared" ca="1" si="117"/>
        <v>0.41428571428571431</v>
      </c>
      <c r="J410" t="s">
        <v>45</v>
      </c>
      <c r="K410" t="s">
        <v>37</v>
      </c>
      <c r="L410">
        <f t="shared" si="118"/>
        <v>1</v>
      </c>
      <c r="M410">
        <f t="shared" si="119"/>
        <v>0</v>
      </c>
      <c r="N410">
        <f t="shared" si="120"/>
        <v>0</v>
      </c>
      <c r="O410" t="s">
        <v>124</v>
      </c>
      <c r="P410">
        <f t="shared" si="121"/>
        <v>0</v>
      </c>
      <c r="Q410">
        <f t="shared" si="122"/>
        <v>0</v>
      </c>
      <c r="R410">
        <f t="shared" si="123"/>
        <v>0</v>
      </c>
      <c r="S410">
        <f t="shared" si="124"/>
        <v>0</v>
      </c>
      <c r="T410">
        <f t="shared" si="125"/>
        <v>0</v>
      </c>
      <c r="U410">
        <f t="shared" si="126"/>
        <v>1</v>
      </c>
      <c r="V410">
        <f t="shared" si="127"/>
        <v>0</v>
      </c>
      <c r="W410" t="s">
        <v>39</v>
      </c>
      <c r="X410">
        <f t="shared" si="128"/>
        <v>1</v>
      </c>
      <c r="Y410">
        <f t="shared" si="129"/>
        <v>0</v>
      </c>
      <c r="Z410">
        <v>1</v>
      </c>
      <c r="AA410">
        <f t="shared" si="130"/>
        <v>0</v>
      </c>
      <c r="AB410" t="s">
        <v>40</v>
      </c>
      <c r="AC410">
        <f t="shared" si="131"/>
        <v>0</v>
      </c>
      <c r="AD410">
        <f t="shared" si="132"/>
        <v>0</v>
      </c>
      <c r="AE410" t="s">
        <v>41</v>
      </c>
      <c r="AF410">
        <f>IF(AE410="website",1,0)</f>
        <v>1</v>
      </c>
    </row>
    <row r="411" spans="1:32">
      <c r="A411" t="s">
        <v>998</v>
      </c>
      <c r="B411" t="s">
        <v>33</v>
      </c>
      <c r="C411" s="3">
        <f t="shared" si="114"/>
        <v>0</v>
      </c>
      <c r="D411">
        <f t="shared" si="115"/>
        <v>1</v>
      </c>
      <c r="E411" t="s">
        <v>890</v>
      </c>
      <c r="F411" t="s">
        <v>616</v>
      </c>
      <c r="G411" s="1">
        <v>30145</v>
      </c>
      <c r="H411" s="2">
        <f t="shared" ca="1" si="116"/>
        <v>44</v>
      </c>
      <c r="I411" s="2">
        <f t="shared" ca="1" si="117"/>
        <v>0.27142857142857141</v>
      </c>
      <c r="J411" t="s">
        <v>36</v>
      </c>
      <c r="K411" t="s">
        <v>172</v>
      </c>
      <c r="L411">
        <f t="shared" si="118"/>
        <v>0</v>
      </c>
      <c r="M411">
        <f t="shared" si="119"/>
        <v>0</v>
      </c>
      <c r="N411">
        <f t="shared" si="120"/>
        <v>0</v>
      </c>
      <c r="O411" t="s">
        <v>355</v>
      </c>
      <c r="P411">
        <f t="shared" si="121"/>
        <v>0</v>
      </c>
      <c r="Q411">
        <f t="shared" si="122"/>
        <v>0</v>
      </c>
      <c r="R411">
        <f t="shared" si="123"/>
        <v>0</v>
      </c>
      <c r="S411">
        <f t="shared" si="124"/>
        <v>0</v>
      </c>
      <c r="T411">
        <f t="shared" si="125"/>
        <v>0</v>
      </c>
      <c r="U411">
        <f t="shared" si="126"/>
        <v>0</v>
      </c>
      <c r="V411">
        <f t="shared" si="127"/>
        <v>0</v>
      </c>
      <c r="W411" t="s">
        <v>39</v>
      </c>
      <c r="X411">
        <f t="shared" si="128"/>
        <v>1</v>
      </c>
      <c r="Y411">
        <f t="shared" si="129"/>
        <v>0</v>
      </c>
      <c r="Z411">
        <v>5</v>
      </c>
      <c r="AA411">
        <f t="shared" si="130"/>
        <v>1</v>
      </c>
      <c r="AB411" t="s">
        <v>40</v>
      </c>
      <c r="AC411">
        <f t="shared" si="131"/>
        <v>1</v>
      </c>
      <c r="AD411">
        <f t="shared" si="132"/>
        <v>0</v>
      </c>
      <c r="AE411" t="s">
        <v>50</v>
      </c>
      <c r="AF411">
        <f>IF(AE411="website",1,0)</f>
        <v>0</v>
      </c>
    </row>
    <row r="412" spans="1:32">
      <c r="A412" t="s">
        <v>999</v>
      </c>
      <c r="B412" t="s">
        <v>33</v>
      </c>
      <c r="C412" s="3">
        <f t="shared" si="114"/>
        <v>0</v>
      </c>
      <c r="D412">
        <f t="shared" si="115"/>
        <v>1</v>
      </c>
      <c r="E412" t="s">
        <v>404</v>
      </c>
      <c r="F412" t="s">
        <v>620</v>
      </c>
      <c r="G412" s="1">
        <v>30445</v>
      </c>
      <c r="H412" s="2">
        <f t="shared" ca="1" si="116"/>
        <v>43</v>
      </c>
      <c r="I412" s="2">
        <f t="shared" ca="1" si="117"/>
        <v>0.25714285714285712</v>
      </c>
      <c r="J412" t="s">
        <v>36</v>
      </c>
      <c r="K412" t="s">
        <v>37</v>
      </c>
      <c r="L412">
        <f t="shared" si="118"/>
        <v>1</v>
      </c>
      <c r="M412">
        <f t="shared" si="119"/>
        <v>0</v>
      </c>
      <c r="N412">
        <f t="shared" si="120"/>
        <v>0</v>
      </c>
      <c r="O412" t="s">
        <v>38</v>
      </c>
      <c r="P412">
        <f t="shared" si="121"/>
        <v>1</v>
      </c>
      <c r="Q412">
        <f t="shared" si="122"/>
        <v>0</v>
      </c>
      <c r="R412">
        <f t="shared" si="123"/>
        <v>0</v>
      </c>
      <c r="S412">
        <f t="shared" si="124"/>
        <v>0</v>
      </c>
      <c r="T412">
        <f t="shared" si="125"/>
        <v>0</v>
      </c>
      <c r="U412">
        <f t="shared" si="126"/>
        <v>0</v>
      </c>
      <c r="V412">
        <f t="shared" si="127"/>
        <v>0</v>
      </c>
      <c r="W412" t="s">
        <v>39</v>
      </c>
      <c r="X412">
        <f t="shared" si="128"/>
        <v>1</v>
      </c>
      <c r="Y412">
        <f t="shared" si="129"/>
        <v>0</v>
      </c>
      <c r="Z412">
        <v>2</v>
      </c>
      <c r="AA412">
        <f t="shared" si="130"/>
        <v>0.25</v>
      </c>
      <c r="AB412" t="s">
        <v>46</v>
      </c>
      <c r="AC412">
        <f t="shared" si="131"/>
        <v>0</v>
      </c>
      <c r="AD412">
        <f t="shared" si="132"/>
        <v>0</v>
      </c>
      <c r="AE412" t="s">
        <v>41</v>
      </c>
      <c r="AF412">
        <f>IF(AE412="website",1,0)</f>
        <v>1</v>
      </c>
    </row>
    <row r="413" spans="1:32">
      <c r="A413" t="s">
        <v>1000</v>
      </c>
      <c r="B413" t="s">
        <v>33</v>
      </c>
      <c r="C413" s="3">
        <f t="shared" si="114"/>
        <v>0</v>
      </c>
      <c r="D413">
        <f t="shared" si="115"/>
        <v>1</v>
      </c>
      <c r="E413" t="s">
        <v>615</v>
      </c>
      <c r="F413" t="s">
        <v>695</v>
      </c>
      <c r="G413" s="1">
        <v>30796</v>
      </c>
      <c r="H413" s="2">
        <f t="shared" ca="1" si="116"/>
        <v>42</v>
      </c>
      <c r="I413" s="2">
        <f t="shared" ca="1" si="117"/>
        <v>0.24285714285714285</v>
      </c>
      <c r="J413" t="s">
        <v>36</v>
      </c>
      <c r="K413" t="s">
        <v>248</v>
      </c>
      <c r="L413">
        <f t="shared" si="118"/>
        <v>0</v>
      </c>
      <c r="M413">
        <f t="shared" si="119"/>
        <v>0</v>
      </c>
      <c r="N413">
        <f t="shared" si="120"/>
        <v>0</v>
      </c>
      <c r="O413" t="s">
        <v>411</v>
      </c>
      <c r="P413">
        <f t="shared" si="121"/>
        <v>0</v>
      </c>
      <c r="Q413">
        <f t="shared" si="122"/>
        <v>0</v>
      </c>
      <c r="R413">
        <f t="shared" si="123"/>
        <v>0</v>
      </c>
      <c r="S413">
        <f t="shared" si="124"/>
        <v>0</v>
      </c>
      <c r="T413">
        <f t="shared" si="125"/>
        <v>0</v>
      </c>
      <c r="U413">
        <f t="shared" si="126"/>
        <v>0</v>
      </c>
      <c r="V413">
        <f t="shared" si="127"/>
        <v>0</v>
      </c>
      <c r="W413" t="s">
        <v>39</v>
      </c>
      <c r="X413">
        <f t="shared" si="128"/>
        <v>1</v>
      </c>
      <c r="Y413">
        <f t="shared" si="129"/>
        <v>0</v>
      </c>
      <c r="Z413">
        <v>5</v>
      </c>
      <c r="AA413">
        <f t="shared" si="130"/>
        <v>1</v>
      </c>
      <c r="AB413" t="s">
        <v>46</v>
      </c>
      <c r="AC413">
        <f t="shared" si="131"/>
        <v>0</v>
      </c>
      <c r="AD413">
        <f t="shared" si="132"/>
        <v>0</v>
      </c>
      <c r="AE413" t="s">
        <v>41</v>
      </c>
      <c r="AF413">
        <f>IF(AE413="website",1,0)</f>
        <v>1</v>
      </c>
    </row>
    <row r="414" spans="1:32">
      <c r="A414" t="s">
        <v>1001</v>
      </c>
      <c r="B414" t="s">
        <v>33</v>
      </c>
      <c r="C414" s="3">
        <f t="shared" si="114"/>
        <v>0</v>
      </c>
      <c r="D414">
        <f t="shared" si="115"/>
        <v>1</v>
      </c>
      <c r="E414" t="s">
        <v>575</v>
      </c>
      <c r="F414" t="s">
        <v>953</v>
      </c>
      <c r="G414" s="1">
        <v>14803</v>
      </c>
      <c r="H414" s="2">
        <f t="shared" ca="1" si="116"/>
        <v>86</v>
      </c>
      <c r="I414" s="2">
        <f t="shared" ca="1" si="117"/>
        <v>0.87142857142857144</v>
      </c>
      <c r="J414" t="s">
        <v>45</v>
      </c>
      <c r="K414" t="s">
        <v>65</v>
      </c>
      <c r="L414">
        <f t="shared" si="118"/>
        <v>0</v>
      </c>
      <c r="M414">
        <f t="shared" si="119"/>
        <v>1</v>
      </c>
      <c r="N414">
        <f t="shared" si="120"/>
        <v>0</v>
      </c>
      <c r="O414" t="s">
        <v>642</v>
      </c>
      <c r="P414">
        <f t="shared" si="121"/>
        <v>0</v>
      </c>
      <c r="Q414">
        <f t="shared" si="122"/>
        <v>0</v>
      </c>
      <c r="R414">
        <f t="shared" si="123"/>
        <v>0</v>
      </c>
      <c r="S414">
        <f t="shared" si="124"/>
        <v>0</v>
      </c>
      <c r="T414">
        <f t="shared" si="125"/>
        <v>0</v>
      </c>
      <c r="U414">
        <f t="shared" si="126"/>
        <v>0</v>
      </c>
      <c r="V414">
        <f t="shared" si="127"/>
        <v>0</v>
      </c>
      <c r="W414" t="s">
        <v>39</v>
      </c>
      <c r="X414">
        <f t="shared" si="128"/>
        <v>1</v>
      </c>
      <c r="Y414">
        <f t="shared" si="129"/>
        <v>0</v>
      </c>
      <c r="Z414">
        <v>3</v>
      </c>
      <c r="AA414">
        <f t="shared" si="130"/>
        <v>0.5</v>
      </c>
      <c r="AB414" t="s">
        <v>46</v>
      </c>
      <c r="AC414">
        <f t="shared" si="131"/>
        <v>0</v>
      </c>
      <c r="AD414">
        <f t="shared" si="132"/>
        <v>0</v>
      </c>
      <c r="AE414" t="s">
        <v>41</v>
      </c>
      <c r="AF414">
        <f>IF(AE414="website",1,0)</f>
        <v>1</v>
      </c>
    </row>
    <row r="415" spans="1:32">
      <c r="A415" t="s">
        <v>1002</v>
      </c>
      <c r="B415" t="s">
        <v>33</v>
      </c>
      <c r="C415" s="3">
        <f t="shared" si="114"/>
        <v>0</v>
      </c>
      <c r="D415">
        <f t="shared" si="115"/>
        <v>1</v>
      </c>
      <c r="E415" t="s">
        <v>575</v>
      </c>
      <c r="F415" t="s">
        <v>885</v>
      </c>
      <c r="G415" s="1">
        <v>22987</v>
      </c>
      <c r="H415" s="2">
        <f t="shared" ca="1" si="116"/>
        <v>63</v>
      </c>
      <c r="I415" s="2">
        <f t="shared" ca="1" si="117"/>
        <v>0.54285714285714282</v>
      </c>
      <c r="J415" t="s">
        <v>45</v>
      </c>
      <c r="K415" t="s">
        <v>37</v>
      </c>
      <c r="L415">
        <f t="shared" si="118"/>
        <v>1</v>
      </c>
      <c r="M415">
        <f t="shared" si="119"/>
        <v>0</v>
      </c>
      <c r="N415">
        <f t="shared" si="120"/>
        <v>0</v>
      </c>
      <c r="O415" t="s">
        <v>38</v>
      </c>
      <c r="P415">
        <f t="shared" si="121"/>
        <v>1</v>
      </c>
      <c r="Q415">
        <f t="shared" si="122"/>
        <v>0</v>
      </c>
      <c r="R415">
        <f t="shared" si="123"/>
        <v>0</v>
      </c>
      <c r="S415">
        <f t="shared" si="124"/>
        <v>0</v>
      </c>
      <c r="T415">
        <f t="shared" si="125"/>
        <v>0</v>
      </c>
      <c r="U415">
        <f t="shared" si="126"/>
        <v>0</v>
      </c>
      <c r="V415">
        <f t="shared" si="127"/>
        <v>0</v>
      </c>
      <c r="W415" t="s">
        <v>39</v>
      </c>
      <c r="X415">
        <f t="shared" si="128"/>
        <v>1</v>
      </c>
      <c r="Y415">
        <f t="shared" si="129"/>
        <v>0</v>
      </c>
      <c r="Z415">
        <v>4</v>
      </c>
      <c r="AA415">
        <f t="shared" si="130"/>
        <v>0.75</v>
      </c>
      <c r="AB415" t="s">
        <v>46</v>
      </c>
      <c r="AC415">
        <f t="shared" si="131"/>
        <v>0</v>
      </c>
      <c r="AD415">
        <f t="shared" si="132"/>
        <v>0</v>
      </c>
      <c r="AE415" t="s">
        <v>41</v>
      </c>
      <c r="AF415">
        <f>IF(AE415="website",1,0)</f>
        <v>1</v>
      </c>
    </row>
    <row r="416" spans="1:32">
      <c r="A416" t="s">
        <v>1003</v>
      </c>
      <c r="B416" t="s">
        <v>33</v>
      </c>
      <c r="C416" s="3">
        <f t="shared" si="114"/>
        <v>0</v>
      </c>
      <c r="D416">
        <f t="shared" si="115"/>
        <v>1</v>
      </c>
      <c r="E416" t="s">
        <v>317</v>
      </c>
      <c r="F416" t="s">
        <v>430</v>
      </c>
      <c r="G416" s="1">
        <v>29411</v>
      </c>
      <c r="H416" s="2">
        <f t="shared" ca="1" si="116"/>
        <v>46</v>
      </c>
      <c r="I416" s="2">
        <f t="shared" ca="1" si="117"/>
        <v>0.3</v>
      </c>
      <c r="J416" t="s">
        <v>36</v>
      </c>
      <c r="K416" t="s">
        <v>37</v>
      </c>
      <c r="L416">
        <f t="shared" si="118"/>
        <v>1</v>
      </c>
      <c r="M416">
        <f t="shared" si="119"/>
        <v>0</v>
      </c>
      <c r="N416">
        <f t="shared" si="120"/>
        <v>0</v>
      </c>
      <c r="O416" t="s">
        <v>124</v>
      </c>
      <c r="P416">
        <f t="shared" si="121"/>
        <v>0</v>
      </c>
      <c r="Q416">
        <f t="shared" si="122"/>
        <v>0</v>
      </c>
      <c r="R416">
        <f t="shared" si="123"/>
        <v>0</v>
      </c>
      <c r="S416">
        <f t="shared" si="124"/>
        <v>0</v>
      </c>
      <c r="T416">
        <f t="shared" si="125"/>
        <v>0</v>
      </c>
      <c r="U416">
        <f t="shared" si="126"/>
        <v>1</v>
      </c>
      <c r="V416">
        <f t="shared" si="127"/>
        <v>0</v>
      </c>
      <c r="W416" t="s">
        <v>39</v>
      </c>
      <c r="X416">
        <f t="shared" si="128"/>
        <v>1</v>
      </c>
      <c r="Y416">
        <f t="shared" si="129"/>
        <v>0</v>
      </c>
      <c r="Z416">
        <v>5</v>
      </c>
      <c r="AA416">
        <f t="shared" si="130"/>
        <v>1</v>
      </c>
      <c r="AB416" t="s">
        <v>40</v>
      </c>
      <c r="AC416">
        <f t="shared" si="131"/>
        <v>1</v>
      </c>
      <c r="AD416">
        <f t="shared" si="132"/>
        <v>0</v>
      </c>
      <c r="AE416" t="s">
        <v>50</v>
      </c>
      <c r="AF416">
        <f>IF(AE416="website",1,0)</f>
        <v>0</v>
      </c>
    </row>
    <row r="417" spans="1:32">
      <c r="A417" t="s">
        <v>1004</v>
      </c>
      <c r="B417" t="s">
        <v>55</v>
      </c>
      <c r="C417" s="3">
        <f t="shared" si="114"/>
        <v>1</v>
      </c>
      <c r="D417">
        <f t="shared" si="115"/>
        <v>0</v>
      </c>
      <c r="E417" t="s">
        <v>1005</v>
      </c>
      <c r="F417" t="s">
        <v>57</v>
      </c>
      <c r="G417" s="1">
        <v>29795</v>
      </c>
      <c r="H417" s="2">
        <f t="shared" ca="1" si="116"/>
        <v>45</v>
      </c>
      <c r="I417" s="2">
        <f t="shared" ca="1" si="117"/>
        <v>0.2857142857142857</v>
      </c>
      <c r="J417" t="s">
        <v>45</v>
      </c>
      <c r="K417" t="s">
        <v>113</v>
      </c>
      <c r="L417">
        <f t="shared" si="118"/>
        <v>0</v>
      </c>
      <c r="M417">
        <f t="shared" si="119"/>
        <v>0</v>
      </c>
      <c r="N417">
        <f t="shared" si="120"/>
        <v>1</v>
      </c>
      <c r="O417" t="s">
        <v>594</v>
      </c>
      <c r="P417">
        <f t="shared" si="121"/>
        <v>0</v>
      </c>
      <c r="Q417">
        <f t="shared" si="122"/>
        <v>0</v>
      </c>
      <c r="R417">
        <f t="shared" si="123"/>
        <v>0</v>
      </c>
      <c r="S417">
        <f t="shared" si="124"/>
        <v>0</v>
      </c>
      <c r="T417">
        <f t="shared" si="125"/>
        <v>0</v>
      </c>
      <c r="U417">
        <f t="shared" si="126"/>
        <v>0</v>
      </c>
      <c r="V417">
        <f t="shared" si="127"/>
        <v>0</v>
      </c>
      <c r="W417" t="s">
        <v>58</v>
      </c>
      <c r="X417">
        <f t="shared" si="128"/>
        <v>0</v>
      </c>
      <c r="Y417">
        <f t="shared" si="129"/>
        <v>1</v>
      </c>
      <c r="Z417">
        <v>5</v>
      </c>
      <c r="AA417">
        <f t="shared" si="130"/>
        <v>1</v>
      </c>
      <c r="AB417" t="s">
        <v>40</v>
      </c>
      <c r="AC417">
        <f t="shared" si="131"/>
        <v>0</v>
      </c>
      <c r="AD417">
        <f t="shared" si="132"/>
        <v>1</v>
      </c>
      <c r="AE417" t="s">
        <v>90</v>
      </c>
      <c r="AF417">
        <f>IF(AE417="website",1,0)</f>
        <v>0</v>
      </c>
    </row>
    <row r="418" spans="1:32">
      <c r="A418" t="s">
        <v>1006</v>
      </c>
      <c r="B418" t="s">
        <v>33</v>
      </c>
      <c r="C418" s="3">
        <f t="shared" si="114"/>
        <v>0</v>
      </c>
      <c r="D418">
        <f t="shared" si="115"/>
        <v>1</v>
      </c>
      <c r="E418" t="s">
        <v>598</v>
      </c>
      <c r="F418" t="s">
        <v>745</v>
      </c>
      <c r="G418" s="1">
        <v>17504</v>
      </c>
      <c r="H418" s="2">
        <f t="shared" ca="1" si="116"/>
        <v>78</v>
      </c>
      <c r="I418" s="2">
        <f t="shared" ca="1" si="117"/>
        <v>0.75714285714285712</v>
      </c>
      <c r="J418" t="s">
        <v>45</v>
      </c>
      <c r="K418" t="s">
        <v>37</v>
      </c>
      <c r="L418">
        <f t="shared" si="118"/>
        <v>1</v>
      </c>
      <c r="M418">
        <f t="shared" si="119"/>
        <v>0</v>
      </c>
      <c r="N418">
        <f t="shared" si="120"/>
        <v>0</v>
      </c>
      <c r="O418" t="s">
        <v>183</v>
      </c>
      <c r="P418">
        <f t="shared" si="121"/>
        <v>0</v>
      </c>
      <c r="Q418">
        <f t="shared" si="122"/>
        <v>0</v>
      </c>
      <c r="R418">
        <f t="shared" si="123"/>
        <v>0</v>
      </c>
      <c r="S418">
        <f t="shared" si="124"/>
        <v>0</v>
      </c>
      <c r="T418">
        <f t="shared" si="125"/>
        <v>0</v>
      </c>
      <c r="U418">
        <f t="shared" si="126"/>
        <v>0</v>
      </c>
      <c r="V418">
        <f t="shared" si="127"/>
        <v>0</v>
      </c>
      <c r="W418" t="s">
        <v>39</v>
      </c>
      <c r="X418">
        <f t="shared" si="128"/>
        <v>1</v>
      </c>
      <c r="Y418">
        <f t="shared" si="129"/>
        <v>0</v>
      </c>
      <c r="Z418">
        <v>2</v>
      </c>
      <c r="AA418">
        <f t="shared" si="130"/>
        <v>0.25</v>
      </c>
      <c r="AB418" t="s">
        <v>46</v>
      </c>
      <c r="AC418">
        <f t="shared" si="131"/>
        <v>0</v>
      </c>
      <c r="AD418">
        <f t="shared" si="132"/>
        <v>0</v>
      </c>
      <c r="AE418" t="s">
        <v>41</v>
      </c>
      <c r="AF418">
        <f>IF(AE418="website",1,0)</f>
        <v>1</v>
      </c>
    </row>
    <row r="419" spans="1:32">
      <c r="A419" t="s">
        <v>1007</v>
      </c>
      <c r="B419" t="s">
        <v>33</v>
      </c>
      <c r="C419" s="3">
        <f t="shared" si="114"/>
        <v>0</v>
      </c>
      <c r="D419">
        <f t="shared" si="115"/>
        <v>1</v>
      </c>
      <c r="E419" t="s">
        <v>965</v>
      </c>
      <c r="F419" t="s">
        <v>339</v>
      </c>
      <c r="G419" s="1">
        <v>35297</v>
      </c>
      <c r="H419" s="2">
        <f t="shared" ca="1" si="116"/>
        <v>30</v>
      </c>
      <c r="I419" s="2">
        <f t="shared" ca="1" si="117"/>
        <v>7.1428571428571425E-2</v>
      </c>
      <c r="J419" t="s">
        <v>45</v>
      </c>
      <c r="K419" t="s">
        <v>37</v>
      </c>
      <c r="L419">
        <f t="shared" si="118"/>
        <v>1</v>
      </c>
      <c r="M419">
        <f t="shared" si="119"/>
        <v>0</v>
      </c>
      <c r="N419">
        <f t="shared" si="120"/>
        <v>0</v>
      </c>
      <c r="O419" t="s">
        <v>97</v>
      </c>
      <c r="P419">
        <f t="shared" si="121"/>
        <v>0</v>
      </c>
      <c r="Q419">
        <f t="shared" si="122"/>
        <v>0</v>
      </c>
      <c r="R419">
        <f t="shared" si="123"/>
        <v>0</v>
      </c>
      <c r="S419">
        <f t="shared" si="124"/>
        <v>0</v>
      </c>
      <c r="T419">
        <f t="shared" si="125"/>
        <v>1</v>
      </c>
      <c r="U419">
        <f t="shared" si="126"/>
        <v>0</v>
      </c>
      <c r="V419">
        <f t="shared" si="127"/>
        <v>0</v>
      </c>
      <c r="W419" t="s">
        <v>39</v>
      </c>
      <c r="X419">
        <f t="shared" si="128"/>
        <v>1</v>
      </c>
      <c r="Y419">
        <f t="shared" si="129"/>
        <v>0</v>
      </c>
      <c r="Z419">
        <v>5</v>
      </c>
      <c r="AA419">
        <f t="shared" si="130"/>
        <v>1</v>
      </c>
      <c r="AB419" t="s">
        <v>46</v>
      </c>
      <c r="AC419">
        <f t="shared" si="131"/>
        <v>1</v>
      </c>
      <c r="AD419">
        <f t="shared" si="132"/>
        <v>0</v>
      </c>
      <c r="AE419" t="s">
        <v>50</v>
      </c>
      <c r="AF419">
        <f>IF(AE419="website",1,0)</f>
        <v>0</v>
      </c>
    </row>
    <row r="420" spans="1:32">
      <c r="A420" t="s">
        <v>1008</v>
      </c>
      <c r="B420" t="s">
        <v>33</v>
      </c>
      <c r="C420" s="3">
        <f t="shared" si="114"/>
        <v>0</v>
      </c>
      <c r="D420">
        <f t="shared" si="115"/>
        <v>1</v>
      </c>
      <c r="E420" t="s">
        <v>357</v>
      </c>
      <c r="F420" t="s">
        <v>513</v>
      </c>
      <c r="G420" s="1">
        <v>22953</v>
      </c>
      <c r="H420" s="2">
        <f t="shared" ca="1" si="116"/>
        <v>63</v>
      </c>
      <c r="I420" s="2">
        <f t="shared" ca="1" si="117"/>
        <v>0.54285714285714282</v>
      </c>
      <c r="J420" t="s">
        <v>45</v>
      </c>
      <c r="K420" t="s">
        <v>37</v>
      </c>
      <c r="L420">
        <f t="shared" si="118"/>
        <v>1</v>
      </c>
      <c r="M420">
        <f t="shared" si="119"/>
        <v>0</v>
      </c>
      <c r="N420">
        <f t="shared" si="120"/>
        <v>0</v>
      </c>
      <c r="O420" t="s">
        <v>565</v>
      </c>
      <c r="P420">
        <f t="shared" si="121"/>
        <v>0</v>
      </c>
      <c r="Q420">
        <f t="shared" si="122"/>
        <v>0</v>
      </c>
      <c r="R420">
        <f t="shared" si="123"/>
        <v>0</v>
      </c>
      <c r="S420">
        <f t="shared" si="124"/>
        <v>0</v>
      </c>
      <c r="T420">
        <f t="shared" si="125"/>
        <v>0</v>
      </c>
      <c r="U420">
        <f t="shared" si="126"/>
        <v>0</v>
      </c>
      <c r="V420">
        <f t="shared" si="127"/>
        <v>0</v>
      </c>
      <c r="W420" t="s">
        <v>39</v>
      </c>
      <c r="X420">
        <f t="shared" si="128"/>
        <v>1</v>
      </c>
      <c r="Y420">
        <f t="shared" si="129"/>
        <v>0</v>
      </c>
      <c r="Z420">
        <v>3</v>
      </c>
      <c r="AA420">
        <f t="shared" si="130"/>
        <v>0.5</v>
      </c>
      <c r="AB420" t="s">
        <v>40</v>
      </c>
      <c r="AC420">
        <f t="shared" si="131"/>
        <v>1</v>
      </c>
      <c r="AD420">
        <f t="shared" si="132"/>
        <v>0</v>
      </c>
      <c r="AE420" t="s">
        <v>50</v>
      </c>
      <c r="AF420">
        <f>IF(AE420="website",1,0)</f>
        <v>0</v>
      </c>
    </row>
    <row r="421" spans="1:32">
      <c r="A421" t="s">
        <v>1009</v>
      </c>
      <c r="B421" t="s">
        <v>33</v>
      </c>
      <c r="C421" s="3">
        <f t="shared" si="114"/>
        <v>0</v>
      </c>
      <c r="D421">
        <f t="shared" si="115"/>
        <v>1</v>
      </c>
      <c r="E421" t="s">
        <v>1010</v>
      </c>
      <c r="F421" t="s">
        <v>641</v>
      </c>
      <c r="G421" s="1">
        <v>34338</v>
      </c>
      <c r="H421" s="2">
        <f t="shared" ca="1" si="116"/>
        <v>32</v>
      </c>
      <c r="I421" s="2">
        <f t="shared" ca="1" si="117"/>
        <v>0.1</v>
      </c>
      <c r="J421" t="s">
        <v>36</v>
      </c>
      <c r="K421" t="s">
        <v>37</v>
      </c>
      <c r="L421">
        <f t="shared" si="118"/>
        <v>1</v>
      </c>
      <c r="M421">
        <f t="shared" si="119"/>
        <v>0</v>
      </c>
      <c r="N421">
        <f t="shared" si="120"/>
        <v>0</v>
      </c>
      <c r="O421" t="s">
        <v>38</v>
      </c>
      <c r="P421">
        <f t="shared" si="121"/>
        <v>1</v>
      </c>
      <c r="Q421">
        <f t="shared" si="122"/>
        <v>0</v>
      </c>
      <c r="R421">
        <f t="shared" si="123"/>
        <v>0</v>
      </c>
      <c r="S421">
        <f t="shared" si="124"/>
        <v>0</v>
      </c>
      <c r="T421">
        <f t="shared" si="125"/>
        <v>0</v>
      </c>
      <c r="U421">
        <f t="shared" si="126"/>
        <v>0</v>
      </c>
      <c r="V421">
        <f t="shared" si="127"/>
        <v>0</v>
      </c>
      <c r="W421" t="s">
        <v>39</v>
      </c>
      <c r="X421">
        <f t="shared" si="128"/>
        <v>1</v>
      </c>
      <c r="Y421">
        <f t="shared" si="129"/>
        <v>0</v>
      </c>
      <c r="Z421">
        <v>5</v>
      </c>
      <c r="AA421">
        <f t="shared" si="130"/>
        <v>1</v>
      </c>
      <c r="AB421" t="s">
        <v>46</v>
      </c>
      <c r="AC421">
        <f t="shared" si="131"/>
        <v>1</v>
      </c>
      <c r="AD421">
        <f t="shared" si="132"/>
        <v>0</v>
      </c>
      <c r="AE421" t="s">
        <v>50</v>
      </c>
      <c r="AF421">
        <f>IF(AE421="website",1,0)</f>
        <v>0</v>
      </c>
    </row>
    <row r="422" spans="1:32">
      <c r="A422" t="s">
        <v>1011</v>
      </c>
      <c r="B422" t="s">
        <v>33</v>
      </c>
      <c r="C422" s="3">
        <f t="shared" si="114"/>
        <v>0</v>
      </c>
      <c r="D422">
        <f t="shared" si="115"/>
        <v>1</v>
      </c>
      <c r="E422" t="s">
        <v>842</v>
      </c>
      <c r="F422" t="s">
        <v>856</v>
      </c>
      <c r="G422" s="1">
        <v>27631</v>
      </c>
      <c r="H422" s="2">
        <f t="shared" ca="1" si="116"/>
        <v>51</v>
      </c>
      <c r="I422" s="2">
        <f t="shared" ca="1" si="117"/>
        <v>0.37142857142857144</v>
      </c>
      <c r="J422" t="s">
        <v>45</v>
      </c>
      <c r="K422" t="s">
        <v>113</v>
      </c>
      <c r="L422">
        <f t="shared" si="118"/>
        <v>0</v>
      </c>
      <c r="M422">
        <f t="shared" si="119"/>
        <v>0</v>
      </c>
      <c r="N422">
        <f t="shared" si="120"/>
        <v>1</v>
      </c>
      <c r="O422" t="s">
        <v>891</v>
      </c>
      <c r="P422">
        <f t="shared" si="121"/>
        <v>0</v>
      </c>
      <c r="Q422">
        <f t="shared" si="122"/>
        <v>0</v>
      </c>
      <c r="R422">
        <f t="shared" si="123"/>
        <v>0</v>
      </c>
      <c r="S422">
        <f t="shared" si="124"/>
        <v>0</v>
      </c>
      <c r="T422">
        <f t="shared" si="125"/>
        <v>0</v>
      </c>
      <c r="U422">
        <f t="shared" si="126"/>
        <v>0</v>
      </c>
      <c r="V422">
        <f t="shared" si="127"/>
        <v>0</v>
      </c>
      <c r="W422" t="s">
        <v>58</v>
      </c>
      <c r="X422">
        <f t="shared" si="128"/>
        <v>0</v>
      </c>
      <c r="Y422">
        <f t="shared" si="129"/>
        <v>1</v>
      </c>
      <c r="Z422">
        <v>5</v>
      </c>
      <c r="AA422">
        <f t="shared" si="130"/>
        <v>1</v>
      </c>
      <c r="AB422" t="s">
        <v>40</v>
      </c>
      <c r="AC422">
        <f t="shared" si="131"/>
        <v>0</v>
      </c>
      <c r="AD422">
        <f t="shared" si="132"/>
        <v>0</v>
      </c>
      <c r="AE422" t="s">
        <v>41</v>
      </c>
      <c r="AF422">
        <f>IF(AE422="website",1,0)</f>
        <v>1</v>
      </c>
    </row>
    <row r="423" spans="1:32">
      <c r="A423" t="s">
        <v>1012</v>
      </c>
      <c r="B423" t="s">
        <v>55</v>
      </c>
      <c r="C423" s="3">
        <f t="shared" si="114"/>
        <v>1</v>
      </c>
      <c r="D423">
        <f t="shared" si="115"/>
        <v>0</v>
      </c>
      <c r="E423" t="s">
        <v>1013</v>
      </c>
      <c r="F423" t="s">
        <v>57</v>
      </c>
      <c r="G423" s="1">
        <v>26981</v>
      </c>
      <c r="H423" s="2">
        <f t="shared" ca="1" si="116"/>
        <v>52</v>
      </c>
      <c r="I423" s="2">
        <f t="shared" ca="1" si="117"/>
        <v>0.38571428571428573</v>
      </c>
      <c r="J423" t="s">
        <v>36</v>
      </c>
      <c r="K423" t="s">
        <v>37</v>
      </c>
      <c r="L423">
        <f t="shared" si="118"/>
        <v>1</v>
      </c>
      <c r="M423">
        <f t="shared" si="119"/>
        <v>0</v>
      </c>
      <c r="N423">
        <f t="shared" si="120"/>
        <v>0</v>
      </c>
      <c r="O423" t="s">
        <v>38</v>
      </c>
      <c r="P423">
        <f t="shared" si="121"/>
        <v>1</v>
      </c>
      <c r="Q423">
        <f t="shared" si="122"/>
        <v>0</v>
      </c>
      <c r="R423">
        <f t="shared" si="123"/>
        <v>0</v>
      </c>
      <c r="S423">
        <f t="shared" si="124"/>
        <v>0</v>
      </c>
      <c r="T423">
        <f t="shared" si="125"/>
        <v>0</v>
      </c>
      <c r="U423">
        <f t="shared" si="126"/>
        <v>0</v>
      </c>
      <c r="V423">
        <f t="shared" si="127"/>
        <v>0</v>
      </c>
      <c r="W423" t="s">
        <v>39</v>
      </c>
      <c r="X423">
        <f t="shared" si="128"/>
        <v>1</v>
      </c>
      <c r="Y423">
        <f t="shared" si="129"/>
        <v>0</v>
      </c>
      <c r="Z423">
        <v>1</v>
      </c>
      <c r="AA423">
        <f t="shared" si="130"/>
        <v>0</v>
      </c>
      <c r="AB423" t="s">
        <v>40</v>
      </c>
      <c r="AC423">
        <f t="shared" si="131"/>
        <v>0</v>
      </c>
      <c r="AD423">
        <f t="shared" si="132"/>
        <v>1</v>
      </c>
      <c r="AE423" t="s">
        <v>90</v>
      </c>
      <c r="AF423">
        <f>IF(AE423="website",1,0)</f>
        <v>0</v>
      </c>
    </row>
    <row r="424" spans="1:32">
      <c r="A424" t="s">
        <v>1014</v>
      </c>
      <c r="B424" t="s">
        <v>33</v>
      </c>
      <c r="C424" s="3">
        <f t="shared" si="114"/>
        <v>0</v>
      </c>
      <c r="D424">
        <f t="shared" si="115"/>
        <v>1</v>
      </c>
      <c r="E424" t="s">
        <v>476</v>
      </c>
      <c r="F424" t="s">
        <v>557</v>
      </c>
      <c r="G424" s="1">
        <v>18370</v>
      </c>
      <c r="H424" s="2">
        <f t="shared" ca="1" si="116"/>
        <v>76</v>
      </c>
      <c r="I424" s="2">
        <f t="shared" ca="1" si="117"/>
        <v>0.72857142857142854</v>
      </c>
      <c r="J424" t="s">
        <v>36</v>
      </c>
      <c r="K424" t="s">
        <v>37</v>
      </c>
      <c r="L424">
        <f t="shared" si="118"/>
        <v>1</v>
      </c>
      <c r="M424">
        <f t="shared" si="119"/>
        <v>0</v>
      </c>
      <c r="N424">
        <f t="shared" si="120"/>
        <v>0</v>
      </c>
      <c r="O424" t="s">
        <v>38</v>
      </c>
      <c r="P424">
        <f t="shared" si="121"/>
        <v>1</v>
      </c>
      <c r="Q424">
        <f t="shared" si="122"/>
        <v>0</v>
      </c>
      <c r="R424">
        <f t="shared" si="123"/>
        <v>0</v>
      </c>
      <c r="S424">
        <f t="shared" si="124"/>
        <v>0</v>
      </c>
      <c r="T424">
        <f t="shared" si="125"/>
        <v>0</v>
      </c>
      <c r="U424">
        <f t="shared" si="126"/>
        <v>0</v>
      </c>
      <c r="V424">
        <f t="shared" si="127"/>
        <v>0</v>
      </c>
      <c r="W424" t="s">
        <v>39</v>
      </c>
      <c r="X424">
        <f t="shared" si="128"/>
        <v>1</v>
      </c>
      <c r="Y424">
        <f t="shared" si="129"/>
        <v>0</v>
      </c>
      <c r="Z424">
        <v>1</v>
      </c>
      <c r="AA424">
        <f t="shared" si="130"/>
        <v>0</v>
      </c>
      <c r="AB424" t="s">
        <v>46</v>
      </c>
      <c r="AC424">
        <f t="shared" si="131"/>
        <v>0</v>
      </c>
      <c r="AD424">
        <f t="shared" si="132"/>
        <v>1</v>
      </c>
      <c r="AE424" t="s">
        <v>90</v>
      </c>
      <c r="AF424">
        <f>IF(AE424="website",1,0)</f>
        <v>0</v>
      </c>
    </row>
    <row r="425" spans="1:32">
      <c r="A425" t="s">
        <v>1015</v>
      </c>
      <c r="B425" t="s">
        <v>33</v>
      </c>
      <c r="C425" s="3">
        <f t="shared" si="114"/>
        <v>0</v>
      </c>
      <c r="D425">
        <f t="shared" si="115"/>
        <v>1</v>
      </c>
      <c r="E425" t="s">
        <v>581</v>
      </c>
      <c r="F425" t="s">
        <v>372</v>
      </c>
      <c r="G425" s="1">
        <v>36133</v>
      </c>
      <c r="H425" s="2">
        <f t="shared" ca="1" si="116"/>
        <v>27</v>
      </c>
      <c r="I425" s="2">
        <f t="shared" ca="1" si="117"/>
        <v>2.8571428571428571E-2</v>
      </c>
      <c r="J425" t="s">
        <v>36</v>
      </c>
      <c r="K425" t="s">
        <v>37</v>
      </c>
      <c r="L425">
        <f t="shared" si="118"/>
        <v>1</v>
      </c>
      <c r="M425">
        <f t="shared" si="119"/>
        <v>0</v>
      </c>
      <c r="N425">
        <f t="shared" si="120"/>
        <v>0</v>
      </c>
      <c r="O425" t="s">
        <v>600</v>
      </c>
      <c r="P425">
        <f t="shared" si="121"/>
        <v>0</v>
      </c>
      <c r="Q425">
        <f t="shared" si="122"/>
        <v>0</v>
      </c>
      <c r="R425">
        <f t="shared" si="123"/>
        <v>0</v>
      </c>
      <c r="S425">
        <f t="shared" si="124"/>
        <v>0</v>
      </c>
      <c r="T425">
        <f t="shared" si="125"/>
        <v>0</v>
      </c>
      <c r="U425">
        <f t="shared" si="126"/>
        <v>0</v>
      </c>
      <c r="V425">
        <f t="shared" si="127"/>
        <v>0</v>
      </c>
      <c r="W425" t="s">
        <v>39</v>
      </c>
      <c r="X425">
        <f t="shared" si="128"/>
        <v>1</v>
      </c>
      <c r="Y425">
        <f t="shared" si="129"/>
        <v>0</v>
      </c>
      <c r="Z425">
        <v>1</v>
      </c>
      <c r="AA425">
        <f t="shared" si="130"/>
        <v>0</v>
      </c>
      <c r="AB425" t="s">
        <v>46</v>
      </c>
      <c r="AC425">
        <f t="shared" si="131"/>
        <v>0</v>
      </c>
      <c r="AD425">
        <f t="shared" si="132"/>
        <v>0</v>
      </c>
      <c r="AE425" t="s">
        <v>41</v>
      </c>
      <c r="AF425">
        <f>IF(AE425="website",1,0)</f>
        <v>1</v>
      </c>
    </row>
    <row r="426" spans="1:32">
      <c r="A426" t="s">
        <v>1016</v>
      </c>
      <c r="B426" t="s">
        <v>33</v>
      </c>
      <c r="C426" s="3">
        <f t="shared" si="114"/>
        <v>0</v>
      </c>
      <c r="D426">
        <f t="shared" si="115"/>
        <v>1</v>
      </c>
      <c r="E426" t="s">
        <v>722</v>
      </c>
      <c r="F426" t="s">
        <v>61</v>
      </c>
      <c r="G426" s="1">
        <v>23812</v>
      </c>
      <c r="H426" s="2">
        <f t="shared" ca="1" si="116"/>
        <v>61</v>
      </c>
      <c r="I426" s="2">
        <f t="shared" ca="1" si="117"/>
        <v>0.51428571428571423</v>
      </c>
      <c r="J426" t="s">
        <v>45</v>
      </c>
      <c r="K426" t="s">
        <v>37</v>
      </c>
      <c r="L426">
        <f t="shared" si="118"/>
        <v>1</v>
      </c>
      <c r="M426">
        <f t="shared" si="119"/>
        <v>0</v>
      </c>
      <c r="N426">
        <f t="shared" si="120"/>
        <v>0</v>
      </c>
      <c r="O426" t="s">
        <v>124</v>
      </c>
      <c r="P426">
        <f t="shared" si="121"/>
        <v>0</v>
      </c>
      <c r="Q426">
        <f t="shared" si="122"/>
        <v>0</v>
      </c>
      <c r="R426">
        <f t="shared" si="123"/>
        <v>0</v>
      </c>
      <c r="S426">
        <f t="shared" si="124"/>
        <v>0</v>
      </c>
      <c r="T426">
        <f t="shared" si="125"/>
        <v>0</v>
      </c>
      <c r="U426">
        <f t="shared" si="126"/>
        <v>1</v>
      </c>
      <c r="V426">
        <f t="shared" si="127"/>
        <v>0</v>
      </c>
      <c r="W426" t="s">
        <v>39</v>
      </c>
      <c r="X426">
        <f t="shared" si="128"/>
        <v>1</v>
      </c>
      <c r="Y426">
        <f t="shared" si="129"/>
        <v>0</v>
      </c>
      <c r="Z426">
        <v>2</v>
      </c>
      <c r="AA426">
        <f t="shared" si="130"/>
        <v>0.25</v>
      </c>
      <c r="AB426" t="s">
        <v>46</v>
      </c>
      <c r="AC426">
        <f t="shared" si="131"/>
        <v>1</v>
      </c>
      <c r="AD426">
        <f t="shared" si="132"/>
        <v>0</v>
      </c>
      <c r="AE426" t="s">
        <v>50</v>
      </c>
      <c r="AF426">
        <f>IF(AE426="website",1,0)</f>
        <v>0</v>
      </c>
    </row>
    <row r="427" spans="1:32">
      <c r="A427" t="s">
        <v>1017</v>
      </c>
      <c r="B427" t="s">
        <v>33</v>
      </c>
      <c r="C427" s="3">
        <f t="shared" si="114"/>
        <v>0</v>
      </c>
      <c r="D427">
        <f t="shared" si="115"/>
        <v>1</v>
      </c>
      <c r="E427" t="s">
        <v>564</v>
      </c>
      <c r="F427" t="s">
        <v>247</v>
      </c>
      <c r="G427" s="1">
        <v>19639</v>
      </c>
      <c r="H427" s="2">
        <f t="shared" ca="1" si="116"/>
        <v>72</v>
      </c>
      <c r="I427" s="2">
        <f t="shared" ca="1" si="117"/>
        <v>0.67142857142857137</v>
      </c>
      <c r="J427" t="s">
        <v>36</v>
      </c>
      <c r="K427" t="s">
        <v>37</v>
      </c>
      <c r="L427">
        <f t="shared" si="118"/>
        <v>1</v>
      </c>
      <c r="M427">
        <f t="shared" si="119"/>
        <v>0</v>
      </c>
      <c r="N427">
        <f t="shared" si="120"/>
        <v>0</v>
      </c>
      <c r="O427" t="s">
        <v>76</v>
      </c>
      <c r="P427">
        <f t="shared" si="121"/>
        <v>0</v>
      </c>
      <c r="Q427">
        <f t="shared" si="122"/>
        <v>1</v>
      </c>
      <c r="R427">
        <f t="shared" si="123"/>
        <v>0</v>
      </c>
      <c r="S427">
        <f t="shared" si="124"/>
        <v>0</v>
      </c>
      <c r="T427">
        <f t="shared" si="125"/>
        <v>0</v>
      </c>
      <c r="U427">
        <f t="shared" si="126"/>
        <v>0</v>
      </c>
      <c r="V427">
        <f t="shared" si="127"/>
        <v>0</v>
      </c>
      <c r="W427" t="s">
        <v>39</v>
      </c>
      <c r="X427">
        <f t="shared" si="128"/>
        <v>1</v>
      </c>
      <c r="Y427">
        <f t="shared" si="129"/>
        <v>0</v>
      </c>
      <c r="Z427">
        <v>4</v>
      </c>
      <c r="AA427">
        <f t="shared" si="130"/>
        <v>0.75</v>
      </c>
      <c r="AB427" t="s">
        <v>40</v>
      </c>
      <c r="AC427">
        <f t="shared" si="131"/>
        <v>0</v>
      </c>
      <c r="AD427">
        <f t="shared" si="132"/>
        <v>1</v>
      </c>
      <c r="AE427" t="s">
        <v>90</v>
      </c>
      <c r="AF427">
        <f>IF(AE427="website",1,0)</f>
        <v>0</v>
      </c>
    </row>
    <row r="428" spans="1:32">
      <c r="A428" t="s">
        <v>1018</v>
      </c>
      <c r="B428" t="s">
        <v>33</v>
      </c>
      <c r="C428" s="3">
        <f t="shared" si="114"/>
        <v>0</v>
      </c>
      <c r="D428">
        <f t="shared" si="115"/>
        <v>1</v>
      </c>
      <c r="E428" t="s">
        <v>581</v>
      </c>
      <c r="F428" t="s">
        <v>591</v>
      </c>
      <c r="G428" s="1">
        <v>34583</v>
      </c>
      <c r="H428" s="2">
        <f t="shared" ca="1" si="116"/>
        <v>32</v>
      </c>
      <c r="I428" s="2">
        <f t="shared" ca="1" si="117"/>
        <v>0.1</v>
      </c>
      <c r="J428" t="s">
        <v>36</v>
      </c>
      <c r="K428" t="s">
        <v>37</v>
      </c>
      <c r="L428">
        <f t="shared" si="118"/>
        <v>1</v>
      </c>
      <c r="M428">
        <f t="shared" si="119"/>
        <v>0</v>
      </c>
      <c r="N428">
        <f t="shared" si="120"/>
        <v>0</v>
      </c>
      <c r="O428" t="s">
        <v>38</v>
      </c>
      <c r="P428">
        <f t="shared" si="121"/>
        <v>1</v>
      </c>
      <c r="Q428">
        <f t="shared" si="122"/>
        <v>0</v>
      </c>
      <c r="R428">
        <f t="shared" si="123"/>
        <v>0</v>
      </c>
      <c r="S428">
        <f t="shared" si="124"/>
        <v>0</v>
      </c>
      <c r="T428">
        <f t="shared" si="125"/>
        <v>0</v>
      </c>
      <c r="U428">
        <f t="shared" si="126"/>
        <v>0</v>
      </c>
      <c r="V428">
        <f t="shared" si="127"/>
        <v>0</v>
      </c>
      <c r="W428" t="s">
        <v>39</v>
      </c>
      <c r="X428">
        <f t="shared" si="128"/>
        <v>1</v>
      </c>
      <c r="Y428">
        <f t="shared" si="129"/>
        <v>0</v>
      </c>
      <c r="Z428">
        <v>4</v>
      </c>
      <c r="AA428">
        <f t="shared" si="130"/>
        <v>0.75</v>
      </c>
      <c r="AB428" t="s">
        <v>40</v>
      </c>
      <c r="AC428">
        <f t="shared" si="131"/>
        <v>0</v>
      </c>
      <c r="AD428">
        <f t="shared" si="132"/>
        <v>0</v>
      </c>
      <c r="AE428" t="s">
        <v>41</v>
      </c>
      <c r="AF428">
        <f>IF(AE428="website",1,0)</f>
        <v>1</v>
      </c>
    </row>
    <row r="429" spans="1:32">
      <c r="A429" t="s">
        <v>1019</v>
      </c>
      <c r="B429" t="s">
        <v>33</v>
      </c>
      <c r="C429" s="3">
        <f t="shared" si="114"/>
        <v>0</v>
      </c>
      <c r="D429">
        <f t="shared" si="115"/>
        <v>1</v>
      </c>
      <c r="E429" t="s">
        <v>800</v>
      </c>
      <c r="F429" t="s">
        <v>709</v>
      </c>
      <c r="G429" s="1">
        <v>22847</v>
      </c>
      <c r="H429" s="2">
        <f t="shared" ca="1" si="116"/>
        <v>64</v>
      </c>
      <c r="I429" s="2">
        <f t="shared" ca="1" si="117"/>
        <v>0.55714285714285716</v>
      </c>
      <c r="J429" t="s">
        <v>36</v>
      </c>
      <c r="K429" t="s">
        <v>37</v>
      </c>
      <c r="L429">
        <f t="shared" si="118"/>
        <v>1</v>
      </c>
      <c r="M429">
        <f t="shared" si="119"/>
        <v>0</v>
      </c>
      <c r="N429">
        <f t="shared" si="120"/>
        <v>0</v>
      </c>
      <c r="O429" t="s">
        <v>76</v>
      </c>
      <c r="P429">
        <f t="shared" si="121"/>
        <v>0</v>
      </c>
      <c r="Q429">
        <f t="shared" si="122"/>
        <v>1</v>
      </c>
      <c r="R429">
        <f t="shared" si="123"/>
        <v>0</v>
      </c>
      <c r="S429">
        <f t="shared" si="124"/>
        <v>0</v>
      </c>
      <c r="T429">
        <f t="shared" si="125"/>
        <v>0</v>
      </c>
      <c r="U429">
        <f t="shared" si="126"/>
        <v>0</v>
      </c>
      <c r="V429">
        <f t="shared" si="127"/>
        <v>0</v>
      </c>
      <c r="W429" t="s">
        <v>39</v>
      </c>
      <c r="X429">
        <f t="shared" si="128"/>
        <v>1</v>
      </c>
      <c r="Y429">
        <f t="shared" si="129"/>
        <v>0</v>
      </c>
      <c r="Z429">
        <v>3</v>
      </c>
      <c r="AA429">
        <f t="shared" si="130"/>
        <v>0.5</v>
      </c>
      <c r="AB429" t="s">
        <v>46</v>
      </c>
      <c r="AC429">
        <f t="shared" si="131"/>
        <v>1</v>
      </c>
      <c r="AD429">
        <f t="shared" si="132"/>
        <v>0</v>
      </c>
      <c r="AE429" t="s">
        <v>50</v>
      </c>
      <c r="AF429">
        <f>IF(AE429="website",1,0)</f>
        <v>0</v>
      </c>
    </row>
    <row r="430" spans="1:32">
      <c r="A430" t="s">
        <v>1020</v>
      </c>
      <c r="B430" t="s">
        <v>33</v>
      </c>
      <c r="C430" s="3">
        <f t="shared" si="114"/>
        <v>0</v>
      </c>
      <c r="D430">
        <f t="shared" si="115"/>
        <v>1</v>
      </c>
      <c r="E430" t="s">
        <v>784</v>
      </c>
      <c r="F430" t="s">
        <v>691</v>
      </c>
      <c r="G430" s="1">
        <v>35008</v>
      </c>
      <c r="H430" s="2">
        <f t="shared" ca="1" si="116"/>
        <v>30</v>
      </c>
      <c r="I430" s="2">
        <f t="shared" ca="1" si="117"/>
        <v>7.1428571428571425E-2</v>
      </c>
      <c r="J430" t="s">
        <v>36</v>
      </c>
      <c r="K430" t="s">
        <v>37</v>
      </c>
      <c r="L430">
        <f t="shared" si="118"/>
        <v>1</v>
      </c>
      <c r="M430">
        <f t="shared" si="119"/>
        <v>0</v>
      </c>
      <c r="N430">
        <f t="shared" si="120"/>
        <v>0</v>
      </c>
      <c r="O430" t="s">
        <v>38</v>
      </c>
      <c r="P430">
        <f t="shared" si="121"/>
        <v>1</v>
      </c>
      <c r="Q430">
        <f t="shared" si="122"/>
        <v>0</v>
      </c>
      <c r="R430">
        <f t="shared" si="123"/>
        <v>0</v>
      </c>
      <c r="S430">
        <f t="shared" si="124"/>
        <v>0</v>
      </c>
      <c r="T430">
        <f t="shared" si="125"/>
        <v>0</v>
      </c>
      <c r="U430">
        <f t="shared" si="126"/>
        <v>0</v>
      </c>
      <c r="V430">
        <f t="shared" si="127"/>
        <v>0</v>
      </c>
      <c r="W430" t="s">
        <v>39</v>
      </c>
      <c r="X430">
        <f t="shared" si="128"/>
        <v>1</v>
      </c>
      <c r="Y430">
        <f t="shared" si="129"/>
        <v>0</v>
      </c>
      <c r="Z430">
        <v>3</v>
      </c>
      <c r="AA430">
        <f t="shared" si="130"/>
        <v>0.5</v>
      </c>
      <c r="AB430" t="s">
        <v>40</v>
      </c>
      <c r="AC430">
        <f t="shared" si="131"/>
        <v>0</v>
      </c>
      <c r="AD430">
        <f t="shared" si="132"/>
        <v>0</v>
      </c>
      <c r="AE430" t="s">
        <v>41</v>
      </c>
      <c r="AF430">
        <f>IF(AE430="website",1,0)</f>
        <v>1</v>
      </c>
    </row>
    <row r="431" spans="1:32">
      <c r="A431" t="s">
        <v>1021</v>
      </c>
      <c r="B431" t="s">
        <v>33</v>
      </c>
      <c r="C431" s="3">
        <f t="shared" si="114"/>
        <v>0</v>
      </c>
      <c r="D431">
        <f t="shared" si="115"/>
        <v>1</v>
      </c>
      <c r="E431" t="s">
        <v>832</v>
      </c>
      <c r="F431" t="s">
        <v>669</v>
      </c>
      <c r="G431" s="1">
        <v>27307</v>
      </c>
      <c r="H431" s="2">
        <f t="shared" ca="1" si="116"/>
        <v>52</v>
      </c>
      <c r="I431" s="2">
        <f t="shared" ca="1" si="117"/>
        <v>0.38571428571428573</v>
      </c>
      <c r="J431" t="s">
        <v>45</v>
      </c>
      <c r="K431" t="s">
        <v>37</v>
      </c>
      <c r="L431">
        <f t="shared" si="118"/>
        <v>1</v>
      </c>
      <c r="M431">
        <f t="shared" si="119"/>
        <v>0</v>
      </c>
      <c r="N431">
        <f t="shared" si="120"/>
        <v>0</v>
      </c>
      <c r="O431" t="s">
        <v>124</v>
      </c>
      <c r="P431">
        <f t="shared" si="121"/>
        <v>0</v>
      </c>
      <c r="Q431">
        <f t="shared" si="122"/>
        <v>0</v>
      </c>
      <c r="R431">
        <f t="shared" si="123"/>
        <v>0</v>
      </c>
      <c r="S431">
        <f t="shared" si="124"/>
        <v>0</v>
      </c>
      <c r="T431">
        <f t="shared" si="125"/>
        <v>0</v>
      </c>
      <c r="U431">
        <f t="shared" si="126"/>
        <v>1</v>
      </c>
      <c r="V431">
        <f t="shared" si="127"/>
        <v>0</v>
      </c>
      <c r="W431" t="s">
        <v>39</v>
      </c>
      <c r="X431">
        <f t="shared" si="128"/>
        <v>1</v>
      </c>
      <c r="Y431">
        <f t="shared" si="129"/>
        <v>0</v>
      </c>
      <c r="Z431">
        <v>2</v>
      </c>
      <c r="AA431">
        <f t="shared" si="130"/>
        <v>0.25</v>
      </c>
      <c r="AB431" t="s">
        <v>46</v>
      </c>
      <c r="AC431">
        <f t="shared" si="131"/>
        <v>1</v>
      </c>
      <c r="AD431">
        <f t="shared" si="132"/>
        <v>0</v>
      </c>
      <c r="AE431" t="s">
        <v>50</v>
      </c>
      <c r="AF431">
        <f>IF(AE431="website",1,0)</f>
        <v>0</v>
      </c>
    </row>
    <row r="432" spans="1:32">
      <c r="A432" t="s">
        <v>1022</v>
      </c>
      <c r="B432" t="s">
        <v>33</v>
      </c>
      <c r="C432" s="3">
        <f t="shared" si="114"/>
        <v>0</v>
      </c>
      <c r="D432">
        <f t="shared" si="115"/>
        <v>1</v>
      </c>
      <c r="E432" t="s">
        <v>1023</v>
      </c>
      <c r="F432" t="s">
        <v>904</v>
      </c>
      <c r="G432" s="1">
        <v>25328</v>
      </c>
      <c r="H432" s="2">
        <f t="shared" ca="1" si="116"/>
        <v>57</v>
      </c>
      <c r="I432" s="2">
        <f t="shared" ca="1" si="117"/>
        <v>0.45714285714285713</v>
      </c>
      <c r="J432" t="s">
        <v>45</v>
      </c>
      <c r="K432" t="s">
        <v>37</v>
      </c>
      <c r="L432">
        <f t="shared" si="118"/>
        <v>1</v>
      </c>
      <c r="M432">
        <f t="shared" si="119"/>
        <v>0</v>
      </c>
      <c r="N432">
        <f t="shared" si="120"/>
        <v>0</v>
      </c>
      <c r="O432" t="s">
        <v>38</v>
      </c>
      <c r="P432">
        <f t="shared" si="121"/>
        <v>1</v>
      </c>
      <c r="Q432">
        <f t="shared" si="122"/>
        <v>0</v>
      </c>
      <c r="R432">
        <f t="shared" si="123"/>
        <v>0</v>
      </c>
      <c r="S432">
        <f t="shared" si="124"/>
        <v>0</v>
      </c>
      <c r="T432">
        <f t="shared" si="125"/>
        <v>0</v>
      </c>
      <c r="U432">
        <f t="shared" si="126"/>
        <v>0</v>
      </c>
      <c r="V432">
        <f t="shared" si="127"/>
        <v>0</v>
      </c>
      <c r="W432" t="s">
        <v>39</v>
      </c>
      <c r="X432">
        <f t="shared" si="128"/>
        <v>1</v>
      </c>
      <c r="Y432">
        <f t="shared" si="129"/>
        <v>0</v>
      </c>
      <c r="Z432">
        <v>5</v>
      </c>
      <c r="AA432">
        <f t="shared" si="130"/>
        <v>1</v>
      </c>
      <c r="AB432" t="s">
        <v>40</v>
      </c>
      <c r="AC432">
        <f t="shared" si="131"/>
        <v>0</v>
      </c>
      <c r="AD432">
        <f t="shared" si="132"/>
        <v>0</v>
      </c>
      <c r="AE432" t="s">
        <v>41</v>
      </c>
      <c r="AF432">
        <f>IF(AE432="website",1,0)</f>
        <v>1</v>
      </c>
    </row>
    <row r="433" spans="1:32">
      <c r="A433" t="s">
        <v>1024</v>
      </c>
      <c r="B433" t="s">
        <v>55</v>
      </c>
      <c r="C433" s="3">
        <f t="shared" si="114"/>
        <v>1</v>
      </c>
      <c r="D433">
        <f t="shared" si="115"/>
        <v>0</v>
      </c>
      <c r="E433" t="s">
        <v>1025</v>
      </c>
      <c r="F433" t="s">
        <v>57</v>
      </c>
      <c r="G433" s="1">
        <v>34747</v>
      </c>
      <c r="H433" s="2">
        <f t="shared" ca="1" si="116"/>
        <v>31</v>
      </c>
      <c r="I433" s="2">
        <f t="shared" ca="1" si="117"/>
        <v>8.5714285714285715E-2</v>
      </c>
      <c r="J433" t="s">
        <v>45</v>
      </c>
      <c r="K433" t="s">
        <v>37</v>
      </c>
      <c r="L433">
        <f t="shared" si="118"/>
        <v>1</v>
      </c>
      <c r="M433">
        <f t="shared" si="119"/>
        <v>0</v>
      </c>
      <c r="N433">
        <f t="shared" si="120"/>
        <v>0</v>
      </c>
      <c r="O433" t="s">
        <v>38</v>
      </c>
      <c r="P433">
        <f t="shared" si="121"/>
        <v>1</v>
      </c>
      <c r="Q433">
        <f t="shared" si="122"/>
        <v>0</v>
      </c>
      <c r="R433">
        <f t="shared" si="123"/>
        <v>0</v>
      </c>
      <c r="S433">
        <f t="shared" si="124"/>
        <v>0</v>
      </c>
      <c r="T433">
        <f t="shared" si="125"/>
        <v>0</v>
      </c>
      <c r="U433">
        <f t="shared" si="126"/>
        <v>0</v>
      </c>
      <c r="V433">
        <f t="shared" si="127"/>
        <v>0</v>
      </c>
      <c r="W433" t="s">
        <v>39</v>
      </c>
      <c r="X433">
        <f t="shared" si="128"/>
        <v>1</v>
      </c>
      <c r="Y433">
        <f t="shared" si="129"/>
        <v>0</v>
      </c>
      <c r="Z433">
        <v>5</v>
      </c>
      <c r="AA433">
        <f t="shared" si="130"/>
        <v>1</v>
      </c>
      <c r="AB433" t="s">
        <v>46</v>
      </c>
      <c r="AC433">
        <f t="shared" si="131"/>
        <v>1</v>
      </c>
      <c r="AD433">
        <f t="shared" si="132"/>
        <v>0</v>
      </c>
      <c r="AE433" t="s">
        <v>50</v>
      </c>
      <c r="AF433">
        <f>IF(AE433="website",1,0)</f>
        <v>0</v>
      </c>
    </row>
    <row r="434" spans="1:32">
      <c r="A434" t="s">
        <v>1026</v>
      </c>
      <c r="B434" t="s">
        <v>33</v>
      </c>
      <c r="C434" s="3">
        <f t="shared" si="114"/>
        <v>0</v>
      </c>
      <c r="D434">
        <f t="shared" si="115"/>
        <v>1</v>
      </c>
      <c r="E434" t="s">
        <v>829</v>
      </c>
      <c r="F434" t="s">
        <v>716</v>
      </c>
      <c r="G434" s="1">
        <v>25265</v>
      </c>
      <c r="H434" s="2">
        <f t="shared" ca="1" si="116"/>
        <v>57</v>
      </c>
      <c r="I434" s="2">
        <f t="shared" ca="1" si="117"/>
        <v>0.45714285714285713</v>
      </c>
      <c r="J434" t="s">
        <v>36</v>
      </c>
      <c r="K434" t="s">
        <v>37</v>
      </c>
      <c r="L434">
        <f t="shared" si="118"/>
        <v>1</v>
      </c>
      <c r="M434">
        <f t="shared" si="119"/>
        <v>0</v>
      </c>
      <c r="N434">
        <f t="shared" si="120"/>
        <v>0</v>
      </c>
      <c r="O434" t="s">
        <v>38</v>
      </c>
      <c r="P434">
        <f t="shared" si="121"/>
        <v>1</v>
      </c>
      <c r="Q434">
        <f t="shared" si="122"/>
        <v>0</v>
      </c>
      <c r="R434">
        <f t="shared" si="123"/>
        <v>0</v>
      </c>
      <c r="S434">
        <f t="shared" si="124"/>
        <v>0</v>
      </c>
      <c r="T434">
        <f t="shared" si="125"/>
        <v>0</v>
      </c>
      <c r="U434">
        <f t="shared" si="126"/>
        <v>0</v>
      </c>
      <c r="V434">
        <f t="shared" si="127"/>
        <v>0</v>
      </c>
      <c r="W434" t="s">
        <v>58</v>
      </c>
      <c r="X434">
        <f t="shared" si="128"/>
        <v>0</v>
      </c>
      <c r="Y434">
        <f t="shared" si="129"/>
        <v>1</v>
      </c>
      <c r="Z434">
        <v>2</v>
      </c>
      <c r="AA434">
        <f t="shared" si="130"/>
        <v>0.25</v>
      </c>
      <c r="AB434" t="s">
        <v>40</v>
      </c>
      <c r="AC434">
        <f t="shared" si="131"/>
        <v>0</v>
      </c>
      <c r="AD434">
        <f t="shared" si="132"/>
        <v>0</v>
      </c>
      <c r="AE434" t="s">
        <v>41</v>
      </c>
      <c r="AF434">
        <f>IF(AE434="website",1,0)</f>
        <v>1</v>
      </c>
    </row>
    <row r="435" spans="1:32">
      <c r="A435" t="s">
        <v>1027</v>
      </c>
      <c r="B435" t="s">
        <v>33</v>
      </c>
      <c r="C435" s="3">
        <f t="shared" si="114"/>
        <v>0</v>
      </c>
      <c r="D435">
        <f t="shared" si="115"/>
        <v>1</v>
      </c>
      <c r="E435" t="s">
        <v>404</v>
      </c>
      <c r="F435" t="s">
        <v>557</v>
      </c>
      <c r="G435" s="1">
        <v>23736</v>
      </c>
      <c r="H435" s="2">
        <f t="shared" ca="1" si="116"/>
        <v>61</v>
      </c>
      <c r="I435" s="2">
        <f t="shared" ca="1" si="117"/>
        <v>0.51428571428571423</v>
      </c>
      <c r="J435" t="s">
        <v>36</v>
      </c>
      <c r="K435" t="s">
        <v>172</v>
      </c>
      <c r="L435">
        <f t="shared" si="118"/>
        <v>0</v>
      </c>
      <c r="M435">
        <f t="shared" si="119"/>
        <v>0</v>
      </c>
      <c r="N435">
        <f t="shared" si="120"/>
        <v>0</v>
      </c>
      <c r="O435" t="s">
        <v>833</v>
      </c>
      <c r="P435">
        <f t="shared" si="121"/>
        <v>0</v>
      </c>
      <c r="Q435">
        <f t="shared" si="122"/>
        <v>0</v>
      </c>
      <c r="R435">
        <f t="shared" si="123"/>
        <v>0</v>
      </c>
      <c r="S435">
        <f t="shared" si="124"/>
        <v>0</v>
      </c>
      <c r="T435">
        <f t="shared" si="125"/>
        <v>0</v>
      </c>
      <c r="U435">
        <f t="shared" si="126"/>
        <v>0</v>
      </c>
      <c r="V435">
        <f t="shared" si="127"/>
        <v>0</v>
      </c>
      <c r="W435" t="s">
        <v>39</v>
      </c>
      <c r="X435">
        <f t="shared" si="128"/>
        <v>1</v>
      </c>
      <c r="Y435">
        <f t="shared" si="129"/>
        <v>0</v>
      </c>
      <c r="Z435">
        <v>5</v>
      </c>
      <c r="AA435">
        <f t="shared" si="130"/>
        <v>1</v>
      </c>
      <c r="AB435" t="s">
        <v>46</v>
      </c>
      <c r="AC435">
        <f t="shared" si="131"/>
        <v>0</v>
      </c>
      <c r="AD435">
        <f t="shared" si="132"/>
        <v>0</v>
      </c>
      <c r="AE435" t="s">
        <v>41</v>
      </c>
      <c r="AF435">
        <f>IF(AE435="website",1,0)</f>
        <v>1</v>
      </c>
    </row>
    <row r="436" spans="1:32">
      <c r="A436" t="s">
        <v>1028</v>
      </c>
      <c r="B436" t="s">
        <v>33</v>
      </c>
      <c r="C436" s="3">
        <f t="shared" si="114"/>
        <v>0</v>
      </c>
      <c r="D436">
        <f t="shared" si="115"/>
        <v>1</v>
      </c>
      <c r="E436" t="s">
        <v>759</v>
      </c>
      <c r="F436" t="s">
        <v>695</v>
      </c>
      <c r="G436" s="1">
        <v>24132</v>
      </c>
      <c r="H436" s="2">
        <f t="shared" ca="1" si="116"/>
        <v>60</v>
      </c>
      <c r="I436" s="2">
        <f t="shared" ca="1" si="117"/>
        <v>0.5</v>
      </c>
      <c r="J436" t="s">
        <v>36</v>
      </c>
      <c r="K436" t="s">
        <v>819</v>
      </c>
      <c r="L436">
        <f t="shared" si="118"/>
        <v>0</v>
      </c>
      <c r="M436">
        <f t="shared" si="119"/>
        <v>0</v>
      </c>
      <c r="N436">
        <f t="shared" si="120"/>
        <v>0</v>
      </c>
      <c r="O436" t="s">
        <v>820</v>
      </c>
      <c r="P436">
        <f t="shared" si="121"/>
        <v>0</v>
      </c>
      <c r="Q436">
        <f t="shared" si="122"/>
        <v>0</v>
      </c>
      <c r="R436">
        <f t="shared" si="123"/>
        <v>0</v>
      </c>
      <c r="S436">
        <f t="shared" si="124"/>
        <v>0</v>
      </c>
      <c r="T436">
        <f t="shared" si="125"/>
        <v>0</v>
      </c>
      <c r="U436">
        <f t="shared" si="126"/>
        <v>0</v>
      </c>
      <c r="V436">
        <f t="shared" si="127"/>
        <v>0</v>
      </c>
      <c r="W436" t="s">
        <v>39</v>
      </c>
      <c r="X436">
        <f t="shared" si="128"/>
        <v>1</v>
      </c>
      <c r="Y436">
        <f t="shared" si="129"/>
        <v>0</v>
      </c>
      <c r="Z436">
        <v>5</v>
      </c>
      <c r="AA436">
        <f t="shared" si="130"/>
        <v>1</v>
      </c>
      <c r="AB436" t="s">
        <v>40</v>
      </c>
      <c r="AC436">
        <f t="shared" si="131"/>
        <v>0</v>
      </c>
      <c r="AD436">
        <f t="shared" si="132"/>
        <v>0</v>
      </c>
      <c r="AE436" t="s">
        <v>41</v>
      </c>
      <c r="AF436">
        <f>IF(AE436="website",1,0)</f>
        <v>1</v>
      </c>
    </row>
    <row r="437" spans="1:32">
      <c r="A437" t="s">
        <v>1029</v>
      </c>
      <c r="B437" t="s">
        <v>33</v>
      </c>
      <c r="C437" s="3">
        <f t="shared" si="114"/>
        <v>0</v>
      </c>
      <c r="D437">
        <f t="shared" si="115"/>
        <v>1</v>
      </c>
      <c r="E437" t="s">
        <v>575</v>
      </c>
      <c r="F437" t="s">
        <v>562</v>
      </c>
      <c r="G437" s="1">
        <v>26431</v>
      </c>
      <c r="H437" s="2">
        <f t="shared" ca="1" si="116"/>
        <v>54</v>
      </c>
      <c r="I437" s="2">
        <f t="shared" ca="1" si="117"/>
        <v>0.41428571428571431</v>
      </c>
      <c r="J437" t="s">
        <v>45</v>
      </c>
      <c r="K437" t="s">
        <v>37</v>
      </c>
      <c r="L437">
        <f t="shared" si="118"/>
        <v>1</v>
      </c>
      <c r="M437">
        <f t="shared" si="119"/>
        <v>0</v>
      </c>
      <c r="N437">
        <f t="shared" si="120"/>
        <v>0</v>
      </c>
      <c r="O437" t="s">
        <v>137</v>
      </c>
      <c r="P437">
        <f t="shared" si="121"/>
        <v>0</v>
      </c>
      <c r="Q437">
        <f t="shared" si="122"/>
        <v>0</v>
      </c>
      <c r="R437">
        <f t="shared" si="123"/>
        <v>0</v>
      </c>
      <c r="S437">
        <f t="shared" si="124"/>
        <v>0</v>
      </c>
      <c r="T437">
        <f t="shared" si="125"/>
        <v>0</v>
      </c>
      <c r="U437">
        <f t="shared" si="126"/>
        <v>0</v>
      </c>
      <c r="V437">
        <f t="shared" si="127"/>
        <v>0</v>
      </c>
      <c r="W437" t="s">
        <v>39</v>
      </c>
      <c r="X437">
        <f t="shared" si="128"/>
        <v>1</v>
      </c>
      <c r="Y437">
        <f t="shared" si="129"/>
        <v>0</v>
      </c>
      <c r="Z437">
        <v>2</v>
      </c>
      <c r="AA437">
        <f t="shared" si="130"/>
        <v>0.25</v>
      </c>
      <c r="AB437" t="s">
        <v>40</v>
      </c>
      <c r="AC437">
        <f t="shared" si="131"/>
        <v>0</v>
      </c>
      <c r="AD437">
        <f t="shared" si="132"/>
        <v>1</v>
      </c>
      <c r="AE437" t="s">
        <v>90</v>
      </c>
      <c r="AF437">
        <f>IF(AE437="website",1,0)</f>
        <v>0</v>
      </c>
    </row>
    <row r="438" spans="1:32">
      <c r="A438" t="s">
        <v>1030</v>
      </c>
      <c r="B438" t="s">
        <v>33</v>
      </c>
      <c r="C438" s="3">
        <f t="shared" si="114"/>
        <v>0</v>
      </c>
      <c r="D438">
        <f t="shared" si="115"/>
        <v>1</v>
      </c>
      <c r="E438" t="s">
        <v>784</v>
      </c>
      <c r="F438" t="s">
        <v>659</v>
      </c>
      <c r="G438" s="1">
        <v>33151</v>
      </c>
      <c r="H438" s="2">
        <f t="shared" ca="1" si="116"/>
        <v>36</v>
      </c>
      <c r="I438" s="2">
        <f t="shared" ca="1" si="117"/>
        <v>0.15714285714285714</v>
      </c>
      <c r="J438" t="s">
        <v>36</v>
      </c>
      <c r="K438" t="s">
        <v>37</v>
      </c>
      <c r="L438">
        <f t="shared" si="118"/>
        <v>1</v>
      </c>
      <c r="M438">
        <f t="shared" si="119"/>
        <v>0</v>
      </c>
      <c r="N438">
        <f t="shared" si="120"/>
        <v>0</v>
      </c>
      <c r="O438" t="s">
        <v>592</v>
      </c>
      <c r="P438">
        <f t="shared" si="121"/>
        <v>0</v>
      </c>
      <c r="Q438">
        <f t="shared" si="122"/>
        <v>0</v>
      </c>
      <c r="R438">
        <f t="shared" si="123"/>
        <v>0</v>
      </c>
      <c r="S438">
        <f t="shared" si="124"/>
        <v>0</v>
      </c>
      <c r="T438">
        <f t="shared" si="125"/>
        <v>0</v>
      </c>
      <c r="U438">
        <f t="shared" si="126"/>
        <v>0</v>
      </c>
      <c r="V438">
        <f t="shared" si="127"/>
        <v>0</v>
      </c>
      <c r="W438" t="s">
        <v>39</v>
      </c>
      <c r="X438">
        <f t="shared" si="128"/>
        <v>1</v>
      </c>
      <c r="Y438">
        <f t="shared" si="129"/>
        <v>0</v>
      </c>
      <c r="Z438">
        <v>1</v>
      </c>
      <c r="AA438">
        <f t="shared" si="130"/>
        <v>0</v>
      </c>
      <c r="AB438" t="s">
        <v>46</v>
      </c>
      <c r="AC438">
        <f t="shared" si="131"/>
        <v>0</v>
      </c>
      <c r="AD438">
        <f t="shared" si="132"/>
        <v>0</v>
      </c>
      <c r="AE438" t="s">
        <v>41</v>
      </c>
      <c r="AF438">
        <f>IF(AE438="website",1,0)</f>
        <v>1</v>
      </c>
    </row>
    <row r="439" spans="1:32">
      <c r="A439" t="s">
        <v>1031</v>
      </c>
      <c r="B439" t="s">
        <v>33</v>
      </c>
      <c r="C439" s="3">
        <f t="shared" si="114"/>
        <v>0</v>
      </c>
      <c r="D439">
        <f t="shared" si="115"/>
        <v>1</v>
      </c>
      <c r="E439" t="s">
        <v>1032</v>
      </c>
      <c r="F439" t="s">
        <v>745</v>
      </c>
      <c r="G439" s="1">
        <v>30233</v>
      </c>
      <c r="H439" s="2">
        <f t="shared" ca="1" si="116"/>
        <v>43</v>
      </c>
      <c r="I439" s="2">
        <f t="shared" ca="1" si="117"/>
        <v>0.25714285714285712</v>
      </c>
      <c r="J439" t="s">
        <v>45</v>
      </c>
      <c r="K439" t="s">
        <v>37</v>
      </c>
      <c r="L439">
        <f t="shared" si="118"/>
        <v>1</v>
      </c>
      <c r="M439">
        <f t="shared" si="119"/>
        <v>0</v>
      </c>
      <c r="N439">
        <f t="shared" si="120"/>
        <v>0</v>
      </c>
      <c r="O439" t="s">
        <v>785</v>
      </c>
      <c r="P439">
        <f t="shared" si="121"/>
        <v>0</v>
      </c>
      <c r="Q439">
        <f t="shared" si="122"/>
        <v>0</v>
      </c>
      <c r="R439">
        <f t="shared" si="123"/>
        <v>0</v>
      </c>
      <c r="S439">
        <f t="shared" si="124"/>
        <v>0</v>
      </c>
      <c r="T439">
        <f t="shared" si="125"/>
        <v>0</v>
      </c>
      <c r="U439">
        <f t="shared" si="126"/>
        <v>0</v>
      </c>
      <c r="V439">
        <f t="shared" si="127"/>
        <v>0</v>
      </c>
      <c r="W439" t="s">
        <v>58</v>
      </c>
      <c r="X439">
        <f t="shared" si="128"/>
        <v>0</v>
      </c>
      <c r="Y439">
        <f t="shared" si="129"/>
        <v>1</v>
      </c>
      <c r="Z439">
        <v>1</v>
      </c>
      <c r="AA439">
        <f t="shared" si="130"/>
        <v>0</v>
      </c>
      <c r="AB439" t="s">
        <v>40</v>
      </c>
      <c r="AC439">
        <f t="shared" si="131"/>
        <v>0</v>
      </c>
      <c r="AD439">
        <f t="shared" si="132"/>
        <v>1</v>
      </c>
      <c r="AE439" t="s">
        <v>90</v>
      </c>
      <c r="AF439">
        <f>IF(AE439="website",1,0)</f>
        <v>0</v>
      </c>
    </row>
    <row r="440" spans="1:32">
      <c r="A440" t="s">
        <v>1033</v>
      </c>
      <c r="B440" t="s">
        <v>33</v>
      </c>
      <c r="C440" s="3">
        <f t="shared" si="114"/>
        <v>0</v>
      </c>
      <c r="D440">
        <f t="shared" si="115"/>
        <v>1</v>
      </c>
      <c r="E440" t="s">
        <v>544</v>
      </c>
      <c r="F440" t="s">
        <v>798</v>
      </c>
      <c r="G440" s="1">
        <v>20522</v>
      </c>
      <c r="H440" s="2">
        <f t="shared" ca="1" si="116"/>
        <v>70</v>
      </c>
      <c r="I440" s="2">
        <f t="shared" ca="1" si="117"/>
        <v>0.6428571428571429</v>
      </c>
      <c r="J440" t="s">
        <v>45</v>
      </c>
      <c r="K440" t="s">
        <v>37</v>
      </c>
      <c r="L440">
        <f t="shared" si="118"/>
        <v>1</v>
      </c>
      <c r="M440">
        <f t="shared" si="119"/>
        <v>0</v>
      </c>
      <c r="N440">
        <f t="shared" si="120"/>
        <v>0</v>
      </c>
      <c r="O440" t="s">
        <v>305</v>
      </c>
      <c r="P440">
        <f t="shared" si="121"/>
        <v>0</v>
      </c>
      <c r="Q440">
        <f t="shared" si="122"/>
        <v>0</v>
      </c>
      <c r="R440">
        <f t="shared" si="123"/>
        <v>0</v>
      </c>
      <c r="S440">
        <f t="shared" si="124"/>
        <v>0</v>
      </c>
      <c r="T440">
        <f t="shared" si="125"/>
        <v>0</v>
      </c>
      <c r="U440">
        <f t="shared" si="126"/>
        <v>0</v>
      </c>
      <c r="V440">
        <f t="shared" si="127"/>
        <v>0</v>
      </c>
      <c r="W440" t="s">
        <v>39</v>
      </c>
      <c r="X440">
        <f t="shared" si="128"/>
        <v>1</v>
      </c>
      <c r="Y440">
        <f t="shared" si="129"/>
        <v>0</v>
      </c>
      <c r="Z440">
        <v>2</v>
      </c>
      <c r="AA440">
        <f t="shared" si="130"/>
        <v>0.25</v>
      </c>
      <c r="AB440" t="s">
        <v>46</v>
      </c>
      <c r="AC440">
        <f t="shared" si="131"/>
        <v>1</v>
      </c>
      <c r="AD440">
        <f t="shared" si="132"/>
        <v>0</v>
      </c>
      <c r="AE440" t="s">
        <v>50</v>
      </c>
      <c r="AF440">
        <f>IF(AE440="website",1,0)</f>
        <v>0</v>
      </c>
    </row>
    <row r="441" spans="1:32">
      <c r="A441" t="s">
        <v>1034</v>
      </c>
      <c r="B441" t="s">
        <v>33</v>
      </c>
      <c r="C441" s="3">
        <f t="shared" si="114"/>
        <v>0</v>
      </c>
      <c r="D441">
        <f t="shared" si="115"/>
        <v>1</v>
      </c>
      <c r="E441" t="s">
        <v>590</v>
      </c>
      <c r="F441" t="s">
        <v>538</v>
      </c>
      <c r="G441" s="1">
        <v>22110</v>
      </c>
      <c r="H441" s="2">
        <f t="shared" ca="1" si="116"/>
        <v>66</v>
      </c>
      <c r="I441" s="2">
        <f t="shared" ca="1" si="117"/>
        <v>0.58571428571428574</v>
      </c>
      <c r="J441" t="s">
        <v>45</v>
      </c>
      <c r="K441" t="s">
        <v>37</v>
      </c>
      <c r="L441">
        <f t="shared" si="118"/>
        <v>1</v>
      </c>
      <c r="M441">
        <f t="shared" si="119"/>
        <v>0</v>
      </c>
      <c r="N441">
        <f t="shared" si="120"/>
        <v>0</v>
      </c>
      <c r="O441" t="s">
        <v>38</v>
      </c>
      <c r="P441">
        <f t="shared" si="121"/>
        <v>1</v>
      </c>
      <c r="Q441">
        <f t="shared" si="122"/>
        <v>0</v>
      </c>
      <c r="R441">
        <f t="shared" si="123"/>
        <v>0</v>
      </c>
      <c r="S441">
        <f t="shared" si="124"/>
        <v>0</v>
      </c>
      <c r="T441">
        <f t="shared" si="125"/>
        <v>0</v>
      </c>
      <c r="U441">
        <f t="shared" si="126"/>
        <v>0</v>
      </c>
      <c r="V441">
        <f t="shared" si="127"/>
        <v>0</v>
      </c>
      <c r="W441" t="s">
        <v>58</v>
      </c>
      <c r="X441">
        <f t="shared" si="128"/>
        <v>0</v>
      </c>
      <c r="Y441">
        <f t="shared" si="129"/>
        <v>1</v>
      </c>
      <c r="Z441">
        <v>1</v>
      </c>
      <c r="AA441">
        <f t="shared" si="130"/>
        <v>0</v>
      </c>
      <c r="AB441" t="s">
        <v>46</v>
      </c>
      <c r="AC441">
        <f t="shared" si="131"/>
        <v>1</v>
      </c>
      <c r="AD441">
        <f t="shared" si="132"/>
        <v>0</v>
      </c>
      <c r="AE441" t="s">
        <v>50</v>
      </c>
      <c r="AF441">
        <f>IF(AE441="website",1,0)</f>
        <v>0</v>
      </c>
    </row>
    <row r="442" spans="1:32">
      <c r="A442" t="s">
        <v>1035</v>
      </c>
      <c r="B442" t="s">
        <v>33</v>
      </c>
      <c r="C442" s="3">
        <f t="shared" si="114"/>
        <v>0</v>
      </c>
      <c r="D442">
        <f t="shared" si="115"/>
        <v>1</v>
      </c>
      <c r="E442" t="s">
        <v>817</v>
      </c>
      <c r="F442" t="s">
        <v>674</v>
      </c>
      <c r="G442" s="1">
        <v>29495</v>
      </c>
      <c r="H442" s="2">
        <f t="shared" ca="1" si="116"/>
        <v>46</v>
      </c>
      <c r="I442" s="2">
        <f t="shared" ca="1" si="117"/>
        <v>0.3</v>
      </c>
      <c r="J442" t="s">
        <v>36</v>
      </c>
      <c r="K442" t="s">
        <v>172</v>
      </c>
      <c r="L442">
        <f t="shared" si="118"/>
        <v>0</v>
      </c>
      <c r="M442">
        <f t="shared" si="119"/>
        <v>0</v>
      </c>
      <c r="N442">
        <f t="shared" si="120"/>
        <v>0</v>
      </c>
      <c r="O442" t="s">
        <v>173</v>
      </c>
      <c r="P442">
        <f t="shared" si="121"/>
        <v>0</v>
      </c>
      <c r="Q442">
        <f t="shared" si="122"/>
        <v>0</v>
      </c>
      <c r="R442">
        <f t="shared" si="123"/>
        <v>0</v>
      </c>
      <c r="S442">
        <f t="shared" si="124"/>
        <v>0</v>
      </c>
      <c r="T442">
        <f t="shared" si="125"/>
        <v>0</v>
      </c>
      <c r="U442">
        <f t="shared" si="126"/>
        <v>0</v>
      </c>
      <c r="V442">
        <f t="shared" si="127"/>
        <v>0</v>
      </c>
      <c r="W442" t="s">
        <v>58</v>
      </c>
      <c r="X442">
        <f t="shared" si="128"/>
        <v>0</v>
      </c>
      <c r="Y442">
        <f t="shared" si="129"/>
        <v>1</v>
      </c>
      <c r="Z442">
        <v>1</v>
      </c>
      <c r="AA442">
        <f t="shared" si="130"/>
        <v>0</v>
      </c>
      <c r="AB442" t="s">
        <v>46</v>
      </c>
      <c r="AC442">
        <f t="shared" si="131"/>
        <v>1</v>
      </c>
      <c r="AD442">
        <f t="shared" si="132"/>
        <v>0</v>
      </c>
      <c r="AE442" t="s">
        <v>50</v>
      </c>
      <c r="AF442">
        <f>IF(AE442="website",1,0)</f>
        <v>0</v>
      </c>
    </row>
    <row r="443" spans="1:32">
      <c r="A443" t="s">
        <v>1036</v>
      </c>
      <c r="B443" t="s">
        <v>33</v>
      </c>
      <c r="C443" s="3">
        <f t="shared" si="114"/>
        <v>0</v>
      </c>
      <c r="D443">
        <f t="shared" si="115"/>
        <v>1</v>
      </c>
      <c r="E443" t="s">
        <v>581</v>
      </c>
      <c r="F443" t="s">
        <v>513</v>
      </c>
      <c r="G443" s="1">
        <v>27498</v>
      </c>
      <c r="H443" s="2">
        <f t="shared" ca="1" si="116"/>
        <v>51</v>
      </c>
      <c r="I443" s="2">
        <f t="shared" ca="1" si="117"/>
        <v>0.37142857142857144</v>
      </c>
      <c r="J443" t="s">
        <v>36</v>
      </c>
      <c r="K443" t="s">
        <v>37</v>
      </c>
      <c r="L443">
        <f t="shared" si="118"/>
        <v>1</v>
      </c>
      <c r="M443">
        <f t="shared" si="119"/>
        <v>0</v>
      </c>
      <c r="N443">
        <f t="shared" si="120"/>
        <v>0</v>
      </c>
      <c r="O443" t="s">
        <v>137</v>
      </c>
      <c r="P443">
        <f t="shared" si="121"/>
        <v>0</v>
      </c>
      <c r="Q443">
        <f t="shared" si="122"/>
        <v>0</v>
      </c>
      <c r="R443">
        <f t="shared" si="123"/>
        <v>0</v>
      </c>
      <c r="S443">
        <f t="shared" si="124"/>
        <v>0</v>
      </c>
      <c r="T443">
        <f t="shared" si="125"/>
        <v>0</v>
      </c>
      <c r="U443">
        <f t="shared" si="126"/>
        <v>0</v>
      </c>
      <c r="V443">
        <f t="shared" si="127"/>
        <v>0</v>
      </c>
      <c r="W443" t="s">
        <v>39</v>
      </c>
      <c r="X443">
        <f t="shared" si="128"/>
        <v>1</v>
      </c>
      <c r="Y443">
        <f t="shared" si="129"/>
        <v>0</v>
      </c>
      <c r="Z443">
        <v>3</v>
      </c>
      <c r="AA443">
        <f t="shared" si="130"/>
        <v>0.5</v>
      </c>
      <c r="AB443" t="s">
        <v>40</v>
      </c>
      <c r="AC443">
        <f t="shared" si="131"/>
        <v>0</v>
      </c>
      <c r="AD443">
        <f t="shared" si="132"/>
        <v>0</v>
      </c>
      <c r="AE443" t="s">
        <v>41</v>
      </c>
      <c r="AF443">
        <f>IF(AE443="website",1,0)</f>
        <v>1</v>
      </c>
    </row>
    <row r="444" spans="1:32">
      <c r="A444" t="s">
        <v>1037</v>
      </c>
      <c r="B444" t="s">
        <v>33</v>
      </c>
      <c r="C444" s="3">
        <f t="shared" si="114"/>
        <v>0</v>
      </c>
      <c r="D444">
        <f t="shared" si="115"/>
        <v>1</v>
      </c>
      <c r="E444" t="s">
        <v>815</v>
      </c>
      <c r="F444" t="s">
        <v>674</v>
      </c>
      <c r="G444" s="1">
        <v>18436</v>
      </c>
      <c r="H444" s="2">
        <f t="shared" ca="1" si="116"/>
        <v>76</v>
      </c>
      <c r="I444" s="2">
        <f t="shared" ca="1" si="117"/>
        <v>0.72857142857142854</v>
      </c>
      <c r="J444" t="s">
        <v>45</v>
      </c>
      <c r="K444" t="s">
        <v>276</v>
      </c>
      <c r="L444">
        <f t="shared" si="118"/>
        <v>0</v>
      </c>
      <c r="M444">
        <f t="shared" si="119"/>
        <v>0</v>
      </c>
      <c r="N444">
        <f t="shared" si="120"/>
        <v>0</v>
      </c>
      <c r="O444" t="s">
        <v>277</v>
      </c>
      <c r="P444">
        <f t="shared" si="121"/>
        <v>0</v>
      </c>
      <c r="Q444">
        <f t="shared" si="122"/>
        <v>0</v>
      </c>
      <c r="R444">
        <f t="shared" si="123"/>
        <v>0</v>
      </c>
      <c r="S444">
        <f t="shared" si="124"/>
        <v>0</v>
      </c>
      <c r="T444">
        <f t="shared" si="125"/>
        <v>0</v>
      </c>
      <c r="U444">
        <f t="shared" si="126"/>
        <v>0</v>
      </c>
      <c r="V444">
        <f t="shared" si="127"/>
        <v>0</v>
      </c>
      <c r="W444" t="s">
        <v>39</v>
      </c>
      <c r="X444">
        <f t="shared" si="128"/>
        <v>1</v>
      </c>
      <c r="Y444">
        <f t="shared" si="129"/>
        <v>0</v>
      </c>
      <c r="Z444">
        <v>1</v>
      </c>
      <c r="AA444">
        <f t="shared" si="130"/>
        <v>0</v>
      </c>
      <c r="AB444" t="s">
        <v>40</v>
      </c>
      <c r="AC444">
        <f t="shared" si="131"/>
        <v>1</v>
      </c>
      <c r="AD444">
        <f t="shared" si="132"/>
        <v>0</v>
      </c>
      <c r="AE444" t="s">
        <v>50</v>
      </c>
      <c r="AF444">
        <f>IF(AE444="website",1,0)</f>
        <v>0</v>
      </c>
    </row>
    <row r="445" spans="1:32">
      <c r="A445" t="s">
        <v>1038</v>
      </c>
      <c r="B445" t="s">
        <v>33</v>
      </c>
      <c r="C445" s="3">
        <f t="shared" si="114"/>
        <v>0</v>
      </c>
      <c r="D445">
        <f t="shared" si="115"/>
        <v>1</v>
      </c>
      <c r="E445" t="s">
        <v>982</v>
      </c>
      <c r="F445" t="s">
        <v>610</v>
      </c>
      <c r="G445" s="1">
        <v>15050</v>
      </c>
      <c r="H445" s="2">
        <f t="shared" ca="1" si="116"/>
        <v>85</v>
      </c>
      <c r="I445" s="2">
        <f t="shared" ca="1" si="117"/>
        <v>0.8571428571428571</v>
      </c>
      <c r="J445" t="s">
        <v>36</v>
      </c>
      <c r="K445" t="s">
        <v>37</v>
      </c>
      <c r="L445">
        <f t="shared" si="118"/>
        <v>1</v>
      </c>
      <c r="M445">
        <f t="shared" si="119"/>
        <v>0</v>
      </c>
      <c r="N445">
        <f t="shared" si="120"/>
        <v>0</v>
      </c>
      <c r="O445" t="s">
        <v>38</v>
      </c>
      <c r="P445">
        <f t="shared" si="121"/>
        <v>1</v>
      </c>
      <c r="Q445">
        <f t="shared" si="122"/>
        <v>0</v>
      </c>
      <c r="R445">
        <f t="shared" si="123"/>
        <v>0</v>
      </c>
      <c r="S445">
        <f t="shared" si="124"/>
        <v>0</v>
      </c>
      <c r="T445">
        <f t="shared" si="125"/>
        <v>0</v>
      </c>
      <c r="U445">
        <f t="shared" si="126"/>
        <v>0</v>
      </c>
      <c r="V445">
        <f t="shared" si="127"/>
        <v>0</v>
      </c>
      <c r="W445" t="s">
        <v>39</v>
      </c>
      <c r="X445">
        <f t="shared" si="128"/>
        <v>1</v>
      </c>
      <c r="Y445">
        <f t="shared" si="129"/>
        <v>0</v>
      </c>
      <c r="Z445">
        <v>2</v>
      </c>
      <c r="AA445">
        <f t="shared" si="130"/>
        <v>0.25</v>
      </c>
      <c r="AB445" t="s">
        <v>46</v>
      </c>
      <c r="AC445">
        <f t="shared" si="131"/>
        <v>0</v>
      </c>
      <c r="AD445">
        <f t="shared" si="132"/>
        <v>0</v>
      </c>
      <c r="AE445" t="s">
        <v>41</v>
      </c>
      <c r="AF445">
        <f>IF(AE445="website",1,0)</f>
        <v>1</v>
      </c>
    </row>
    <row r="446" spans="1:32">
      <c r="A446" t="s">
        <v>1039</v>
      </c>
      <c r="B446" t="s">
        <v>33</v>
      </c>
      <c r="C446" s="3">
        <f t="shared" si="114"/>
        <v>0</v>
      </c>
      <c r="D446">
        <f t="shared" si="115"/>
        <v>1</v>
      </c>
      <c r="E446" t="s">
        <v>482</v>
      </c>
      <c r="F446" t="s">
        <v>667</v>
      </c>
      <c r="G446" s="1">
        <v>35015</v>
      </c>
      <c r="H446" s="2">
        <f t="shared" ca="1" si="116"/>
        <v>30</v>
      </c>
      <c r="I446" s="2">
        <f t="shared" ca="1" si="117"/>
        <v>7.1428571428571425E-2</v>
      </c>
      <c r="J446" t="s">
        <v>36</v>
      </c>
      <c r="K446" t="s">
        <v>37</v>
      </c>
      <c r="L446">
        <f t="shared" si="118"/>
        <v>1</v>
      </c>
      <c r="M446">
        <f t="shared" si="119"/>
        <v>0</v>
      </c>
      <c r="N446">
        <f t="shared" si="120"/>
        <v>0</v>
      </c>
      <c r="O446" t="s">
        <v>38</v>
      </c>
      <c r="P446">
        <f t="shared" si="121"/>
        <v>1</v>
      </c>
      <c r="Q446">
        <f t="shared" si="122"/>
        <v>0</v>
      </c>
      <c r="R446">
        <f t="shared" si="123"/>
        <v>0</v>
      </c>
      <c r="S446">
        <f t="shared" si="124"/>
        <v>0</v>
      </c>
      <c r="T446">
        <f t="shared" si="125"/>
        <v>0</v>
      </c>
      <c r="U446">
        <f t="shared" si="126"/>
        <v>0</v>
      </c>
      <c r="V446">
        <f t="shared" si="127"/>
        <v>0</v>
      </c>
      <c r="W446" t="s">
        <v>39</v>
      </c>
      <c r="X446">
        <f t="shared" si="128"/>
        <v>1</v>
      </c>
      <c r="Y446">
        <f t="shared" si="129"/>
        <v>0</v>
      </c>
      <c r="Z446">
        <v>2</v>
      </c>
      <c r="AA446">
        <f t="shared" si="130"/>
        <v>0.25</v>
      </c>
      <c r="AB446" t="s">
        <v>40</v>
      </c>
      <c r="AC446">
        <f t="shared" si="131"/>
        <v>0</v>
      </c>
      <c r="AD446">
        <f t="shared" si="132"/>
        <v>0</v>
      </c>
      <c r="AE446" t="s">
        <v>41</v>
      </c>
      <c r="AF446">
        <f>IF(AE446="website",1,0)</f>
        <v>1</v>
      </c>
    </row>
    <row r="447" spans="1:32">
      <c r="A447" t="s">
        <v>1040</v>
      </c>
      <c r="B447" t="s">
        <v>33</v>
      </c>
      <c r="C447" s="3">
        <f t="shared" si="114"/>
        <v>0</v>
      </c>
      <c r="D447">
        <f t="shared" si="115"/>
        <v>1</v>
      </c>
      <c r="E447" t="s">
        <v>965</v>
      </c>
      <c r="F447" t="s">
        <v>1041</v>
      </c>
      <c r="G447" s="1">
        <v>20121</v>
      </c>
      <c r="H447" s="2">
        <f t="shared" ca="1" si="116"/>
        <v>71</v>
      </c>
      <c r="I447" s="2">
        <f t="shared" ca="1" si="117"/>
        <v>0.65714285714285714</v>
      </c>
      <c r="J447" t="s">
        <v>45</v>
      </c>
      <c r="K447" t="s">
        <v>37</v>
      </c>
      <c r="L447">
        <f t="shared" si="118"/>
        <v>1</v>
      </c>
      <c r="M447">
        <f t="shared" si="119"/>
        <v>0</v>
      </c>
      <c r="N447">
        <f t="shared" si="120"/>
        <v>0</v>
      </c>
      <c r="O447" t="s">
        <v>137</v>
      </c>
      <c r="P447">
        <f t="shared" si="121"/>
        <v>0</v>
      </c>
      <c r="Q447">
        <f t="shared" si="122"/>
        <v>0</v>
      </c>
      <c r="R447">
        <f t="shared" si="123"/>
        <v>0</v>
      </c>
      <c r="S447">
        <f t="shared" si="124"/>
        <v>0</v>
      </c>
      <c r="T447">
        <f t="shared" si="125"/>
        <v>0</v>
      </c>
      <c r="U447">
        <f t="shared" si="126"/>
        <v>0</v>
      </c>
      <c r="V447">
        <f t="shared" si="127"/>
        <v>0</v>
      </c>
      <c r="W447" t="s">
        <v>39</v>
      </c>
      <c r="X447">
        <f t="shared" si="128"/>
        <v>1</v>
      </c>
      <c r="Y447">
        <f t="shared" si="129"/>
        <v>0</v>
      </c>
      <c r="Z447">
        <v>2</v>
      </c>
      <c r="AA447">
        <f t="shared" si="130"/>
        <v>0.25</v>
      </c>
      <c r="AB447" t="s">
        <v>46</v>
      </c>
      <c r="AC447">
        <f t="shared" si="131"/>
        <v>0</v>
      </c>
      <c r="AD447">
        <f t="shared" si="132"/>
        <v>0</v>
      </c>
      <c r="AE447" t="s">
        <v>41</v>
      </c>
      <c r="AF447">
        <f>IF(AE447="website",1,0)</f>
        <v>1</v>
      </c>
    </row>
    <row r="448" spans="1:32">
      <c r="A448" t="s">
        <v>1042</v>
      </c>
      <c r="B448" t="s">
        <v>33</v>
      </c>
      <c r="C448" s="3">
        <f t="shared" si="114"/>
        <v>0</v>
      </c>
      <c r="D448">
        <f t="shared" si="115"/>
        <v>1</v>
      </c>
      <c r="E448" t="s">
        <v>1043</v>
      </c>
      <c r="F448" t="s">
        <v>616</v>
      </c>
      <c r="G448" s="1">
        <v>20633</v>
      </c>
      <c r="H448" s="2">
        <f t="shared" ca="1" si="116"/>
        <v>70</v>
      </c>
      <c r="I448" s="2">
        <f t="shared" ca="1" si="117"/>
        <v>0.6428571428571429</v>
      </c>
      <c r="J448" t="s">
        <v>36</v>
      </c>
      <c r="K448" t="s">
        <v>37</v>
      </c>
      <c r="L448">
        <f t="shared" si="118"/>
        <v>1</v>
      </c>
      <c r="M448">
        <f t="shared" si="119"/>
        <v>0</v>
      </c>
      <c r="N448">
        <f t="shared" si="120"/>
        <v>0</v>
      </c>
      <c r="O448" t="s">
        <v>717</v>
      </c>
      <c r="P448">
        <f t="shared" si="121"/>
        <v>0</v>
      </c>
      <c r="Q448">
        <f t="shared" si="122"/>
        <v>0</v>
      </c>
      <c r="R448">
        <f t="shared" si="123"/>
        <v>0</v>
      </c>
      <c r="S448">
        <f t="shared" si="124"/>
        <v>0</v>
      </c>
      <c r="T448">
        <f t="shared" si="125"/>
        <v>0</v>
      </c>
      <c r="U448">
        <f t="shared" si="126"/>
        <v>0</v>
      </c>
      <c r="V448">
        <f t="shared" si="127"/>
        <v>0</v>
      </c>
      <c r="W448" t="s">
        <v>39</v>
      </c>
      <c r="X448">
        <f t="shared" si="128"/>
        <v>1</v>
      </c>
      <c r="Y448">
        <f t="shared" si="129"/>
        <v>0</v>
      </c>
      <c r="Z448">
        <v>2</v>
      </c>
      <c r="AA448">
        <f t="shared" si="130"/>
        <v>0.25</v>
      </c>
      <c r="AB448" t="s">
        <v>46</v>
      </c>
      <c r="AC448">
        <f t="shared" si="131"/>
        <v>0</v>
      </c>
      <c r="AD448">
        <f t="shared" si="132"/>
        <v>0</v>
      </c>
      <c r="AE448" t="s">
        <v>41</v>
      </c>
      <c r="AF448">
        <f>IF(AE448="website",1,0)</f>
        <v>1</v>
      </c>
    </row>
    <row r="449" spans="1:32">
      <c r="A449" t="s">
        <v>1044</v>
      </c>
      <c r="B449" t="s">
        <v>33</v>
      </c>
      <c r="C449" s="3">
        <f t="shared" si="114"/>
        <v>0</v>
      </c>
      <c r="D449">
        <f t="shared" si="115"/>
        <v>1</v>
      </c>
      <c r="E449" t="s">
        <v>658</v>
      </c>
      <c r="F449" t="s">
        <v>633</v>
      </c>
      <c r="G449" s="1">
        <v>29382</v>
      </c>
      <c r="H449" s="2">
        <f t="shared" ca="1" si="116"/>
        <v>46</v>
      </c>
      <c r="I449" s="2">
        <f t="shared" ca="1" si="117"/>
        <v>0.3</v>
      </c>
      <c r="J449" t="s">
        <v>45</v>
      </c>
      <c r="K449" t="s">
        <v>37</v>
      </c>
      <c r="L449">
        <f t="shared" si="118"/>
        <v>1</v>
      </c>
      <c r="M449">
        <f t="shared" si="119"/>
        <v>0</v>
      </c>
      <c r="N449">
        <f t="shared" si="120"/>
        <v>0</v>
      </c>
      <c r="O449" t="s">
        <v>124</v>
      </c>
      <c r="P449">
        <f t="shared" si="121"/>
        <v>0</v>
      </c>
      <c r="Q449">
        <f t="shared" si="122"/>
        <v>0</v>
      </c>
      <c r="R449">
        <f t="shared" si="123"/>
        <v>0</v>
      </c>
      <c r="S449">
        <f t="shared" si="124"/>
        <v>0</v>
      </c>
      <c r="T449">
        <f t="shared" si="125"/>
        <v>0</v>
      </c>
      <c r="U449">
        <f t="shared" si="126"/>
        <v>1</v>
      </c>
      <c r="V449">
        <f t="shared" si="127"/>
        <v>0</v>
      </c>
      <c r="W449" t="s">
        <v>58</v>
      </c>
      <c r="X449">
        <f t="shared" si="128"/>
        <v>0</v>
      </c>
      <c r="Y449">
        <f t="shared" si="129"/>
        <v>1</v>
      </c>
      <c r="Z449">
        <v>2</v>
      </c>
      <c r="AA449">
        <f t="shared" si="130"/>
        <v>0.25</v>
      </c>
      <c r="AB449" t="s">
        <v>46</v>
      </c>
      <c r="AC449">
        <f t="shared" si="131"/>
        <v>1</v>
      </c>
      <c r="AD449">
        <f t="shared" si="132"/>
        <v>0</v>
      </c>
      <c r="AE449" t="s">
        <v>50</v>
      </c>
      <c r="AF449">
        <f>IF(AE449="website",1,0)</f>
        <v>0</v>
      </c>
    </row>
    <row r="450" spans="1:32">
      <c r="A450" t="s">
        <v>1045</v>
      </c>
      <c r="B450" t="s">
        <v>33</v>
      </c>
      <c r="C450" s="3">
        <f t="shared" ref="C450:C513" si="133">IF(B450="company",1,0)</f>
        <v>0</v>
      </c>
      <c r="D450">
        <f t="shared" ref="D450:D513" si="134">IF(B450="individual",1,0)</f>
        <v>1</v>
      </c>
      <c r="E450" t="s">
        <v>700</v>
      </c>
      <c r="F450" t="s">
        <v>904</v>
      </c>
      <c r="G450" s="1">
        <v>26474</v>
      </c>
      <c r="H450" s="2">
        <f t="shared" ref="H450:H513" ca="1" si="135">DATEDIF(G450,TODAY(),"Y")</f>
        <v>54</v>
      </c>
      <c r="I450" s="2">
        <f t="shared" ref="I450:I513" ca="1" si="136">(H450-MIN(H:H))/(MAX(H:H)-MIN(H:H))</f>
        <v>0.41428571428571431</v>
      </c>
      <c r="J450" t="s">
        <v>45</v>
      </c>
      <c r="K450" t="s">
        <v>37</v>
      </c>
      <c r="L450">
        <f t="shared" ref="L450:L513" si="137">IF(K450="usa",1,0)</f>
        <v>1</v>
      </c>
      <c r="M450">
        <f t="shared" ref="M450:M513" si="138">IF(K450="canada",1,0)</f>
        <v>0</v>
      </c>
      <c r="N450">
        <f t="shared" ref="N450:N513" si="139">IF(K450="germany",1,0)</f>
        <v>0</v>
      </c>
      <c r="O450" t="s">
        <v>76</v>
      </c>
      <c r="P450">
        <f t="shared" ref="P450:P513" si="140">IF(O450="california",1,0)</f>
        <v>0</v>
      </c>
      <c r="Q450">
        <f t="shared" ref="Q450:Q513" si="141">IF(O450="oregon",1,0)</f>
        <v>1</v>
      </c>
      <c r="R450">
        <f t="shared" ref="R450:R513" si="142">IF(O450="quebec",1,0)</f>
        <v>0</v>
      </c>
      <c r="S450">
        <f t="shared" ref="S450:S513" si="143">IF(O450="berlin",1,0)</f>
        <v>0</v>
      </c>
      <c r="T450">
        <f t="shared" ref="T450:T513" si="144">IF(O450="arizona",1,0)</f>
        <v>0</v>
      </c>
      <c r="U450">
        <f t="shared" ref="U450:U513" si="145">IF(O450="nevada",1,0)</f>
        <v>0</v>
      </c>
      <c r="V450">
        <f t="shared" ref="V450:V513" si="146">IF(O450="colardo",1,0)</f>
        <v>0</v>
      </c>
      <c r="W450" t="s">
        <v>58</v>
      </c>
      <c r="X450">
        <f t="shared" ref="X450:X513" si="147">IF(W450="home",1,0)</f>
        <v>0</v>
      </c>
      <c r="Y450">
        <f t="shared" ref="Y450:Y513" si="148">IF(W450="investment",1,0)</f>
        <v>1</v>
      </c>
      <c r="Z450">
        <v>2</v>
      </c>
      <c r="AA450">
        <f t="shared" ref="AA450:AA513" si="149">(Z450-1)/4</f>
        <v>0.25</v>
      </c>
      <c r="AB450" t="s">
        <v>46</v>
      </c>
      <c r="AC450">
        <f t="shared" ref="AC450:AC513" si="150">IF(AE450="agency",1,0)</f>
        <v>1</v>
      </c>
      <c r="AD450">
        <f t="shared" ref="AD450:AD513" si="151">IF(AE450="client",1,0)</f>
        <v>0</v>
      </c>
      <c r="AE450" t="s">
        <v>50</v>
      </c>
      <c r="AF450">
        <f>IF(AE450="website",1,0)</f>
        <v>0</v>
      </c>
    </row>
    <row r="451" spans="1:32">
      <c r="A451" t="s">
        <v>1046</v>
      </c>
      <c r="B451" t="s">
        <v>33</v>
      </c>
      <c r="C451" s="3">
        <f t="shared" si="133"/>
        <v>0</v>
      </c>
      <c r="D451">
        <f t="shared" si="134"/>
        <v>1</v>
      </c>
      <c r="E451" t="s">
        <v>546</v>
      </c>
      <c r="F451" t="s">
        <v>911</v>
      </c>
      <c r="G451" s="1">
        <v>33653</v>
      </c>
      <c r="H451" s="2">
        <f t="shared" ca="1" si="135"/>
        <v>34</v>
      </c>
      <c r="I451" s="2">
        <f t="shared" ca="1" si="136"/>
        <v>0.12857142857142856</v>
      </c>
      <c r="J451" t="s">
        <v>45</v>
      </c>
      <c r="K451" t="s">
        <v>158</v>
      </c>
      <c r="L451">
        <f t="shared" si="137"/>
        <v>0</v>
      </c>
      <c r="M451">
        <f t="shared" si="138"/>
        <v>0</v>
      </c>
      <c r="N451">
        <f t="shared" si="139"/>
        <v>0</v>
      </c>
      <c r="O451" t="s">
        <v>732</v>
      </c>
      <c r="P451">
        <f t="shared" si="140"/>
        <v>0</v>
      </c>
      <c r="Q451">
        <f t="shared" si="141"/>
        <v>0</v>
      </c>
      <c r="R451">
        <f t="shared" si="142"/>
        <v>0</v>
      </c>
      <c r="S451">
        <f t="shared" si="143"/>
        <v>0</v>
      </c>
      <c r="T451">
        <f t="shared" si="144"/>
        <v>0</v>
      </c>
      <c r="U451">
        <f t="shared" si="145"/>
        <v>0</v>
      </c>
      <c r="V451">
        <f t="shared" si="146"/>
        <v>0</v>
      </c>
      <c r="W451" t="s">
        <v>39</v>
      </c>
      <c r="X451">
        <f t="shared" si="147"/>
        <v>1</v>
      </c>
      <c r="Y451">
        <f t="shared" si="148"/>
        <v>0</v>
      </c>
      <c r="Z451">
        <v>3</v>
      </c>
      <c r="AA451">
        <f t="shared" si="149"/>
        <v>0.5</v>
      </c>
      <c r="AB451" t="s">
        <v>46</v>
      </c>
      <c r="AC451">
        <f t="shared" si="150"/>
        <v>0</v>
      </c>
      <c r="AD451">
        <f t="shared" si="151"/>
        <v>0</v>
      </c>
      <c r="AE451" t="s">
        <v>41</v>
      </c>
      <c r="AF451">
        <f>IF(AE451="website",1,0)</f>
        <v>1</v>
      </c>
    </row>
    <row r="452" spans="1:32">
      <c r="A452" t="s">
        <v>1047</v>
      </c>
      <c r="B452" t="s">
        <v>33</v>
      </c>
      <c r="C452" s="3">
        <f t="shared" si="133"/>
        <v>0</v>
      </c>
      <c r="D452">
        <f t="shared" si="134"/>
        <v>1</v>
      </c>
      <c r="E452" t="s">
        <v>544</v>
      </c>
      <c r="F452" t="s">
        <v>366</v>
      </c>
      <c r="G452" s="1">
        <v>31310</v>
      </c>
      <c r="H452" s="2">
        <f t="shared" ca="1" si="135"/>
        <v>41</v>
      </c>
      <c r="I452" s="2">
        <f t="shared" ca="1" si="136"/>
        <v>0.22857142857142856</v>
      </c>
      <c r="J452" t="s">
        <v>45</v>
      </c>
      <c r="K452" t="s">
        <v>65</v>
      </c>
      <c r="L452">
        <f t="shared" si="137"/>
        <v>0</v>
      </c>
      <c r="M452">
        <f t="shared" si="138"/>
        <v>1</v>
      </c>
      <c r="N452">
        <f t="shared" si="139"/>
        <v>0</v>
      </c>
      <c r="O452" t="s">
        <v>843</v>
      </c>
      <c r="P452">
        <f t="shared" si="140"/>
        <v>0</v>
      </c>
      <c r="Q452">
        <f t="shared" si="141"/>
        <v>0</v>
      </c>
      <c r="R452">
        <f t="shared" si="142"/>
        <v>0</v>
      </c>
      <c r="S452">
        <f t="shared" si="143"/>
        <v>0</v>
      </c>
      <c r="T452">
        <f t="shared" si="144"/>
        <v>0</v>
      </c>
      <c r="U452">
        <f t="shared" si="145"/>
        <v>0</v>
      </c>
      <c r="V452">
        <f t="shared" si="146"/>
        <v>0</v>
      </c>
      <c r="W452" t="s">
        <v>58</v>
      </c>
      <c r="X452">
        <f t="shared" si="147"/>
        <v>0</v>
      </c>
      <c r="Y452">
        <f t="shared" si="148"/>
        <v>1</v>
      </c>
      <c r="Z452">
        <v>5</v>
      </c>
      <c r="AA452">
        <f t="shared" si="149"/>
        <v>1</v>
      </c>
      <c r="AB452" t="s">
        <v>40</v>
      </c>
      <c r="AC452">
        <f t="shared" si="150"/>
        <v>0</v>
      </c>
      <c r="AD452">
        <f t="shared" si="151"/>
        <v>1</v>
      </c>
      <c r="AE452" t="s">
        <v>90</v>
      </c>
      <c r="AF452">
        <f>IF(AE452="website",1,0)</f>
        <v>0</v>
      </c>
    </row>
    <row r="453" spans="1:32">
      <c r="A453" t="s">
        <v>1048</v>
      </c>
      <c r="B453" t="s">
        <v>33</v>
      </c>
      <c r="C453" s="3">
        <f t="shared" si="133"/>
        <v>0</v>
      </c>
      <c r="D453">
        <f t="shared" si="134"/>
        <v>1</v>
      </c>
      <c r="E453" t="s">
        <v>575</v>
      </c>
      <c r="F453" t="s">
        <v>613</v>
      </c>
      <c r="G453" s="1">
        <v>24762</v>
      </c>
      <c r="H453" s="2">
        <f t="shared" ca="1" si="135"/>
        <v>58</v>
      </c>
      <c r="I453" s="2">
        <f t="shared" ca="1" si="136"/>
        <v>0.47142857142857142</v>
      </c>
      <c r="J453" t="s">
        <v>45</v>
      </c>
      <c r="K453" t="s">
        <v>37</v>
      </c>
      <c r="L453">
        <f t="shared" si="137"/>
        <v>1</v>
      </c>
      <c r="M453">
        <f t="shared" si="138"/>
        <v>0</v>
      </c>
      <c r="N453">
        <f t="shared" si="139"/>
        <v>0</v>
      </c>
      <c r="O453" t="s">
        <v>565</v>
      </c>
      <c r="P453">
        <f t="shared" si="140"/>
        <v>0</v>
      </c>
      <c r="Q453">
        <f t="shared" si="141"/>
        <v>0</v>
      </c>
      <c r="R453">
        <f t="shared" si="142"/>
        <v>0</v>
      </c>
      <c r="S453">
        <f t="shared" si="143"/>
        <v>0</v>
      </c>
      <c r="T453">
        <f t="shared" si="144"/>
        <v>0</v>
      </c>
      <c r="U453">
        <f t="shared" si="145"/>
        <v>0</v>
      </c>
      <c r="V453">
        <f t="shared" si="146"/>
        <v>0</v>
      </c>
      <c r="W453" t="s">
        <v>39</v>
      </c>
      <c r="X453">
        <f t="shared" si="147"/>
        <v>1</v>
      </c>
      <c r="Y453">
        <f t="shared" si="148"/>
        <v>0</v>
      </c>
      <c r="Z453">
        <v>3</v>
      </c>
      <c r="AA453">
        <f t="shared" si="149"/>
        <v>0.5</v>
      </c>
      <c r="AB453" t="s">
        <v>46</v>
      </c>
      <c r="AC453">
        <f t="shared" si="150"/>
        <v>0</v>
      </c>
      <c r="AD453">
        <f t="shared" si="151"/>
        <v>0</v>
      </c>
      <c r="AE453" t="s">
        <v>41</v>
      </c>
      <c r="AF453">
        <f>IF(AE453="website",1,0)</f>
        <v>1</v>
      </c>
    </row>
    <row r="454" spans="1:32">
      <c r="A454" t="s">
        <v>1049</v>
      </c>
      <c r="B454" t="s">
        <v>33</v>
      </c>
      <c r="C454" s="3">
        <f t="shared" si="133"/>
        <v>0</v>
      </c>
      <c r="D454">
        <f t="shared" si="134"/>
        <v>1</v>
      </c>
      <c r="E454" t="s">
        <v>744</v>
      </c>
      <c r="F454" t="s">
        <v>669</v>
      </c>
      <c r="G454" s="1">
        <v>34075</v>
      </c>
      <c r="H454" s="2">
        <f t="shared" ca="1" si="135"/>
        <v>33</v>
      </c>
      <c r="I454" s="2">
        <f t="shared" ca="1" si="136"/>
        <v>0.11428571428571428</v>
      </c>
      <c r="J454" t="s">
        <v>45</v>
      </c>
      <c r="K454" t="s">
        <v>248</v>
      </c>
      <c r="L454">
        <f t="shared" si="137"/>
        <v>0</v>
      </c>
      <c r="M454">
        <f t="shared" si="138"/>
        <v>0</v>
      </c>
      <c r="N454">
        <f t="shared" si="139"/>
        <v>0</v>
      </c>
      <c r="O454" t="s">
        <v>411</v>
      </c>
      <c r="P454">
        <f t="shared" si="140"/>
        <v>0</v>
      </c>
      <c r="Q454">
        <f t="shared" si="141"/>
        <v>0</v>
      </c>
      <c r="R454">
        <f t="shared" si="142"/>
        <v>0</v>
      </c>
      <c r="S454">
        <f t="shared" si="143"/>
        <v>0</v>
      </c>
      <c r="T454">
        <f t="shared" si="144"/>
        <v>0</v>
      </c>
      <c r="U454">
        <f t="shared" si="145"/>
        <v>0</v>
      </c>
      <c r="V454">
        <f t="shared" si="146"/>
        <v>0</v>
      </c>
      <c r="W454" t="s">
        <v>58</v>
      </c>
      <c r="X454">
        <f t="shared" si="147"/>
        <v>0</v>
      </c>
      <c r="Y454">
        <f t="shared" si="148"/>
        <v>1</v>
      </c>
      <c r="Z454">
        <v>1</v>
      </c>
      <c r="AA454">
        <f t="shared" si="149"/>
        <v>0</v>
      </c>
      <c r="AB454" t="s">
        <v>46</v>
      </c>
      <c r="AC454">
        <f t="shared" si="150"/>
        <v>0</v>
      </c>
      <c r="AD454">
        <f t="shared" si="151"/>
        <v>0</v>
      </c>
      <c r="AE454" t="s">
        <v>41</v>
      </c>
      <c r="AF454">
        <f>IF(AE454="website",1,0)</f>
        <v>1</v>
      </c>
    </row>
    <row r="455" spans="1:32">
      <c r="A455" t="s">
        <v>1050</v>
      </c>
      <c r="B455" t="s">
        <v>55</v>
      </c>
      <c r="C455" s="3">
        <f t="shared" si="133"/>
        <v>1</v>
      </c>
      <c r="D455">
        <f t="shared" si="134"/>
        <v>0</v>
      </c>
      <c r="E455" t="s">
        <v>1051</v>
      </c>
      <c r="F455" t="s">
        <v>57</v>
      </c>
      <c r="G455" s="1">
        <v>22372</v>
      </c>
      <c r="H455" s="2">
        <f t="shared" ca="1" si="135"/>
        <v>65</v>
      </c>
      <c r="I455" s="2">
        <f t="shared" ca="1" si="136"/>
        <v>0.5714285714285714</v>
      </c>
      <c r="J455" t="s">
        <v>36</v>
      </c>
      <c r="K455" t="s">
        <v>37</v>
      </c>
      <c r="L455">
        <f t="shared" si="137"/>
        <v>1</v>
      </c>
      <c r="M455">
        <f t="shared" si="138"/>
        <v>0</v>
      </c>
      <c r="N455">
        <f t="shared" si="139"/>
        <v>0</v>
      </c>
      <c r="O455" t="s">
        <v>124</v>
      </c>
      <c r="P455">
        <f t="shared" si="140"/>
        <v>0</v>
      </c>
      <c r="Q455">
        <f t="shared" si="141"/>
        <v>0</v>
      </c>
      <c r="R455">
        <f t="shared" si="142"/>
        <v>0</v>
      </c>
      <c r="S455">
        <f t="shared" si="143"/>
        <v>0</v>
      </c>
      <c r="T455">
        <f t="shared" si="144"/>
        <v>0</v>
      </c>
      <c r="U455">
        <f t="shared" si="145"/>
        <v>1</v>
      </c>
      <c r="V455">
        <f t="shared" si="146"/>
        <v>0</v>
      </c>
      <c r="W455" t="s">
        <v>58</v>
      </c>
      <c r="X455">
        <f t="shared" si="147"/>
        <v>0</v>
      </c>
      <c r="Y455">
        <f t="shared" si="148"/>
        <v>1</v>
      </c>
      <c r="Z455">
        <v>4</v>
      </c>
      <c r="AA455">
        <f t="shared" si="149"/>
        <v>0.75</v>
      </c>
      <c r="AB455" t="s">
        <v>46</v>
      </c>
      <c r="AC455">
        <f t="shared" si="150"/>
        <v>1</v>
      </c>
      <c r="AD455">
        <f t="shared" si="151"/>
        <v>0</v>
      </c>
      <c r="AE455" t="s">
        <v>50</v>
      </c>
      <c r="AF455">
        <f>IF(AE455="website",1,0)</f>
        <v>0</v>
      </c>
    </row>
    <row r="456" spans="1:32">
      <c r="A456" t="s">
        <v>1052</v>
      </c>
      <c r="B456" t="s">
        <v>33</v>
      </c>
      <c r="C456" s="3">
        <f t="shared" si="133"/>
        <v>0</v>
      </c>
      <c r="D456">
        <f t="shared" si="134"/>
        <v>1</v>
      </c>
      <c r="E456" t="s">
        <v>615</v>
      </c>
      <c r="F456" t="s">
        <v>579</v>
      </c>
      <c r="G456" s="1">
        <v>23043</v>
      </c>
      <c r="H456" s="2">
        <f t="shared" ca="1" si="135"/>
        <v>63</v>
      </c>
      <c r="I456" s="2">
        <f t="shared" ca="1" si="136"/>
        <v>0.54285714285714282</v>
      </c>
      <c r="J456" t="s">
        <v>36</v>
      </c>
      <c r="K456" t="s">
        <v>37</v>
      </c>
      <c r="L456">
        <f t="shared" si="137"/>
        <v>1</v>
      </c>
      <c r="M456">
        <f t="shared" si="138"/>
        <v>0</v>
      </c>
      <c r="N456">
        <f t="shared" si="139"/>
        <v>0</v>
      </c>
      <c r="O456" t="s">
        <v>38</v>
      </c>
      <c r="P456">
        <f t="shared" si="140"/>
        <v>1</v>
      </c>
      <c r="Q456">
        <f t="shared" si="141"/>
        <v>0</v>
      </c>
      <c r="R456">
        <f t="shared" si="142"/>
        <v>0</v>
      </c>
      <c r="S456">
        <f t="shared" si="143"/>
        <v>0</v>
      </c>
      <c r="T456">
        <f t="shared" si="144"/>
        <v>0</v>
      </c>
      <c r="U456">
        <f t="shared" si="145"/>
        <v>0</v>
      </c>
      <c r="V456">
        <f t="shared" si="146"/>
        <v>0</v>
      </c>
      <c r="W456" t="s">
        <v>39</v>
      </c>
      <c r="X456">
        <f t="shared" si="147"/>
        <v>1</v>
      </c>
      <c r="Y456">
        <f t="shared" si="148"/>
        <v>0</v>
      </c>
      <c r="Z456">
        <v>1</v>
      </c>
      <c r="AA456">
        <f t="shared" si="149"/>
        <v>0</v>
      </c>
      <c r="AB456" t="s">
        <v>46</v>
      </c>
      <c r="AC456">
        <f t="shared" si="150"/>
        <v>1</v>
      </c>
      <c r="AD456">
        <f t="shared" si="151"/>
        <v>0</v>
      </c>
      <c r="AE456" t="s">
        <v>50</v>
      </c>
      <c r="AF456">
        <f>IF(AE456="website",1,0)</f>
        <v>0</v>
      </c>
    </row>
    <row r="457" spans="1:32">
      <c r="A457" t="s">
        <v>1053</v>
      </c>
      <c r="B457" t="s">
        <v>33</v>
      </c>
      <c r="C457" s="3">
        <f t="shared" si="133"/>
        <v>0</v>
      </c>
      <c r="D457">
        <f t="shared" si="134"/>
        <v>1</v>
      </c>
      <c r="E457" t="s">
        <v>305</v>
      </c>
      <c r="F457" t="s">
        <v>645</v>
      </c>
      <c r="G457" s="1">
        <v>35021</v>
      </c>
      <c r="H457" s="2">
        <f t="shared" ca="1" si="135"/>
        <v>30</v>
      </c>
      <c r="I457" s="2">
        <f t="shared" ca="1" si="136"/>
        <v>7.1428571428571425E-2</v>
      </c>
      <c r="J457" t="s">
        <v>36</v>
      </c>
      <c r="K457" t="s">
        <v>37</v>
      </c>
      <c r="L457">
        <f t="shared" si="137"/>
        <v>1</v>
      </c>
      <c r="M457">
        <f t="shared" si="138"/>
        <v>0</v>
      </c>
      <c r="N457">
        <f t="shared" si="139"/>
        <v>0</v>
      </c>
      <c r="O457" t="s">
        <v>76</v>
      </c>
      <c r="P457">
        <f t="shared" si="140"/>
        <v>0</v>
      </c>
      <c r="Q457">
        <f t="shared" si="141"/>
        <v>1</v>
      </c>
      <c r="R457">
        <f t="shared" si="142"/>
        <v>0</v>
      </c>
      <c r="S457">
        <f t="shared" si="143"/>
        <v>0</v>
      </c>
      <c r="T457">
        <f t="shared" si="144"/>
        <v>0</v>
      </c>
      <c r="U457">
        <f t="shared" si="145"/>
        <v>0</v>
      </c>
      <c r="V457">
        <f t="shared" si="146"/>
        <v>0</v>
      </c>
      <c r="W457" t="s">
        <v>39</v>
      </c>
      <c r="X457">
        <f t="shared" si="147"/>
        <v>1</v>
      </c>
      <c r="Y457">
        <f t="shared" si="148"/>
        <v>0</v>
      </c>
      <c r="Z457">
        <v>3</v>
      </c>
      <c r="AA457">
        <f t="shared" si="149"/>
        <v>0.5</v>
      </c>
      <c r="AB457" t="s">
        <v>40</v>
      </c>
      <c r="AC457">
        <f t="shared" si="150"/>
        <v>0</v>
      </c>
      <c r="AD457">
        <f t="shared" si="151"/>
        <v>0</v>
      </c>
      <c r="AE457" t="s">
        <v>41</v>
      </c>
      <c r="AF457">
        <f>IF(AE457="website",1,0)</f>
        <v>1</v>
      </c>
    </row>
    <row r="458" spans="1:32">
      <c r="A458" t="s">
        <v>1054</v>
      </c>
      <c r="B458" t="s">
        <v>33</v>
      </c>
      <c r="C458" s="3">
        <f t="shared" si="133"/>
        <v>0</v>
      </c>
      <c r="D458">
        <f t="shared" si="134"/>
        <v>1</v>
      </c>
      <c r="E458" t="s">
        <v>719</v>
      </c>
      <c r="F458" t="s">
        <v>513</v>
      </c>
      <c r="G458" s="1">
        <v>29421</v>
      </c>
      <c r="H458" s="2">
        <f t="shared" ca="1" si="135"/>
        <v>46</v>
      </c>
      <c r="I458" s="2">
        <f t="shared" ca="1" si="136"/>
        <v>0.3</v>
      </c>
      <c r="J458" t="s">
        <v>45</v>
      </c>
      <c r="K458" t="s">
        <v>248</v>
      </c>
      <c r="L458">
        <f t="shared" si="137"/>
        <v>0</v>
      </c>
      <c r="M458">
        <f t="shared" si="138"/>
        <v>0</v>
      </c>
      <c r="N458">
        <f t="shared" si="139"/>
        <v>0</v>
      </c>
      <c r="O458" t="s">
        <v>836</v>
      </c>
      <c r="P458">
        <f t="shared" si="140"/>
        <v>0</v>
      </c>
      <c r="Q458">
        <f t="shared" si="141"/>
        <v>0</v>
      </c>
      <c r="R458">
        <f t="shared" si="142"/>
        <v>0</v>
      </c>
      <c r="S458">
        <f t="shared" si="143"/>
        <v>0</v>
      </c>
      <c r="T458">
        <f t="shared" si="144"/>
        <v>0</v>
      </c>
      <c r="U458">
        <f t="shared" si="145"/>
        <v>0</v>
      </c>
      <c r="V458">
        <f t="shared" si="146"/>
        <v>0</v>
      </c>
      <c r="W458" t="s">
        <v>58</v>
      </c>
      <c r="X458">
        <f t="shared" si="147"/>
        <v>0</v>
      </c>
      <c r="Y458">
        <f t="shared" si="148"/>
        <v>1</v>
      </c>
      <c r="Z458">
        <v>1</v>
      </c>
      <c r="AA458">
        <f t="shared" si="149"/>
        <v>0</v>
      </c>
      <c r="AB458" t="s">
        <v>46</v>
      </c>
      <c r="AC458">
        <f t="shared" si="150"/>
        <v>1</v>
      </c>
      <c r="AD458">
        <f t="shared" si="151"/>
        <v>0</v>
      </c>
      <c r="AE458" t="s">
        <v>50</v>
      </c>
      <c r="AF458">
        <f>IF(AE458="website",1,0)</f>
        <v>0</v>
      </c>
    </row>
    <row r="459" spans="1:32">
      <c r="A459" t="s">
        <v>1055</v>
      </c>
      <c r="B459" t="s">
        <v>33</v>
      </c>
      <c r="C459" s="3">
        <f t="shared" si="133"/>
        <v>0</v>
      </c>
      <c r="D459">
        <f t="shared" si="134"/>
        <v>1</v>
      </c>
      <c r="E459" t="s">
        <v>1041</v>
      </c>
      <c r="F459" t="s">
        <v>430</v>
      </c>
      <c r="G459" s="1">
        <v>34884</v>
      </c>
      <c r="H459" s="2">
        <f t="shared" ca="1" si="135"/>
        <v>31</v>
      </c>
      <c r="I459" s="2">
        <f t="shared" ca="1" si="136"/>
        <v>8.5714285714285715E-2</v>
      </c>
      <c r="J459" t="s">
        <v>45</v>
      </c>
      <c r="K459" t="s">
        <v>37</v>
      </c>
      <c r="L459">
        <f t="shared" si="137"/>
        <v>1</v>
      </c>
      <c r="M459">
        <f t="shared" si="138"/>
        <v>0</v>
      </c>
      <c r="N459">
        <f t="shared" si="139"/>
        <v>0</v>
      </c>
      <c r="O459" t="s">
        <v>76</v>
      </c>
      <c r="P459">
        <f t="shared" si="140"/>
        <v>0</v>
      </c>
      <c r="Q459">
        <f t="shared" si="141"/>
        <v>1</v>
      </c>
      <c r="R459">
        <f t="shared" si="142"/>
        <v>0</v>
      </c>
      <c r="S459">
        <f t="shared" si="143"/>
        <v>0</v>
      </c>
      <c r="T459">
        <f t="shared" si="144"/>
        <v>0</v>
      </c>
      <c r="U459">
        <f t="shared" si="145"/>
        <v>0</v>
      </c>
      <c r="V459">
        <f t="shared" si="146"/>
        <v>0</v>
      </c>
      <c r="W459" t="s">
        <v>58</v>
      </c>
      <c r="X459">
        <f t="shared" si="147"/>
        <v>0</v>
      </c>
      <c r="Y459">
        <f t="shared" si="148"/>
        <v>1</v>
      </c>
      <c r="Z459">
        <v>1</v>
      </c>
      <c r="AA459">
        <f t="shared" si="149"/>
        <v>0</v>
      </c>
      <c r="AB459" t="s">
        <v>46</v>
      </c>
      <c r="AC459">
        <f t="shared" si="150"/>
        <v>1</v>
      </c>
      <c r="AD459">
        <f t="shared" si="151"/>
        <v>0</v>
      </c>
      <c r="AE459" t="s">
        <v>50</v>
      </c>
      <c r="AF459">
        <f>IF(AE459="website",1,0)</f>
        <v>0</v>
      </c>
    </row>
    <row r="460" spans="1:32">
      <c r="A460" t="s">
        <v>1056</v>
      </c>
      <c r="B460" t="s">
        <v>33</v>
      </c>
      <c r="C460" s="3">
        <f t="shared" si="133"/>
        <v>0</v>
      </c>
      <c r="D460">
        <f t="shared" si="134"/>
        <v>1</v>
      </c>
      <c r="E460" t="s">
        <v>972</v>
      </c>
      <c r="F460" t="s">
        <v>616</v>
      </c>
      <c r="G460" s="1">
        <v>20171</v>
      </c>
      <c r="H460" s="2">
        <f t="shared" ca="1" si="135"/>
        <v>71</v>
      </c>
      <c r="I460" s="2">
        <f t="shared" ca="1" si="136"/>
        <v>0.65714285714285714</v>
      </c>
      <c r="J460" t="s">
        <v>45</v>
      </c>
      <c r="K460" t="s">
        <v>37</v>
      </c>
      <c r="L460">
        <f t="shared" si="137"/>
        <v>1</v>
      </c>
      <c r="M460">
        <f t="shared" si="138"/>
        <v>0</v>
      </c>
      <c r="N460">
        <f t="shared" si="139"/>
        <v>0</v>
      </c>
      <c r="O460" t="s">
        <v>38</v>
      </c>
      <c r="P460">
        <f t="shared" si="140"/>
        <v>1</v>
      </c>
      <c r="Q460">
        <f t="shared" si="141"/>
        <v>0</v>
      </c>
      <c r="R460">
        <f t="shared" si="142"/>
        <v>0</v>
      </c>
      <c r="S460">
        <f t="shared" si="143"/>
        <v>0</v>
      </c>
      <c r="T460">
        <f t="shared" si="144"/>
        <v>0</v>
      </c>
      <c r="U460">
        <f t="shared" si="145"/>
        <v>0</v>
      </c>
      <c r="V460">
        <f t="shared" si="146"/>
        <v>0</v>
      </c>
      <c r="W460" t="s">
        <v>39</v>
      </c>
      <c r="X460">
        <f t="shared" si="147"/>
        <v>1</v>
      </c>
      <c r="Y460">
        <f t="shared" si="148"/>
        <v>0</v>
      </c>
      <c r="Z460">
        <v>3</v>
      </c>
      <c r="AA460">
        <f t="shared" si="149"/>
        <v>0.5</v>
      </c>
      <c r="AB460" t="s">
        <v>46</v>
      </c>
      <c r="AC460">
        <f t="shared" si="150"/>
        <v>1</v>
      </c>
      <c r="AD460">
        <f t="shared" si="151"/>
        <v>0</v>
      </c>
      <c r="AE460" t="s">
        <v>50</v>
      </c>
      <c r="AF460">
        <f>IF(AE460="website",1,0)</f>
        <v>0</v>
      </c>
    </row>
    <row r="461" spans="1:32">
      <c r="A461" t="s">
        <v>1057</v>
      </c>
      <c r="B461" t="s">
        <v>33</v>
      </c>
      <c r="C461" s="3">
        <f t="shared" si="133"/>
        <v>0</v>
      </c>
      <c r="D461">
        <f t="shared" si="134"/>
        <v>1</v>
      </c>
      <c r="E461" t="s">
        <v>404</v>
      </c>
      <c r="F461" t="s">
        <v>856</v>
      </c>
      <c r="G461" s="1">
        <v>33963</v>
      </c>
      <c r="H461" s="2">
        <f t="shared" ca="1" si="135"/>
        <v>33</v>
      </c>
      <c r="I461" s="2">
        <f t="shared" ca="1" si="136"/>
        <v>0.11428571428571428</v>
      </c>
      <c r="J461" t="s">
        <v>36</v>
      </c>
      <c r="K461" t="s">
        <v>37</v>
      </c>
      <c r="L461">
        <f t="shared" si="137"/>
        <v>1</v>
      </c>
      <c r="M461">
        <f t="shared" si="138"/>
        <v>0</v>
      </c>
      <c r="N461">
        <f t="shared" si="139"/>
        <v>0</v>
      </c>
      <c r="O461" t="s">
        <v>305</v>
      </c>
      <c r="P461">
        <f t="shared" si="140"/>
        <v>0</v>
      </c>
      <c r="Q461">
        <f t="shared" si="141"/>
        <v>0</v>
      </c>
      <c r="R461">
        <f t="shared" si="142"/>
        <v>0</v>
      </c>
      <c r="S461">
        <f t="shared" si="143"/>
        <v>0</v>
      </c>
      <c r="T461">
        <f t="shared" si="144"/>
        <v>0</v>
      </c>
      <c r="U461">
        <f t="shared" si="145"/>
        <v>0</v>
      </c>
      <c r="V461">
        <f t="shared" si="146"/>
        <v>0</v>
      </c>
      <c r="W461" t="s">
        <v>39</v>
      </c>
      <c r="X461">
        <f t="shared" si="147"/>
        <v>1</v>
      </c>
      <c r="Y461">
        <f t="shared" si="148"/>
        <v>0</v>
      </c>
      <c r="Z461">
        <v>1</v>
      </c>
      <c r="AA461">
        <f t="shared" si="149"/>
        <v>0</v>
      </c>
      <c r="AB461" t="s">
        <v>46</v>
      </c>
      <c r="AC461">
        <f t="shared" si="150"/>
        <v>0</v>
      </c>
      <c r="AD461">
        <f t="shared" si="151"/>
        <v>0</v>
      </c>
      <c r="AE461" t="s">
        <v>41</v>
      </c>
      <c r="AF461">
        <f>IF(AE461="website",1,0)</f>
        <v>1</v>
      </c>
    </row>
    <row r="462" spans="1:32">
      <c r="A462" t="s">
        <v>1058</v>
      </c>
      <c r="B462" t="s">
        <v>33</v>
      </c>
      <c r="C462" s="3">
        <f t="shared" si="133"/>
        <v>0</v>
      </c>
      <c r="D462">
        <f t="shared" si="134"/>
        <v>1</v>
      </c>
      <c r="E462" t="s">
        <v>625</v>
      </c>
      <c r="F462" t="s">
        <v>591</v>
      </c>
      <c r="G462" s="1">
        <v>21962</v>
      </c>
      <c r="H462" s="2">
        <f t="shared" ca="1" si="135"/>
        <v>66</v>
      </c>
      <c r="I462" s="2">
        <f t="shared" ca="1" si="136"/>
        <v>0.58571428571428574</v>
      </c>
      <c r="J462" t="s">
        <v>45</v>
      </c>
      <c r="K462" t="s">
        <v>37</v>
      </c>
      <c r="L462">
        <f t="shared" si="137"/>
        <v>1</v>
      </c>
      <c r="M462">
        <f t="shared" si="138"/>
        <v>0</v>
      </c>
      <c r="N462">
        <f t="shared" si="139"/>
        <v>0</v>
      </c>
      <c r="O462" t="s">
        <v>97</v>
      </c>
      <c r="P462">
        <f t="shared" si="140"/>
        <v>0</v>
      </c>
      <c r="Q462">
        <f t="shared" si="141"/>
        <v>0</v>
      </c>
      <c r="R462">
        <f t="shared" si="142"/>
        <v>0</v>
      </c>
      <c r="S462">
        <f t="shared" si="143"/>
        <v>0</v>
      </c>
      <c r="T462">
        <f t="shared" si="144"/>
        <v>1</v>
      </c>
      <c r="U462">
        <f t="shared" si="145"/>
        <v>0</v>
      </c>
      <c r="V462">
        <f t="shared" si="146"/>
        <v>0</v>
      </c>
      <c r="W462" t="s">
        <v>39</v>
      </c>
      <c r="X462">
        <f t="shared" si="147"/>
        <v>1</v>
      </c>
      <c r="Y462">
        <f t="shared" si="148"/>
        <v>0</v>
      </c>
      <c r="Z462">
        <v>1</v>
      </c>
      <c r="AA462">
        <f t="shared" si="149"/>
        <v>0</v>
      </c>
      <c r="AB462" t="s">
        <v>46</v>
      </c>
      <c r="AC462">
        <f t="shared" si="150"/>
        <v>1</v>
      </c>
      <c r="AD462">
        <f t="shared" si="151"/>
        <v>0</v>
      </c>
      <c r="AE462" t="s">
        <v>50</v>
      </c>
      <c r="AF462">
        <f>IF(AE462="website",1,0)</f>
        <v>0</v>
      </c>
    </row>
    <row r="463" spans="1:32">
      <c r="A463" t="s">
        <v>1059</v>
      </c>
      <c r="B463" t="s">
        <v>33</v>
      </c>
      <c r="C463" s="3">
        <f t="shared" si="133"/>
        <v>0</v>
      </c>
      <c r="D463">
        <f t="shared" si="134"/>
        <v>1</v>
      </c>
      <c r="E463" t="s">
        <v>1060</v>
      </c>
      <c r="F463" t="s">
        <v>633</v>
      </c>
      <c r="G463" s="1">
        <v>16001</v>
      </c>
      <c r="H463" s="2">
        <f t="shared" ca="1" si="135"/>
        <v>82</v>
      </c>
      <c r="I463" s="2">
        <f t="shared" ca="1" si="136"/>
        <v>0.81428571428571428</v>
      </c>
      <c r="J463" t="s">
        <v>45</v>
      </c>
      <c r="K463" t="s">
        <v>819</v>
      </c>
      <c r="L463">
        <f t="shared" si="137"/>
        <v>0</v>
      </c>
      <c r="M463">
        <f t="shared" si="138"/>
        <v>0</v>
      </c>
      <c r="N463">
        <f t="shared" si="139"/>
        <v>0</v>
      </c>
      <c r="O463" t="s">
        <v>1061</v>
      </c>
      <c r="P463">
        <f t="shared" si="140"/>
        <v>0</v>
      </c>
      <c r="Q463">
        <f t="shared" si="141"/>
        <v>0</v>
      </c>
      <c r="R463">
        <f t="shared" si="142"/>
        <v>0</v>
      </c>
      <c r="S463">
        <f t="shared" si="143"/>
        <v>0</v>
      </c>
      <c r="T463">
        <f t="shared" si="144"/>
        <v>0</v>
      </c>
      <c r="U463">
        <f t="shared" si="145"/>
        <v>0</v>
      </c>
      <c r="V463">
        <f t="shared" si="146"/>
        <v>0</v>
      </c>
      <c r="W463" t="s">
        <v>39</v>
      </c>
      <c r="X463">
        <f t="shared" si="147"/>
        <v>1</v>
      </c>
      <c r="Y463">
        <f t="shared" si="148"/>
        <v>0</v>
      </c>
      <c r="Z463">
        <v>2</v>
      </c>
      <c r="AA463">
        <f t="shared" si="149"/>
        <v>0.25</v>
      </c>
      <c r="AB463" t="s">
        <v>46</v>
      </c>
      <c r="AC463">
        <f t="shared" si="150"/>
        <v>1</v>
      </c>
      <c r="AD463">
        <f t="shared" si="151"/>
        <v>0</v>
      </c>
      <c r="AE463" t="s">
        <v>50</v>
      </c>
      <c r="AF463">
        <f>IF(AE463="website",1,0)</f>
        <v>0</v>
      </c>
    </row>
    <row r="464" spans="1:32">
      <c r="A464" t="s">
        <v>1062</v>
      </c>
      <c r="B464" t="s">
        <v>33</v>
      </c>
      <c r="C464" s="3">
        <f t="shared" si="133"/>
        <v>0</v>
      </c>
      <c r="D464">
        <f t="shared" si="134"/>
        <v>1</v>
      </c>
      <c r="E464" t="s">
        <v>596</v>
      </c>
      <c r="F464" t="s">
        <v>714</v>
      </c>
      <c r="G464" s="1">
        <v>25732</v>
      </c>
      <c r="H464" s="2">
        <f t="shared" ca="1" si="135"/>
        <v>56</v>
      </c>
      <c r="I464" s="2">
        <f t="shared" ca="1" si="136"/>
        <v>0.44285714285714284</v>
      </c>
      <c r="J464" t="s">
        <v>45</v>
      </c>
      <c r="K464" t="s">
        <v>37</v>
      </c>
      <c r="L464">
        <f t="shared" si="137"/>
        <v>1</v>
      </c>
      <c r="M464">
        <f t="shared" si="138"/>
        <v>0</v>
      </c>
      <c r="N464">
        <f t="shared" si="139"/>
        <v>0</v>
      </c>
      <c r="O464" t="s">
        <v>38</v>
      </c>
      <c r="P464">
        <f t="shared" si="140"/>
        <v>1</v>
      </c>
      <c r="Q464">
        <f t="shared" si="141"/>
        <v>0</v>
      </c>
      <c r="R464">
        <f t="shared" si="142"/>
        <v>0</v>
      </c>
      <c r="S464">
        <f t="shared" si="143"/>
        <v>0</v>
      </c>
      <c r="T464">
        <f t="shared" si="144"/>
        <v>0</v>
      </c>
      <c r="U464">
        <f t="shared" si="145"/>
        <v>0</v>
      </c>
      <c r="V464">
        <f t="shared" si="146"/>
        <v>0</v>
      </c>
      <c r="W464" t="s">
        <v>39</v>
      </c>
      <c r="X464">
        <f t="shared" si="147"/>
        <v>1</v>
      </c>
      <c r="Y464">
        <f t="shared" si="148"/>
        <v>0</v>
      </c>
      <c r="Z464">
        <v>5</v>
      </c>
      <c r="AA464">
        <f t="shared" si="149"/>
        <v>1</v>
      </c>
      <c r="AB464" t="s">
        <v>46</v>
      </c>
      <c r="AC464">
        <f t="shared" si="150"/>
        <v>0</v>
      </c>
      <c r="AD464">
        <f t="shared" si="151"/>
        <v>1</v>
      </c>
      <c r="AE464" t="s">
        <v>90</v>
      </c>
      <c r="AF464">
        <f>IF(AE464="website",1,0)</f>
        <v>0</v>
      </c>
    </row>
    <row r="465" spans="1:32">
      <c r="A465" t="s">
        <v>1063</v>
      </c>
      <c r="B465" t="s">
        <v>33</v>
      </c>
      <c r="C465" s="3">
        <f t="shared" si="133"/>
        <v>0</v>
      </c>
      <c r="D465">
        <f t="shared" si="134"/>
        <v>1</v>
      </c>
      <c r="E465" t="s">
        <v>1032</v>
      </c>
      <c r="F465" t="s">
        <v>430</v>
      </c>
      <c r="G465" s="1">
        <v>27374</v>
      </c>
      <c r="H465" s="2">
        <f t="shared" ca="1" si="135"/>
        <v>51</v>
      </c>
      <c r="I465" s="2">
        <f t="shared" ca="1" si="136"/>
        <v>0.37142857142857144</v>
      </c>
      <c r="J465" t="s">
        <v>45</v>
      </c>
      <c r="K465" t="s">
        <v>37</v>
      </c>
      <c r="L465">
        <f t="shared" si="137"/>
        <v>1</v>
      </c>
      <c r="M465">
        <f t="shared" si="138"/>
        <v>0</v>
      </c>
      <c r="N465">
        <f t="shared" si="139"/>
        <v>0</v>
      </c>
      <c r="O465" t="s">
        <v>600</v>
      </c>
      <c r="P465">
        <f t="shared" si="140"/>
        <v>0</v>
      </c>
      <c r="Q465">
        <f t="shared" si="141"/>
        <v>0</v>
      </c>
      <c r="R465">
        <f t="shared" si="142"/>
        <v>0</v>
      </c>
      <c r="S465">
        <f t="shared" si="143"/>
        <v>0</v>
      </c>
      <c r="T465">
        <f t="shared" si="144"/>
        <v>0</v>
      </c>
      <c r="U465">
        <f t="shared" si="145"/>
        <v>0</v>
      </c>
      <c r="V465">
        <f t="shared" si="146"/>
        <v>0</v>
      </c>
      <c r="W465" t="s">
        <v>39</v>
      </c>
      <c r="X465">
        <f t="shared" si="147"/>
        <v>1</v>
      </c>
      <c r="Y465">
        <f t="shared" si="148"/>
        <v>0</v>
      </c>
      <c r="Z465">
        <v>5</v>
      </c>
      <c r="AA465">
        <f t="shared" si="149"/>
        <v>1</v>
      </c>
      <c r="AB465" t="s">
        <v>46</v>
      </c>
      <c r="AC465">
        <f t="shared" si="150"/>
        <v>0</v>
      </c>
      <c r="AD465">
        <f t="shared" si="151"/>
        <v>0</v>
      </c>
      <c r="AE465" t="s">
        <v>41</v>
      </c>
      <c r="AF465">
        <f>IF(AE465="website",1,0)</f>
        <v>1</v>
      </c>
    </row>
    <row r="466" spans="1:32">
      <c r="A466" t="s">
        <v>1064</v>
      </c>
      <c r="B466" t="s">
        <v>33</v>
      </c>
      <c r="C466" s="3">
        <f t="shared" si="133"/>
        <v>0</v>
      </c>
      <c r="D466">
        <f t="shared" si="134"/>
        <v>1</v>
      </c>
      <c r="E466" t="s">
        <v>936</v>
      </c>
      <c r="F466" t="s">
        <v>568</v>
      </c>
      <c r="G466" s="1">
        <v>18143</v>
      </c>
      <c r="H466" s="2">
        <f t="shared" ca="1" si="135"/>
        <v>77</v>
      </c>
      <c r="I466" s="2">
        <f t="shared" ca="1" si="136"/>
        <v>0.74285714285714288</v>
      </c>
      <c r="J466" t="s">
        <v>45</v>
      </c>
      <c r="K466" t="s">
        <v>37</v>
      </c>
      <c r="L466">
        <f t="shared" si="137"/>
        <v>1</v>
      </c>
      <c r="M466">
        <f t="shared" si="138"/>
        <v>0</v>
      </c>
      <c r="N466">
        <f t="shared" si="139"/>
        <v>0</v>
      </c>
      <c r="O466" t="s">
        <v>38</v>
      </c>
      <c r="P466">
        <f t="shared" si="140"/>
        <v>1</v>
      </c>
      <c r="Q466">
        <f t="shared" si="141"/>
        <v>0</v>
      </c>
      <c r="R466">
        <f t="shared" si="142"/>
        <v>0</v>
      </c>
      <c r="S466">
        <f t="shared" si="143"/>
        <v>0</v>
      </c>
      <c r="T466">
        <f t="shared" si="144"/>
        <v>0</v>
      </c>
      <c r="U466">
        <f t="shared" si="145"/>
        <v>0</v>
      </c>
      <c r="V466">
        <f t="shared" si="146"/>
        <v>0</v>
      </c>
      <c r="W466" t="s">
        <v>39</v>
      </c>
      <c r="X466">
        <f t="shared" si="147"/>
        <v>1</v>
      </c>
      <c r="Y466">
        <f t="shared" si="148"/>
        <v>0</v>
      </c>
      <c r="Z466">
        <v>3</v>
      </c>
      <c r="AA466">
        <f t="shared" si="149"/>
        <v>0.5</v>
      </c>
      <c r="AB466" t="s">
        <v>46</v>
      </c>
      <c r="AC466">
        <f t="shared" si="150"/>
        <v>0</v>
      </c>
      <c r="AD466">
        <f t="shared" si="151"/>
        <v>0</v>
      </c>
      <c r="AE466" t="s">
        <v>41</v>
      </c>
      <c r="AF466">
        <f>IF(AE466="website",1,0)</f>
        <v>1</v>
      </c>
    </row>
    <row r="467" spans="1:32">
      <c r="A467" t="s">
        <v>1065</v>
      </c>
      <c r="B467" t="s">
        <v>33</v>
      </c>
      <c r="C467" s="3">
        <f t="shared" si="133"/>
        <v>0</v>
      </c>
      <c r="D467">
        <f t="shared" si="134"/>
        <v>1</v>
      </c>
      <c r="E467" t="s">
        <v>1043</v>
      </c>
      <c r="F467" t="s">
        <v>856</v>
      </c>
      <c r="G467" s="1">
        <v>32282</v>
      </c>
      <c r="H467" s="2">
        <f t="shared" ca="1" si="135"/>
        <v>38</v>
      </c>
      <c r="I467" s="2">
        <f t="shared" ca="1" si="136"/>
        <v>0.18571428571428572</v>
      </c>
      <c r="J467" t="s">
        <v>36</v>
      </c>
      <c r="K467" t="s">
        <v>37</v>
      </c>
      <c r="L467">
        <f t="shared" si="137"/>
        <v>1</v>
      </c>
      <c r="M467">
        <f t="shared" si="138"/>
        <v>0</v>
      </c>
      <c r="N467">
        <f t="shared" si="139"/>
        <v>0</v>
      </c>
      <c r="O467" t="s">
        <v>305</v>
      </c>
      <c r="P467">
        <f t="shared" si="140"/>
        <v>0</v>
      </c>
      <c r="Q467">
        <f t="shared" si="141"/>
        <v>0</v>
      </c>
      <c r="R467">
        <f t="shared" si="142"/>
        <v>0</v>
      </c>
      <c r="S467">
        <f t="shared" si="143"/>
        <v>0</v>
      </c>
      <c r="T467">
        <f t="shared" si="144"/>
        <v>0</v>
      </c>
      <c r="U467">
        <f t="shared" si="145"/>
        <v>0</v>
      </c>
      <c r="V467">
        <f t="shared" si="146"/>
        <v>0</v>
      </c>
      <c r="W467" t="s">
        <v>58</v>
      </c>
      <c r="X467">
        <f t="shared" si="147"/>
        <v>0</v>
      </c>
      <c r="Y467">
        <f t="shared" si="148"/>
        <v>1</v>
      </c>
      <c r="Z467">
        <v>2</v>
      </c>
      <c r="AA467">
        <f t="shared" si="149"/>
        <v>0.25</v>
      </c>
      <c r="AB467" t="s">
        <v>46</v>
      </c>
      <c r="AC467">
        <f t="shared" si="150"/>
        <v>0</v>
      </c>
      <c r="AD467">
        <f t="shared" si="151"/>
        <v>0</v>
      </c>
      <c r="AE467" t="s">
        <v>41</v>
      </c>
      <c r="AF467">
        <f>IF(AE467="website",1,0)</f>
        <v>1</v>
      </c>
    </row>
    <row r="468" spans="1:32">
      <c r="A468" t="s">
        <v>1066</v>
      </c>
      <c r="B468" t="s">
        <v>33</v>
      </c>
      <c r="C468" s="3">
        <f t="shared" si="133"/>
        <v>0</v>
      </c>
      <c r="D468">
        <f t="shared" si="134"/>
        <v>1</v>
      </c>
      <c r="E468" t="s">
        <v>768</v>
      </c>
      <c r="F468" t="s">
        <v>585</v>
      </c>
      <c r="G468" s="1">
        <v>19089</v>
      </c>
      <c r="H468" s="2">
        <f t="shared" ca="1" si="135"/>
        <v>74</v>
      </c>
      <c r="I468" s="2">
        <f t="shared" ca="1" si="136"/>
        <v>0.7</v>
      </c>
      <c r="J468" t="s">
        <v>36</v>
      </c>
      <c r="K468" t="s">
        <v>37</v>
      </c>
      <c r="L468">
        <f t="shared" si="137"/>
        <v>1</v>
      </c>
      <c r="M468">
        <f t="shared" si="138"/>
        <v>0</v>
      </c>
      <c r="N468">
        <f t="shared" si="139"/>
        <v>0</v>
      </c>
      <c r="O468" t="s">
        <v>559</v>
      </c>
      <c r="P468">
        <f t="shared" si="140"/>
        <v>0</v>
      </c>
      <c r="Q468">
        <f t="shared" si="141"/>
        <v>0</v>
      </c>
      <c r="R468">
        <f t="shared" si="142"/>
        <v>0</v>
      </c>
      <c r="S468">
        <f t="shared" si="143"/>
        <v>0</v>
      </c>
      <c r="T468">
        <f t="shared" si="144"/>
        <v>0</v>
      </c>
      <c r="U468">
        <f t="shared" si="145"/>
        <v>0</v>
      </c>
      <c r="V468">
        <f t="shared" si="146"/>
        <v>0</v>
      </c>
      <c r="W468" t="s">
        <v>39</v>
      </c>
      <c r="X468">
        <f t="shared" si="147"/>
        <v>1</v>
      </c>
      <c r="Y468">
        <f t="shared" si="148"/>
        <v>0</v>
      </c>
      <c r="Z468">
        <v>1</v>
      </c>
      <c r="AA468">
        <f t="shared" si="149"/>
        <v>0</v>
      </c>
      <c r="AB468" t="s">
        <v>40</v>
      </c>
      <c r="AC468">
        <f t="shared" si="150"/>
        <v>1</v>
      </c>
      <c r="AD468">
        <f t="shared" si="151"/>
        <v>0</v>
      </c>
      <c r="AE468" t="s">
        <v>50</v>
      </c>
      <c r="AF468">
        <f>IF(AE468="website",1,0)</f>
        <v>0</v>
      </c>
    </row>
    <row r="469" spans="1:32">
      <c r="A469" t="s">
        <v>1067</v>
      </c>
      <c r="B469" t="s">
        <v>33</v>
      </c>
      <c r="C469" s="3">
        <f t="shared" si="133"/>
        <v>0</v>
      </c>
      <c r="D469">
        <f t="shared" si="134"/>
        <v>1</v>
      </c>
      <c r="E469" t="s">
        <v>795</v>
      </c>
      <c r="F469" t="s">
        <v>953</v>
      </c>
      <c r="G469" s="1">
        <v>19311</v>
      </c>
      <c r="H469" s="2">
        <f t="shared" ca="1" si="135"/>
        <v>73</v>
      </c>
      <c r="I469" s="2">
        <f t="shared" ca="1" si="136"/>
        <v>0.68571428571428572</v>
      </c>
      <c r="J469" t="s">
        <v>45</v>
      </c>
      <c r="K469" t="s">
        <v>158</v>
      </c>
      <c r="L469">
        <f t="shared" si="137"/>
        <v>0</v>
      </c>
      <c r="M469">
        <f t="shared" si="138"/>
        <v>0</v>
      </c>
      <c r="N469">
        <f t="shared" si="139"/>
        <v>0</v>
      </c>
      <c r="O469" t="s">
        <v>1068</v>
      </c>
      <c r="P469">
        <f t="shared" si="140"/>
        <v>0</v>
      </c>
      <c r="Q469">
        <f t="shared" si="141"/>
        <v>0</v>
      </c>
      <c r="R469">
        <f t="shared" si="142"/>
        <v>0</v>
      </c>
      <c r="S469">
        <f t="shared" si="143"/>
        <v>0</v>
      </c>
      <c r="T469">
        <f t="shared" si="144"/>
        <v>0</v>
      </c>
      <c r="U469">
        <f t="shared" si="145"/>
        <v>0</v>
      </c>
      <c r="V469">
        <f t="shared" si="146"/>
        <v>0</v>
      </c>
      <c r="W469" t="s">
        <v>58</v>
      </c>
      <c r="X469">
        <f t="shared" si="147"/>
        <v>0</v>
      </c>
      <c r="Y469">
        <f t="shared" si="148"/>
        <v>1</v>
      </c>
      <c r="Z469">
        <v>3</v>
      </c>
      <c r="AA469">
        <f t="shared" si="149"/>
        <v>0.5</v>
      </c>
      <c r="AB469" t="s">
        <v>40</v>
      </c>
      <c r="AC469">
        <f t="shared" si="150"/>
        <v>0</v>
      </c>
      <c r="AD469">
        <f t="shared" si="151"/>
        <v>0</v>
      </c>
      <c r="AE469" t="s">
        <v>41</v>
      </c>
      <c r="AF469">
        <f>IF(AE469="website",1,0)</f>
        <v>1</v>
      </c>
    </row>
    <row r="470" spans="1:32">
      <c r="A470" t="s">
        <v>1069</v>
      </c>
      <c r="B470" t="s">
        <v>33</v>
      </c>
      <c r="C470" s="3">
        <f t="shared" si="133"/>
        <v>0</v>
      </c>
      <c r="D470">
        <f t="shared" si="134"/>
        <v>1</v>
      </c>
      <c r="E470" t="s">
        <v>1070</v>
      </c>
      <c r="F470" t="s">
        <v>674</v>
      </c>
      <c r="G470" s="1">
        <v>35512</v>
      </c>
      <c r="H470" s="2">
        <f t="shared" ca="1" si="135"/>
        <v>29</v>
      </c>
      <c r="I470" s="2">
        <f t="shared" ca="1" si="136"/>
        <v>5.7142857142857141E-2</v>
      </c>
      <c r="J470" t="s">
        <v>45</v>
      </c>
      <c r="K470" t="s">
        <v>37</v>
      </c>
      <c r="L470">
        <f t="shared" si="137"/>
        <v>1</v>
      </c>
      <c r="M470">
        <f t="shared" si="138"/>
        <v>0</v>
      </c>
      <c r="N470">
        <f t="shared" si="139"/>
        <v>0</v>
      </c>
      <c r="O470" t="s">
        <v>38</v>
      </c>
      <c r="P470">
        <f t="shared" si="140"/>
        <v>1</v>
      </c>
      <c r="Q470">
        <f t="shared" si="141"/>
        <v>0</v>
      </c>
      <c r="R470">
        <f t="shared" si="142"/>
        <v>0</v>
      </c>
      <c r="S470">
        <f t="shared" si="143"/>
        <v>0</v>
      </c>
      <c r="T470">
        <f t="shared" si="144"/>
        <v>0</v>
      </c>
      <c r="U470">
        <f t="shared" si="145"/>
        <v>0</v>
      </c>
      <c r="V470">
        <f t="shared" si="146"/>
        <v>0</v>
      </c>
      <c r="W470" t="s">
        <v>39</v>
      </c>
      <c r="X470">
        <f t="shared" si="147"/>
        <v>1</v>
      </c>
      <c r="Y470">
        <f t="shared" si="148"/>
        <v>0</v>
      </c>
      <c r="Z470">
        <v>2</v>
      </c>
      <c r="AA470">
        <f t="shared" si="149"/>
        <v>0.25</v>
      </c>
      <c r="AB470" t="s">
        <v>46</v>
      </c>
      <c r="AC470">
        <f t="shared" si="150"/>
        <v>0</v>
      </c>
      <c r="AD470">
        <f t="shared" si="151"/>
        <v>0</v>
      </c>
      <c r="AE470" t="s">
        <v>41</v>
      </c>
      <c r="AF470">
        <f>IF(AE470="website",1,0)</f>
        <v>1</v>
      </c>
    </row>
    <row r="471" spans="1:32">
      <c r="A471" t="s">
        <v>1071</v>
      </c>
      <c r="B471" t="s">
        <v>33</v>
      </c>
      <c r="C471" s="3">
        <f t="shared" si="133"/>
        <v>0</v>
      </c>
      <c r="D471">
        <f t="shared" si="134"/>
        <v>1</v>
      </c>
      <c r="E471" t="s">
        <v>817</v>
      </c>
      <c r="F471" t="s">
        <v>366</v>
      </c>
      <c r="G471" s="1">
        <v>23059</v>
      </c>
      <c r="H471" s="2">
        <f t="shared" ca="1" si="135"/>
        <v>63</v>
      </c>
      <c r="I471" s="2">
        <f t="shared" ca="1" si="136"/>
        <v>0.54285714285714282</v>
      </c>
      <c r="J471" t="s">
        <v>36</v>
      </c>
      <c r="K471" t="s">
        <v>37</v>
      </c>
      <c r="L471">
        <f t="shared" si="137"/>
        <v>1</v>
      </c>
      <c r="M471">
        <f t="shared" si="138"/>
        <v>0</v>
      </c>
      <c r="N471">
        <f t="shared" si="139"/>
        <v>0</v>
      </c>
      <c r="O471" t="s">
        <v>76</v>
      </c>
      <c r="P471">
        <f t="shared" si="140"/>
        <v>0</v>
      </c>
      <c r="Q471">
        <f t="shared" si="141"/>
        <v>1</v>
      </c>
      <c r="R471">
        <f t="shared" si="142"/>
        <v>0</v>
      </c>
      <c r="S471">
        <f t="shared" si="143"/>
        <v>0</v>
      </c>
      <c r="T471">
        <f t="shared" si="144"/>
        <v>0</v>
      </c>
      <c r="U471">
        <f t="shared" si="145"/>
        <v>0</v>
      </c>
      <c r="V471">
        <f t="shared" si="146"/>
        <v>0</v>
      </c>
      <c r="W471" t="s">
        <v>39</v>
      </c>
      <c r="X471">
        <f t="shared" si="147"/>
        <v>1</v>
      </c>
      <c r="Y471">
        <f t="shared" si="148"/>
        <v>0</v>
      </c>
      <c r="Z471">
        <v>1</v>
      </c>
      <c r="AA471">
        <f t="shared" si="149"/>
        <v>0</v>
      </c>
      <c r="AB471" t="s">
        <v>46</v>
      </c>
      <c r="AC471">
        <f t="shared" si="150"/>
        <v>1</v>
      </c>
      <c r="AD471">
        <f t="shared" si="151"/>
        <v>0</v>
      </c>
      <c r="AE471" t="s">
        <v>50</v>
      </c>
      <c r="AF471">
        <f>IF(AE471="website",1,0)</f>
        <v>0</v>
      </c>
    </row>
    <row r="472" spans="1:32">
      <c r="A472" t="s">
        <v>1072</v>
      </c>
      <c r="B472" t="s">
        <v>33</v>
      </c>
      <c r="C472" s="3">
        <f t="shared" si="133"/>
        <v>0</v>
      </c>
      <c r="D472">
        <f t="shared" si="134"/>
        <v>1</v>
      </c>
      <c r="E472" t="s">
        <v>1073</v>
      </c>
      <c r="F472" t="s">
        <v>745</v>
      </c>
      <c r="G472" s="1">
        <v>30859</v>
      </c>
      <c r="H472" s="2">
        <f t="shared" ca="1" si="135"/>
        <v>42</v>
      </c>
      <c r="I472" s="2">
        <f t="shared" ca="1" si="136"/>
        <v>0.24285714285714285</v>
      </c>
      <c r="J472" t="s">
        <v>45</v>
      </c>
      <c r="K472" t="s">
        <v>37</v>
      </c>
      <c r="L472">
        <f t="shared" si="137"/>
        <v>1</v>
      </c>
      <c r="M472">
        <f t="shared" si="138"/>
        <v>0</v>
      </c>
      <c r="N472">
        <f t="shared" si="139"/>
        <v>0</v>
      </c>
      <c r="O472" t="s">
        <v>183</v>
      </c>
      <c r="P472">
        <f t="shared" si="140"/>
        <v>0</v>
      </c>
      <c r="Q472">
        <f t="shared" si="141"/>
        <v>0</v>
      </c>
      <c r="R472">
        <f t="shared" si="142"/>
        <v>0</v>
      </c>
      <c r="S472">
        <f t="shared" si="143"/>
        <v>0</v>
      </c>
      <c r="T472">
        <f t="shared" si="144"/>
        <v>0</v>
      </c>
      <c r="U472">
        <f t="shared" si="145"/>
        <v>0</v>
      </c>
      <c r="V472">
        <f t="shared" si="146"/>
        <v>0</v>
      </c>
      <c r="W472" t="s">
        <v>58</v>
      </c>
      <c r="X472">
        <f t="shared" si="147"/>
        <v>0</v>
      </c>
      <c r="Y472">
        <f t="shared" si="148"/>
        <v>1</v>
      </c>
      <c r="Z472">
        <v>3</v>
      </c>
      <c r="AA472">
        <f t="shared" si="149"/>
        <v>0.5</v>
      </c>
      <c r="AB472" t="s">
        <v>46</v>
      </c>
      <c r="AC472">
        <f t="shared" si="150"/>
        <v>1</v>
      </c>
      <c r="AD472">
        <f t="shared" si="151"/>
        <v>0</v>
      </c>
      <c r="AE472" t="s">
        <v>50</v>
      </c>
      <c r="AF472">
        <f>IF(AE472="website",1,0)</f>
        <v>0</v>
      </c>
    </row>
    <row r="473" spans="1:32">
      <c r="A473" t="s">
        <v>1074</v>
      </c>
      <c r="B473" t="s">
        <v>33</v>
      </c>
      <c r="C473" s="3">
        <f t="shared" si="133"/>
        <v>0</v>
      </c>
      <c r="D473">
        <f t="shared" si="134"/>
        <v>1</v>
      </c>
      <c r="E473" t="s">
        <v>858</v>
      </c>
      <c r="F473" t="s">
        <v>620</v>
      </c>
      <c r="G473" s="1">
        <v>18905</v>
      </c>
      <c r="H473" s="2">
        <f t="shared" ca="1" si="135"/>
        <v>75</v>
      </c>
      <c r="I473" s="2">
        <f t="shared" ca="1" si="136"/>
        <v>0.7142857142857143</v>
      </c>
      <c r="J473" t="s">
        <v>45</v>
      </c>
      <c r="K473" t="s">
        <v>37</v>
      </c>
      <c r="L473">
        <f t="shared" si="137"/>
        <v>1</v>
      </c>
      <c r="M473">
        <f t="shared" si="138"/>
        <v>0</v>
      </c>
      <c r="N473">
        <f t="shared" si="139"/>
        <v>0</v>
      </c>
      <c r="O473" t="s">
        <v>38</v>
      </c>
      <c r="P473">
        <f t="shared" si="140"/>
        <v>1</v>
      </c>
      <c r="Q473">
        <f t="shared" si="141"/>
        <v>0</v>
      </c>
      <c r="R473">
        <f t="shared" si="142"/>
        <v>0</v>
      </c>
      <c r="S473">
        <f t="shared" si="143"/>
        <v>0</v>
      </c>
      <c r="T473">
        <f t="shared" si="144"/>
        <v>0</v>
      </c>
      <c r="U473">
        <f t="shared" si="145"/>
        <v>0</v>
      </c>
      <c r="V473">
        <f t="shared" si="146"/>
        <v>0</v>
      </c>
      <c r="W473" t="s">
        <v>39</v>
      </c>
      <c r="X473">
        <f t="shared" si="147"/>
        <v>1</v>
      </c>
      <c r="Y473">
        <f t="shared" si="148"/>
        <v>0</v>
      </c>
      <c r="Z473">
        <v>4</v>
      </c>
      <c r="AA473">
        <f t="shared" si="149"/>
        <v>0.75</v>
      </c>
      <c r="AB473" t="s">
        <v>46</v>
      </c>
      <c r="AC473">
        <f t="shared" si="150"/>
        <v>0</v>
      </c>
      <c r="AD473">
        <f t="shared" si="151"/>
        <v>0</v>
      </c>
      <c r="AE473" t="s">
        <v>41</v>
      </c>
      <c r="AF473">
        <f>IF(AE473="website",1,0)</f>
        <v>1</v>
      </c>
    </row>
    <row r="474" spans="1:32">
      <c r="A474" t="s">
        <v>1075</v>
      </c>
      <c r="B474" t="s">
        <v>33</v>
      </c>
      <c r="C474" s="3">
        <f t="shared" si="133"/>
        <v>0</v>
      </c>
      <c r="D474">
        <f t="shared" si="134"/>
        <v>1</v>
      </c>
      <c r="E474" t="s">
        <v>622</v>
      </c>
      <c r="F474" t="s">
        <v>664</v>
      </c>
      <c r="G474" s="1">
        <v>29807</v>
      </c>
      <c r="H474" s="2">
        <f t="shared" ca="1" si="135"/>
        <v>45</v>
      </c>
      <c r="I474" s="2">
        <f t="shared" ca="1" si="136"/>
        <v>0.2857142857142857</v>
      </c>
      <c r="J474" t="s">
        <v>36</v>
      </c>
      <c r="K474" t="s">
        <v>37</v>
      </c>
      <c r="L474">
        <f t="shared" si="137"/>
        <v>1</v>
      </c>
      <c r="M474">
        <f t="shared" si="138"/>
        <v>0</v>
      </c>
      <c r="N474">
        <f t="shared" si="139"/>
        <v>0</v>
      </c>
      <c r="O474" t="s">
        <v>38</v>
      </c>
      <c r="P474">
        <f t="shared" si="140"/>
        <v>1</v>
      </c>
      <c r="Q474">
        <f t="shared" si="141"/>
        <v>0</v>
      </c>
      <c r="R474">
        <f t="shared" si="142"/>
        <v>0</v>
      </c>
      <c r="S474">
        <f t="shared" si="143"/>
        <v>0</v>
      </c>
      <c r="T474">
        <f t="shared" si="144"/>
        <v>0</v>
      </c>
      <c r="U474">
        <f t="shared" si="145"/>
        <v>0</v>
      </c>
      <c r="V474">
        <f t="shared" si="146"/>
        <v>0</v>
      </c>
      <c r="W474" t="s">
        <v>39</v>
      </c>
      <c r="X474">
        <f t="shared" si="147"/>
        <v>1</v>
      </c>
      <c r="Y474">
        <f t="shared" si="148"/>
        <v>0</v>
      </c>
      <c r="Z474">
        <v>3</v>
      </c>
      <c r="AA474">
        <f t="shared" si="149"/>
        <v>0.5</v>
      </c>
      <c r="AB474" t="s">
        <v>46</v>
      </c>
      <c r="AC474">
        <f t="shared" si="150"/>
        <v>1</v>
      </c>
      <c r="AD474">
        <f t="shared" si="151"/>
        <v>0</v>
      </c>
      <c r="AE474" t="s">
        <v>50</v>
      </c>
      <c r="AF474">
        <f>IF(AE474="website",1,0)</f>
        <v>0</v>
      </c>
    </row>
    <row r="475" spans="1:32">
      <c r="A475" t="s">
        <v>1076</v>
      </c>
      <c r="B475" t="s">
        <v>33</v>
      </c>
      <c r="C475" s="3">
        <f t="shared" si="133"/>
        <v>0</v>
      </c>
      <c r="D475">
        <f t="shared" si="134"/>
        <v>1</v>
      </c>
      <c r="E475" t="s">
        <v>1032</v>
      </c>
      <c r="F475" t="s">
        <v>796</v>
      </c>
      <c r="G475" s="1">
        <v>35041</v>
      </c>
      <c r="H475" s="2">
        <f t="shared" ca="1" si="135"/>
        <v>30</v>
      </c>
      <c r="I475" s="2">
        <f t="shared" ca="1" si="136"/>
        <v>7.1428571428571425E-2</v>
      </c>
      <c r="J475" t="s">
        <v>45</v>
      </c>
      <c r="K475" t="s">
        <v>37</v>
      </c>
      <c r="L475">
        <f t="shared" si="137"/>
        <v>1</v>
      </c>
      <c r="M475">
        <f t="shared" si="138"/>
        <v>0</v>
      </c>
      <c r="N475">
        <f t="shared" si="139"/>
        <v>0</v>
      </c>
      <c r="O475" t="s">
        <v>124</v>
      </c>
      <c r="P475">
        <f t="shared" si="140"/>
        <v>0</v>
      </c>
      <c r="Q475">
        <f t="shared" si="141"/>
        <v>0</v>
      </c>
      <c r="R475">
        <f t="shared" si="142"/>
        <v>0</v>
      </c>
      <c r="S475">
        <f t="shared" si="143"/>
        <v>0</v>
      </c>
      <c r="T475">
        <f t="shared" si="144"/>
        <v>0</v>
      </c>
      <c r="U475">
        <f t="shared" si="145"/>
        <v>1</v>
      </c>
      <c r="V475">
        <f t="shared" si="146"/>
        <v>0</v>
      </c>
      <c r="W475" t="s">
        <v>39</v>
      </c>
      <c r="X475">
        <f t="shared" si="147"/>
        <v>1</v>
      </c>
      <c r="Y475">
        <f t="shared" si="148"/>
        <v>0</v>
      </c>
      <c r="Z475">
        <v>1</v>
      </c>
      <c r="AA475">
        <f t="shared" si="149"/>
        <v>0</v>
      </c>
      <c r="AB475" t="s">
        <v>46</v>
      </c>
      <c r="AC475">
        <f t="shared" si="150"/>
        <v>0</v>
      </c>
      <c r="AD475">
        <f t="shared" si="151"/>
        <v>0</v>
      </c>
      <c r="AE475" t="s">
        <v>41</v>
      </c>
      <c r="AF475">
        <f>IF(AE475="website",1,0)</f>
        <v>1</v>
      </c>
    </row>
    <row r="476" spans="1:32">
      <c r="A476" t="s">
        <v>1077</v>
      </c>
      <c r="B476" t="s">
        <v>33</v>
      </c>
      <c r="C476" s="3">
        <f t="shared" si="133"/>
        <v>0</v>
      </c>
      <c r="D476">
        <f t="shared" si="134"/>
        <v>1</v>
      </c>
      <c r="E476" t="s">
        <v>683</v>
      </c>
      <c r="F476" t="s">
        <v>645</v>
      </c>
      <c r="G476" s="1">
        <v>17032</v>
      </c>
      <c r="H476" s="2">
        <f t="shared" ca="1" si="135"/>
        <v>80</v>
      </c>
      <c r="I476" s="2">
        <f t="shared" ca="1" si="136"/>
        <v>0.7857142857142857</v>
      </c>
      <c r="J476" t="s">
        <v>45</v>
      </c>
      <c r="K476" t="s">
        <v>153</v>
      </c>
      <c r="L476">
        <f t="shared" si="137"/>
        <v>0</v>
      </c>
      <c r="M476">
        <f t="shared" si="138"/>
        <v>0</v>
      </c>
      <c r="N476">
        <f t="shared" si="139"/>
        <v>0</v>
      </c>
      <c r="O476" t="s">
        <v>945</v>
      </c>
      <c r="P476">
        <f t="shared" si="140"/>
        <v>0</v>
      </c>
      <c r="Q476">
        <f t="shared" si="141"/>
        <v>0</v>
      </c>
      <c r="R476">
        <f t="shared" si="142"/>
        <v>0</v>
      </c>
      <c r="S476">
        <f t="shared" si="143"/>
        <v>0</v>
      </c>
      <c r="T476">
        <f t="shared" si="144"/>
        <v>0</v>
      </c>
      <c r="U476">
        <f t="shared" si="145"/>
        <v>0</v>
      </c>
      <c r="V476">
        <f t="shared" si="146"/>
        <v>0</v>
      </c>
      <c r="W476" t="s">
        <v>58</v>
      </c>
      <c r="X476">
        <f t="shared" si="147"/>
        <v>0</v>
      </c>
      <c r="Y476">
        <f t="shared" si="148"/>
        <v>1</v>
      </c>
      <c r="Z476">
        <v>2</v>
      </c>
      <c r="AA476">
        <f t="shared" si="149"/>
        <v>0.25</v>
      </c>
      <c r="AB476" t="s">
        <v>40</v>
      </c>
      <c r="AC476">
        <f t="shared" si="150"/>
        <v>1</v>
      </c>
      <c r="AD476">
        <f t="shared" si="151"/>
        <v>0</v>
      </c>
      <c r="AE476" t="s">
        <v>50</v>
      </c>
      <c r="AF476">
        <f>IF(AE476="website",1,0)</f>
        <v>0</v>
      </c>
    </row>
    <row r="477" spans="1:32">
      <c r="A477" t="s">
        <v>1078</v>
      </c>
      <c r="B477" t="s">
        <v>33</v>
      </c>
      <c r="C477" s="3">
        <f t="shared" si="133"/>
        <v>0</v>
      </c>
      <c r="D477">
        <f t="shared" si="134"/>
        <v>1</v>
      </c>
      <c r="E477" t="s">
        <v>972</v>
      </c>
      <c r="F477" t="s">
        <v>616</v>
      </c>
      <c r="G477" s="1">
        <v>35525</v>
      </c>
      <c r="H477" s="2">
        <f t="shared" ca="1" si="135"/>
        <v>29</v>
      </c>
      <c r="I477" s="2">
        <f t="shared" ca="1" si="136"/>
        <v>5.7142857142857141E-2</v>
      </c>
      <c r="J477" t="s">
        <v>45</v>
      </c>
      <c r="K477" t="s">
        <v>37</v>
      </c>
      <c r="L477">
        <f t="shared" si="137"/>
        <v>1</v>
      </c>
      <c r="M477">
        <f t="shared" si="138"/>
        <v>0</v>
      </c>
      <c r="N477">
        <f t="shared" si="139"/>
        <v>0</v>
      </c>
      <c r="O477" t="s">
        <v>600</v>
      </c>
      <c r="P477">
        <f t="shared" si="140"/>
        <v>0</v>
      </c>
      <c r="Q477">
        <f t="shared" si="141"/>
        <v>0</v>
      </c>
      <c r="R477">
        <f t="shared" si="142"/>
        <v>0</v>
      </c>
      <c r="S477">
        <f t="shared" si="143"/>
        <v>0</v>
      </c>
      <c r="T477">
        <f t="shared" si="144"/>
        <v>0</v>
      </c>
      <c r="U477">
        <f t="shared" si="145"/>
        <v>0</v>
      </c>
      <c r="V477">
        <f t="shared" si="146"/>
        <v>0</v>
      </c>
      <c r="W477" t="s">
        <v>39</v>
      </c>
      <c r="X477">
        <f t="shared" si="147"/>
        <v>1</v>
      </c>
      <c r="Y477">
        <f t="shared" si="148"/>
        <v>0</v>
      </c>
      <c r="Z477">
        <v>3</v>
      </c>
      <c r="AA477">
        <f t="shared" si="149"/>
        <v>0.5</v>
      </c>
      <c r="AB477" t="s">
        <v>46</v>
      </c>
      <c r="AC477">
        <f t="shared" si="150"/>
        <v>1</v>
      </c>
      <c r="AD477">
        <f t="shared" si="151"/>
        <v>0</v>
      </c>
      <c r="AE477" t="s">
        <v>50</v>
      </c>
      <c r="AF477">
        <f>IF(AE477="website",1,0)</f>
        <v>0</v>
      </c>
    </row>
    <row r="478" spans="1:32">
      <c r="A478" t="s">
        <v>1079</v>
      </c>
      <c r="B478" t="s">
        <v>33</v>
      </c>
      <c r="C478" s="3">
        <f t="shared" si="133"/>
        <v>0</v>
      </c>
      <c r="D478">
        <f t="shared" si="134"/>
        <v>1</v>
      </c>
      <c r="E478" t="s">
        <v>875</v>
      </c>
      <c r="F478" t="s">
        <v>691</v>
      </c>
      <c r="G478" s="1">
        <v>30713</v>
      </c>
      <c r="H478" s="2">
        <f t="shared" ca="1" si="135"/>
        <v>42</v>
      </c>
      <c r="I478" s="2">
        <f t="shared" ca="1" si="136"/>
        <v>0.24285714285714285</v>
      </c>
      <c r="J478" t="s">
        <v>45</v>
      </c>
      <c r="K478" t="s">
        <v>37</v>
      </c>
      <c r="L478">
        <f t="shared" si="137"/>
        <v>1</v>
      </c>
      <c r="M478">
        <f t="shared" si="138"/>
        <v>0</v>
      </c>
      <c r="N478">
        <f t="shared" si="139"/>
        <v>0</v>
      </c>
      <c r="O478" t="s">
        <v>38</v>
      </c>
      <c r="P478">
        <f t="shared" si="140"/>
        <v>1</v>
      </c>
      <c r="Q478">
        <f t="shared" si="141"/>
        <v>0</v>
      </c>
      <c r="R478">
        <f t="shared" si="142"/>
        <v>0</v>
      </c>
      <c r="S478">
        <f t="shared" si="143"/>
        <v>0</v>
      </c>
      <c r="T478">
        <f t="shared" si="144"/>
        <v>0</v>
      </c>
      <c r="U478">
        <f t="shared" si="145"/>
        <v>0</v>
      </c>
      <c r="V478">
        <f t="shared" si="146"/>
        <v>0</v>
      </c>
      <c r="W478" t="s">
        <v>58</v>
      </c>
      <c r="X478">
        <f t="shared" si="147"/>
        <v>0</v>
      </c>
      <c r="Y478">
        <f t="shared" si="148"/>
        <v>1</v>
      </c>
      <c r="Z478">
        <v>4</v>
      </c>
      <c r="AA478">
        <f t="shared" si="149"/>
        <v>0.75</v>
      </c>
      <c r="AB478" t="s">
        <v>40</v>
      </c>
      <c r="AC478">
        <f t="shared" si="150"/>
        <v>0</v>
      </c>
      <c r="AD478">
        <f t="shared" si="151"/>
        <v>0</v>
      </c>
      <c r="AE478" t="s">
        <v>41</v>
      </c>
      <c r="AF478">
        <f>IF(AE478="website",1,0)</f>
        <v>1</v>
      </c>
    </row>
    <row r="479" spans="1:32">
      <c r="A479" t="s">
        <v>1080</v>
      </c>
      <c r="B479" t="s">
        <v>33</v>
      </c>
      <c r="C479" s="3">
        <f t="shared" si="133"/>
        <v>0</v>
      </c>
      <c r="D479">
        <f t="shared" si="134"/>
        <v>1</v>
      </c>
      <c r="E479" t="s">
        <v>587</v>
      </c>
      <c r="F479" t="s">
        <v>714</v>
      </c>
      <c r="G479" s="1">
        <v>14825</v>
      </c>
      <c r="H479" s="2">
        <f t="shared" ca="1" si="135"/>
        <v>86</v>
      </c>
      <c r="I479" s="2">
        <f t="shared" ca="1" si="136"/>
        <v>0.87142857142857144</v>
      </c>
      <c r="J479" t="s">
        <v>36</v>
      </c>
      <c r="K479" t="s">
        <v>37</v>
      </c>
      <c r="L479">
        <f t="shared" si="137"/>
        <v>1</v>
      </c>
      <c r="M479">
        <f t="shared" si="138"/>
        <v>0</v>
      </c>
      <c r="N479">
        <f t="shared" si="139"/>
        <v>0</v>
      </c>
      <c r="O479" t="s">
        <v>559</v>
      </c>
      <c r="P479">
        <f t="shared" si="140"/>
        <v>0</v>
      </c>
      <c r="Q479">
        <f t="shared" si="141"/>
        <v>0</v>
      </c>
      <c r="R479">
        <f t="shared" si="142"/>
        <v>0</v>
      </c>
      <c r="S479">
        <f t="shared" si="143"/>
        <v>0</v>
      </c>
      <c r="T479">
        <f t="shared" si="144"/>
        <v>0</v>
      </c>
      <c r="U479">
        <f t="shared" si="145"/>
        <v>0</v>
      </c>
      <c r="V479">
        <f t="shared" si="146"/>
        <v>0</v>
      </c>
      <c r="W479" t="s">
        <v>58</v>
      </c>
      <c r="X479">
        <f t="shared" si="147"/>
        <v>0</v>
      </c>
      <c r="Y479">
        <f t="shared" si="148"/>
        <v>1</v>
      </c>
      <c r="Z479">
        <v>4</v>
      </c>
      <c r="AA479">
        <f t="shared" si="149"/>
        <v>0.75</v>
      </c>
      <c r="AB479" t="s">
        <v>46</v>
      </c>
      <c r="AC479">
        <f t="shared" si="150"/>
        <v>0</v>
      </c>
      <c r="AD479">
        <f t="shared" si="151"/>
        <v>0</v>
      </c>
      <c r="AE479" t="s">
        <v>41</v>
      </c>
      <c r="AF479">
        <f>IF(AE479="website",1,0)</f>
        <v>1</v>
      </c>
    </row>
    <row r="480" spans="1:32">
      <c r="A480" t="s">
        <v>1081</v>
      </c>
      <c r="B480" t="s">
        <v>33</v>
      </c>
      <c r="C480" s="3">
        <f t="shared" si="133"/>
        <v>0</v>
      </c>
      <c r="D480">
        <f t="shared" si="134"/>
        <v>1</v>
      </c>
      <c r="E480" t="s">
        <v>305</v>
      </c>
      <c r="F480" t="s">
        <v>61</v>
      </c>
      <c r="G480" s="1">
        <v>28586</v>
      </c>
      <c r="H480" s="2">
        <f t="shared" ca="1" si="135"/>
        <v>48</v>
      </c>
      <c r="I480" s="2">
        <f t="shared" ca="1" si="136"/>
        <v>0.32857142857142857</v>
      </c>
      <c r="J480" t="s">
        <v>36</v>
      </c>
      <c r="K480" t="s">
        <v>37</v>
      </c>
      <c r="L480">
        <f t="shared" si="137"/>
        <v>1</v>
      </c>
      <c r="M480">
        <f t="shared" si="138"/>
        <v>0</v>
      </c>
      <c r="N480">
        <f t="shared" si="139"/>
        <v>0</v>
      </c>
      <c r="O480" t="s">
        <v>38</v>
      </c>
      <c r="P480">
        <f t="shared" si="140"/>
        <v>1</v>
      </c>
      <c r="Q480">
        <f t="shared" si="141"/>
        <v>0</v>
      </c>
      <c r="R480">
        <f t="shared" si="142"/>
        <v>0</v>
      </c>
      <c r="S480">
        <f t="shared" si="143"/>
        <v>0</v>
      </c>
      <c r="T480">
        <f t="shared" si="144"/>
        <v>0</v>
      </c>
      <c r="U480">
        <f t="shared" si="145"/>
        <v>0</v>
      </c>
      <c r="V480">
        <f t="shared" si="146"/>
        <v>0</v>
      </c>
      <c r="W480" t="s">
        <v>39</v>
      </c>
      <c r="X480">
        <f t="shared" si="147"/>
        <v>1</v>
      </c>
      <c r="Y480">
        <f t="shared" si="148"/>
        <v>0</v>
      </c>
      <c r="Z480">
        <v>2</v>
      </c>
      <c r="AA480">
        <f t="shared" si="149"/>
        <v>0.25</v>
      </c>
      <c r="AB480" t="s">
        <v>40</v>
      </c>
      <c r="AC480">
        <f t="shared" si="150"/>
        <v>1</v>
      </c>
      <c r="AD480">
        <f t="shared" si="151"/>
        <v>0</v>
      </c>
      <c r="AE480" t="s">
        <v>50</v>
      </c>
      <c r="AF480">
        <f>IF(AE480="website",1,0)</f>
        <v>0</v>
      </c>
    </row>
    <row r="481" spans="1:32">
      <c r="A481" t="s">
        <v>1082</v>
      </c>
      <c r="B481" t="s">
        <v>33</v>
      </c>
      <c r="C481" s="3">
        <f t="shared" si="133"/>
        <v>0</v>
      </c>
      <c r="D481">
        <f t="shared" si="134"/>
        <v>1</v>
      </c>
      <c r="E481" t="s">
        <v>941</v>
      </c>
      <c r="F481" t="s">
        <v>773</v>
      </c>
      <c r="G481" s="1">
        <v>27288</v>
      </c>
      <c r="H481" s="2">
        <f t="shared" ca="1" si="135"/>
        <v>52</v>
      </c>
      <c r="I481" s="2">
        <f t="shared" ca="1" si="136"/>
        <v>0.38571428571428573</v>
      </c>
      <c r="J481" t="s">
        <v>45</v>
      </c>
      <c r="K481" t="s">
        <v>37</v>
      </c>
      <c r="L481">
        <f t="shared" si="137"/>
        <v>1</v>
      </c>
      <c r="M481">
        <f t="shared" si="138"/>
        <v>0</v>
      </c>
      <c r="N481">
        <f t="shared" si="139"/>
        <v>0</v>
      </c>
      <c r="O481" t="s">
        <v>38</v>
      </c>
      <c r="P481">
        <f t="shared" si="140"/>
        <v>1</v>
      </c>
      <c r="Q481">
        <f t="shared" si="141"/>
        <v>0</v>
      </c>
      <c r="R481">
        <f t="shared" si="142"/>
        <v>0</v>
      </c>
      <c r="S481">
        <f t="shared" si="143"/>
        <v>0</v>
      </c>
      <c r="T481">
        <f t="shared" si="144"/>
        <v>0</v>
      </c>
      <c r="U481">
        <f t="shared" si="145"/>
        <v>0</v>
      </c>
      <c r="V481">
        <f t="shared" si="146"/>
        <v>0</v>
      </c>
      <c r="W481" t="s">
        <v>39</v>
      </c>
      <c r="X481">
        <f t="shared" si="147"/>
        <v>1</v>
      </c>
      <c r="Y481">
        <f t="shared" si="148"/>
        <v>0</v>
      </c>
      <c r="Z481">
        <v>4</v>
      </c>
      <c r="AA481">
        <f t="shared" si="149"/>
        <v>0.75</v>
      </c>
      <c r="AB481" t="s">
        <v>40</v>
      </c>
      <c r="AC481">
        <f t="shared" si="150"/>
        <v>0</v>
      </c>
      <c r="AD481">
        <f t="shared" si="151"/>
        <v>0</v>
      </c>
      <c r="AE481" t="s">
        <v>41</v>
      </c>
      <c r="AF481">
        <f>IF(AE481="website",1,0)</f>
        <v>1</v>
      </c>
    </row>
    <row r="482" spans="1:32">
      <c r="A482" t="s">
        <v>1083</v>
      </c>
      <c r="B482" t="s">
        <v>33</v>
      </c>
      <c r="C482" s="3">
        <f t="shared" si="133"/>
        <v>0</v>
      </c>
      <c r="D482">
        <f t="shared" si="134"/>
        <v>1</v>
      </c>
      <c r="E482" t="s">
        <v>629</v>
      </c>
      <c r="F482" t="s">
        <v>579</v>
      </c>
      <c r="G482" s="1">
        <v>28106</v>
      </c>
      <c r="H482" s="2">
        <f t="shared" ca="1" si="135"/>
        <v>49</v>
      </c>
      <c r="I482" s="2">
        <f t="shared" ca="1" si="136"/>
        <v>0.34285714285714286</v>
      </c>
      <c r="J482" t="s">
        <v>45</v>
      </c>
      <c r="K482" t="s">
        <v>37</v>
      </c>
      <c r="L482">
        <f t="shared" si="137"/>
        <v>1</v>
      </c>
      <c r="M482">
        <f t="shared" si="138"/>
        <v>0</v>
      </c>
      <c r="N482">
        <f t="shared" si="139"/>
        <v>0</v>
      </c>
      <c r="O482" t="s">
        <v>97</v>
      </c>
      <c r="P482">
        <f t="shared" si="140"/>
        <v>0</v>
      </c>
      <c r="Q482">
        <f t="shared" si="141"/>
        <v>0</v>
      </c>
      <c r="R482">
        <f t="shared" si="142"/>
        <v>0</v>
      </c>
      <c r="S482">
        <f t="shared" si="143"/>
        <v>0</v>
      </c>
      <c r="T482">
        <f t="shared" si="144"/>
        <v>1</v>
      </c>
      <c r="U482">
        <f t="shared" si="145"/>
        <v>0</v>
      </c>
      <c r="V482">
        <f t="shared" si="146"/>
        <v>0</v>
      </c>
      <c r="W482" t="s">
        <v>39</v>
      </c>
      <c r="X482">
        <f t="shared" si="147"/>
        <v>1</v>
      </c>
      <c r="Y482">
        <f t="shared" si="148"/>
        <v>0</v>
      </c>
      <c r="Z482">
        <v>3</v>
      </c>
      <c r="AA482">
        <f t="shared" si="149"/>
        <v>0.5</v>
      </c>
      <c r="AB482" t="s">
        <v>46</v>
      </c>
      <c r="AC482">
        <f t="shared" si="150"/>
        <v>1</v>
      </c>
      <c r="AD482">
        <f t="shared" si="151"/>
        <v>0</v>
      </c>
      <c r="AE482" t="s">
        <v>50</v>
      </c>
      <c r="AF482">
        <f>IF(AE482="website",1,0)</f>
        <v>0</v>
      </c>
    </row>
    <row r="483" spans="1:32">
      <c r="A483" t="s">
        <v>1084</v>
      </c>
      <c r="B483" t="s">
        <v>33</v>
      </c>
      <c r="C483" s="3">
        <f t="shared" si="133"/>
        <v>0</v>
      </c>
      <c r="D483">
        <f t="shared" si="134"/>
        <v>1</v>
      </c>
      <c r="E483" t="s">
        <v>679</v>
      </c>
      <c r="F483" t="s">
        <v>247</v>
      </c>
      <c r="G483" s="1">
        <v>29502</v>
      </c>
      <c r="H483" s="2">
        <f t="shared" ca="1" si="135"/>
        <v>45</v>
      </c>
      <c r="I483" s="2">
        <f t="shared" ca="1" si="136"/>
        <v>0.2857142857142857</v>
      </c>
      <c r="J483" t="s">
        <v>36</v>
      </c>
      <c r="K483" t="s">
        <v>37</v>
      </c>
      <c r="L483">
        <f t="shared" si="137"/>
        <v>1</v>
      </c>
      <c r="M483">
        <f t="shared" si="138"/>
        <v>0</v>
      </c>
      <c r="N483">
        <f t="shared" si="139"/>
        <v>0</v>
      </c>
      <c r="O483" t="s">
        <v>717</v>
      </c>
      <c r="P483">
        <f t="shared" si="140"/>
        <v>0</v>
      </c>
      <c r="Q483">
        <f t="shared" si="141"/>
        <v>0</v>
      </c>
      <c r="R483">
        <f t="shared" si="142"/>
        <v>0</v>
      </c>
      <c r="S483">
        <f t="shared" si="143"/>
        <v>0</v>
      </c>
      <c r="T483">
        <f t="shared" si="144"/>
        <v>0</v>
      </c>
      <c r="U483">
        <f t="shared" si="145"/>
        <v>0</v>
      </c>
      <c r="V483">
        <f t="shared" si="146"/>
        <v>0</v>
      </c>
      <c r="W483" t="s">
        <v>58</v>
      </c>
      <c r="X483">
        <f t="shared" si="147"/>
        <v>0</v>
      </c>
      <c r="Y483">
        <f t="shared" si="148"/>
        <v>1</v>
      </c>
      <c r="Z483">
        <v>3</v>
      </c>
      <c r="AA483">
        <f t="shared" si="149"/>
        <v>0.5</v>
      </c>
      <c r="AB483" t="s">
        <v>40</v>
      </c>
      <c r="AC483">
        <f t="shared" si="150"/>
        <v>1</v>
      </c>
      <c r="AD483">
        <f t="shared" si="151"/>
        <v>0</v>
      </c>
      <c r="AE483" t="s">
        <v>50</v>
      </c>
      <c r="AF483">
        <f>IF(AE483="website",1,0)</f>
        <v>0</v>
      </c>
    </row>
    <row r="484" spans="1:32">
      <c r="A484" t="s">
        <v>1085</v>
      </c>
      <c r="B484" t="s">
        <v>33</v>
      </c>
      <c r="C484" s="3">
        <f t="shared" si="133"/>
        <v>0</v>
      </c>
      <c r="D484">
        <f t="shared" si="134"/>
        <v>1</v>
      </c>
      <c r="E484" t="s">
        <v>191</v>
      </c>
      <c r="F484" t="s">
        <v>911</v>
      </c>
      <c r="G484" s="1">
        <v>31359</v>
      </c>
      <c r="H484" s="2">
        <f t="shared" ca="1" si="135"/>
        <v>40</v>
      </c>
      <c r="I484" s="2">
        <f t="shared" ca="1" si="136"/>
        <v>0.21428571428571427</v>
      </c>
      <c r="J484" t="s">
        <v>45</v>
      </c>
      <c r="K484" t="s">
        <v>37</v>
      </c>
      <c r="L484">
        <f t="shared" si="137"/>
        <v>1</v>
      </c>
      <c r="M484">
        <f t="shared" si="138"/>
        <v>0</v>
      </c>
      <c r="N484">
        <f t="shared" si="139"/>
        <v>0</v>
      </c>
      <c r="O484" t="s">
        <v>97</v>
      </c>
      <c r="P484">
        <f t="shared" si="140"/>
        <v>0</v>
      </c>
      <c r="Q484">
        <f t="shared" si="141"/>
        <v>0</v>
      </c>
      <c r="R484">
        <f t="shared" si="142"/>
        <v>0</v>
      </c>
      <c r="S484">
        <f t="shared" si="143"/>
        <v>0</v>
      </c>
      <c r="T484">
        <f t="shared" si="144"/>
        <v>1</v>
      </c>
      <c r="U484">
        <f t="shared" si="145"/>
        <v>0</v>
      </c>
      <c r="V484">
        <f t="shared" si="146"/>
        <v>0</v>
      </c>
      <c r="W484" t="s">
        <v>58</v>
      </c>
      <c r="X484">
        <f t="shared" si="147"/>
        <v>0</v>
      </c>
      <c r="Y484">
        <f t="shared" si="148"/>
        <v>1</v>
      </c>
      <c r="Z484">
        <v>1</v>
      </c>
      <c r="AA484">
        <f t="shared" si="149"/>
        <v>0</v>
      </c>
      <c r="AB484" t="s">
        <v>46</v>
      </c>
      <c r="AC484">
        <f t="shared" si="150"/>
        <v>0</v>
      </c>
      <c r="AD484">
        <f t="shared" si="151"/>
        <v>0</v>
      </c>
      <c r="AE484" t="s">
        <v>41</v>
      </c>
      <c r="AF484">
        <f>IF(AE484="website",1,0)</f>
        <v>1</v>
      </c>
    </row>
    <row r="485" spans="1:32">
      <c r="A485" t="s">
        <v>1086</v>
      </c>
      <c r="B485" t="s">
        <v>33</v>
      </c>
      <c r="C485" s="3">
        <f t="shared" si="133"/>
        <v>0</v>
      </c>
      <c r="D485">
        <f t="shared" si="134"/>
        <v>1</v>
      </c>
      <c r="E485" t="s">
        <v>1087</v>
      </c>
      <c r="F485" t="s">
        <v>61</v>
      </c>
      <c r="G485" s="1">
        <v>32617</v>
      </c>
      <c r="H485" s="2">
        <f t="shared" ca="1" si="135"/>
        <v>37</v>
      </c>
      <c r="I485" s="2">
        <f t="shared" ca="1" si="136"/>
        <v>0.17142857142857143</v>
      </c>
      <c r="J485" t="s">
        <v>36</v>
      </c>
      <c r="K485" t="s">
        <v>37</v>
      </c>
      <c r="L485">
        <f t="shared" si="137"/>
        <v>1</v>
      </c>
      <c r="M485">
        <f t="shared" si="138"/>
        <v>0</v>
      </c>
      <c r="N485">
        <f t="shared" si="139"/>
        <v>0</v>
      </c>
      <c r="O485" t="s">
        <v>592</v>
      </c>
      <c r="P485">
        <f t="shared" si="140"/>
        <v>0</v>
      </c>
      <c r="Q485">
        <f t="shared" si="141"/>
        <v>0</v>
      </c>
      <c r="R485">
        <f t="shared" si="142"/>
        <v>0</v>
      </c>
      <c r="S485">
        <f t="shared" si="143"/>
        <v>0</v>
      </c>
      <c r="T485">
        <f t="shared" si="144"/>
        <v>0</v>
      </c>
      <c r="U485">
        <f t="shared" si="145"/>
        <v>0</v>
      </c>
      <c r="V485">
        <f t="shared" si="146"/>
        <v>0</v>
      </c>
      <c r="W485" t="s">
        <v>58</v>
      </c>
      <c r="X485">
        <f t="shared" si="147"/>
        <v>0</v>
      </c>
      <c r="Y485">
        <f t="shared" si="148"/>
        <v>1</v>
      </c>
      <c r="Z485">
        <v>3</v>
      </c>
      <c r="AA485">
        <f t="shared" si="149"/>
        <v>0.5</v>
      </c>
      <c r="AB485" t="s">
        <v>46</v>
      </c>
      <c r="AC485">
        <f t="shared" si="150"/>
        <v>0</v>
      </c>
      <c r="AD485">
        <f t="shared" si="151"/>
        <v>0</v>
      </c>
      <c r="AE485" t="s">
        <v>41</v>
      </c>
      <c r="AF485">
        <f>IF(AE485="website",1,0)</f>
        <v>1</v>
      </c>
    </row>
    <row r="486" spans="1:32">
      <c r="A486" t="s">
        <v>1088</v>
      </c>
      <c r="B486" t="s">
        <v>33</v>
      </c>
      <c r="C486" s="3">
        <f t="shared" si="133"/>
        <v>0</v>
      </c>
      <c r="D486">
        <f t="shared" si="134"/>
        <v>1</v>
      </c>
      <c r="E486" t="s">
        <v>699</v>
      </c>
      <c r="F486" t="s">
        <v>730</v>
      </c>
      <c r="G486" s="1">
        <v>33518</v>
      </c>
      <c r="H486" s="2">
        <f t="shared" ca="1" si="135"/>
        <v>34</v>
      </c>
      <c r="I486" s="2">
        <f t="shared" ca="1" si="136"/>
        <v>0.12857142857142856</v>
      </c>
      <c r="J486" t="s">
        <v>36</v>
      </c>
      <c r="K486" t="s">
        <v>37</v>
      </c>
      <c r="L486">
        <f t="shared" si="137"/>
        <v>1</v>
      </c>
      <c r="M486">
        <f t="shared" si="138"/>
        <v>0</v>
      </c>
      <c r="N486">
        <f t="shared" si="139"/>
        <v>0</v>
      </c>
      <c r="O486" t="s">
        <v>97</v>
      </c>
      <c r="P486">
        <f t="shared" si="140"/>
        <v>0</v>
      </c>
      <c r="Q486">
        <f t="shared" si="141"/>
        <v>0</v>
      </c>
      <c r="R486">
        <f t="shared" si="142"/>
        <v>0</v>
      </c>
      <c r="S486">
        <f t="shared" si="143"/>
        <v>0</v>
      </c>
      <c r="T486">
        <f t="shared" si="144"/>
        <v>1</v>
      </c>
      <c r="U486">
        <f t="shared" si="145"/>
        <v>0</v>
      </c>
      <c r="V486">
        <f t="shared" si="146"/>
        <v>0</v>
      </c>
      <c r="W486" t="s">
        <v>39</v>
      </c>
      <c r="X486">
        <f t="shared" si="147"/>
        <v>1</v>
      </c>
      <c r="Y486">
        <f t="shared" si="148"/>
        <v>0</v>
      </c>
      <c r="Z486">
        <v>2</v>
      </c>
      <c r="AA486">
        <f t="shared" si="149"/>
        <v>0.25</v>
      </c>
      <c r="AB486" t="s">
        <v>46</v>
      </c>
      <c r="AC486">
        <f t="shared" si="150"/>
        <v>0</v>
      </c>
      <c r="AD486">
        <f t="shared" si="151"/>
        <v>0</v>
      </c>
      <c r="AE486" t="s">
        <v>41</v>
      </c>
      <c r="AF486">
        <f>IF(AE486="website",1,0)</f>
        <v>1</v>
      </c>
    </row>
    <row r="487" spans="1:32">
      <c r="A487" t="s">
        <v>1089</v>
      </c>
      <c r="B487" t="s">
        <v>33</v>
      </c>
      <c r="C487" s="3">
        <f t="shared" si="133"/>
        <v>0</v>
      </c>
      <c r="D487">
        <f t="shared" si="134"/>
        <v>1</v>
      </c>
      <c r="E487" t="s">
        <v>772</v>
      </c>
      <c r="F487" t="s">
        <v>568</v>
      </c>
      <c r="G487" s="1">
        <v>36419</v>
      </c>
      <c r="H487" s="2">
        <f t="shared" ca="1" si="135"/>
        <v>27</v>
      </c>
      <c r="I487" s="2">
        <f t="shared" ca="1" si="136"/>
        <v>2.8571428571428571E-2</v>
      </c>
      <c r="J487" t="s">
        <v>45</v>
      </c>
      <c r="K487" t="s">
        <v>37</v>
      </c>
      <c r="L487">
        <f t="shared" si="137"/>
        <v>1</v>
      </c>
      <c r="M487">
        <f t="shared" si="138"/>
        <v>0</v>
      </c>
      <c r="N487">
        <f t="shared" si="139"/>
        <v>0</v>
      </c>
      <c r="O487" t="s">
        <v>38</v>
      </c>
      <c r="P487">
        <f t="shared" si="140"/>
        <v>1</v>
      </c>
      <c r="Q487">
        <f t="shared" si="141"/>
        <v>0</v>
      </c>
      <c r="R487">
        <f t="shared" si="142"/>
        <v>0</v>
      </c>
      <c r="S487">
        <f t="shared" si="143"/>
        <v>0</v>
      </c>
      <c r="T487">
        <f t="shared" si="144"/>
        <v>0</v>
      </c>
      <c r="U487">
        <f t="shared" si="145"/>
        <v>0</v>
      </c>
      <c r="V487">
        <f t="shared" si="146"/>
        <v>0</v>
      </c>
      <c r="W487" t="s">
        <v>58</v>
      </c>
      <c r="X487">
        <f t="shared" si="147"/>
        <v>0</v>
      </c>
      <c r="Y487">
        <f t="shared" si="148"/>
        <v>1</v>
      </c>
      <c r="Z487">
        <v>2</v>
      </c>
      <c r="AA487">
        <f t="shared" si="149"/>
        <v>0.25</v>
      </c>
      <c r="AB487" t="s">
        <v>40</v>
      </c>
      <c r="AC487">
        <f t="shared" si="150"/>
        <v>0</v>
      </c>
      <c r="AD487">
        <f t="shared" si="151"/>
        <v>0</v>
      </c>
      <c r="AE487" t="s">
        <v>41</v>
      </c>
      <c r="AF487">
        <f>IF(AE487="website",1,0)</f>
        <v>1</v>
      </c>
    </row>
    <row r="488" spans="1:32">
      <c r="A488" t="s">
        <v>1090</v>
      </c>
      <c r="B488" t="s">
        <v>33</v>
      </c>
      <c r="C488" s="3">
        <f t="shared" si="133"/>
        <v>0</v>
      </c>
      <c r="D488">
        <f t="shared" si="134"/>
        <v>1</v>
      </c>
      <c r="E488" t="s">
        <v>968</v>
      </c>
      <c r="F488" t="s">
        <v>579</v>
      </c>
      <c r="G488" s="1">
        <v>33534</v>
      </c>
      <c r="H488" s="2">
        <f t="shared" ca="1" si="135"/>
        <v>34</v>
      </c>
      <c r="I488" s="2">
        <f t="shared" ca="1" si="136"/>
        <v>0.12857142857142856</v>
      </c>
      <c r="J488" t="s">
        <v>36</v>
      </c>
      <c r="K488" t="s">
        <v>37</v>
      </c>
      <c r="L488">
        <f t="shared" si="137"/>
        <v>1</v>
      </c>
      <c r="M488">
        <f t="shared" si="138"/>
        <v>0</v>
      </c>
      <c r="N488">
        <f t="shared" si="139"/>
        <v>0</v>
      </c>
      <c r="O488" t="s">
        <v>565</v>
      </c>
      <c r="P488">
        <f t="shared" si="140"/>
        <v>0</v>
      </c>
      <c r="Q488">
        <f t="shared" si="141"/>
        <v>0</v>
      </c>
      <c r="R488">
        <f t="shared" si="142"/>
        <v>0</v>
      </c>
      <c r="S488">
        <f t="shared" si="143"/>
        <v>0</v>
      </c>
      <c r="T488">
        <f t="shared" si="144"/>
        <v>0</v>
      </c>
      <c r="U488">
        <f t="shared" si="145"/>
        <v>0</v>
      </c>
      <c r="V488">
        <f t="shared" si="146"/>
        <v>0</v>
      </c>
      <c r="W488" t="s">
        <v>39</v>
      </c>
      <c r="X488">
        <f t="shared" si="147"/>
        <v>1</v>
      </c>
      <c r="Y488">
        <f t="shared" si="148"/>
        <v>0</v>
      </c>
      <c r="Z488">
        <v>5</v>
      </c>
      <c r="AA488">
        <f t="shared" si="149"/>
        <v>1</v>
      </c>
      <c r="AB488" t="s">
        <v>46</v>
      </c>
      <c r="AC488">
        <f t="shared" si="150"/>
        <v>0</v>
      </c>
      <c r="AD488">
        <f t="shared" si="151"/>
        <v>0</v>
      </c>
      <c r="AE488" t="s">
        <v>41</v>
      </c>
      <c r="AF488">
        <f>IF(AE488="website",1,0)</f>
        <v>1</v>
      </c>
    </row>
    <row r="489" spans="1:32">
      <c r="A489" t="s">
        <v>1091</v>
      </c>
      <c r="B489" t="s">
        <v>33</v>
      </c>
      <c r="C489" s="3">
        <f t="shared" si="133"/>
        <v>0</v>
      </c>
      <c r="D489">
        <f t="shared" si="134"/>
        <v>1</v>
      </c>
      <c r="E489" t="s">
        <v>712</v>
      </c>
      <c r="F489" t="s">
        <v>911</v>
      </c>
      <c r="G489" s="1">
        <v>28986</v>
      </c>
      <c r="H489" s="2">
        <f t="shared" ca="1" si="135"/>
        <v>47</v>
      </c>
      <c r="I489" s="2">
        <f t="shared" ca="1" si="136"/>
        <v>0.31428571428571428</v>
      </c>
      <c r="J489" t="s">
        <v>36</v>
      </c>
      <c r="K489" t="s">
        <v>37</v>
      </c>
      <c r="L489">
        <f t="shared" si="137"/>
        <v>1</v>
      </c>
      <c r="M489">
        <f t="shared" si="138"/>
        <v>0</v>
      </c>
      <c r="N489">
        <f t="shared" si="139"/>
        <v>0</v>
      </c>
      <c r="O489" t="s">
        <v>38</v>
      </c>
      <c r="P489">
        <f t="shared" si="140"/>
        <v>1</v>
      </c>
      <c r="Q489">
        <f t="shared" si="141"/>
        <v>0</v>
      </c>
      <c r="R489">
        <f t="shared" si="142"/>
        <v>0</v>
      </c>
      <c r="S489">
        <f t="shared" si="143"/>
        <v>0</v>
      </c>
      <c r="T489">
        <f t="shared" si="144"/>
        <v>0</v>
      </c>
      <c r="U489">
        <f t="shared" si="145"/>
        <v>0</v>
      </c>
      <c r="V489">
        <f t="shared" si="146"/>
        <v>0</v>
      </c>
      <c r="W489" t="s">
        <v>58</v>
      </c>
      <c r="X489">
        <f t="shared" si="147"/>
        <v>0</v>
      </c>
      <c r="Y489">
        <f t="shared" si="148"/>
        <v>1</v>
      </c>
      <c r="Z489">
        <v>4</v>
      </c>
      <c r="AA489">
        <f t="shared" si="149"/>
        <v>0.75</v>
      </c>
      <c r="AB489" t="s">
        <v>46</v>
      </c>
      <c r="AC489">
        <f t="shared" si="150"/>
        <v>1</v>
      </c>
      <c r="AD489">
        <f t="shared" si="151"/>
        <v>0</v>
      </c>
      <c r="AE489" t="s">
        <v>50</v>
      </c>
      <c r="AF489">
        <f>IF(AE489="website",1,0)</f>
        <v>0</v>
      </c>
    </row>
    <row r="490" spans="1:32">
      <c r="A490" t="s">
        <v>1092</v>
      </c>
      <c r="B490" t="s">
        <v>33</v>
      </c>
      <c r="C490" s="3">
        <f t="shared" si="133"/>
        <v>0</v>
      </c>
      <c r="D490">
        <f t="shared" si="134"/>
        <v>1</v>
      </c>
      <c r="E490" t="s">
        <v>1023</v>
      </c>
      <c r="F490" t="s">
        <v>700</v>
      </c>
      <c r="G490" s="1">
        <v>18422</v>
      </c>
      <c r="H490" s="2">
        <f t="shared" ca="1" si="135"/>
        <v>76</v>
      </c>
      <c r="I490" s="2">
        <f t="shared" ca="1" si="136"/>
        <v>0.72857142857142854</v>
      </c>
      <c r="J490" t="s">
        <v>45</v>
      </c>
      <c r="K490" t="s">
        <v>113</v>
      </c>
      <c r="L490">
        <f t="shared" si="137"/>
        <v>0</v>
      </c>
      <c r="M490">
        <f t="shared" si="138"/>
        <v>0</v>
      </c>
      <c r="N490">
        <f t="shared" si="139"/>
        <v>1</v>
      </c>
      <c r="O490" t="s">
        <v>114</v>
      </c>
      <c r="P490">
        <f t="shared" si="140"/>
        <v>0</v>
      </c>
      <c r="Q490">
        <f t="shared" si="141"/>
        <v>0</v>
      </c>
      <c r="R490">
        <f t="shared" si="142"/>
        <v>0</v>
      </c>
      <c r="S490">
        <f t="shared" si="143"/>
        <v>1</v>
      </c>
      <c r="T490">
        <f t="shared" si="144"/>
        <v>0</v>
      </c>
      <c r="U490">
        <f t="shared" si="145"/>
        <v>0</v>
      </c>
      <c r="V490">
        <f t="shared" si="146"/>
        <v>0</v>
      </c>
      <c r="W490" t="s">
        <v>58</v>
      </c>
      <c r="X490">
        <f t="shared" si="147"/>
        <v>0</v>
      </c>
      <c r="Y490">
        <f t="shared" si="148"/>
        <v>1</v>
      </c>
      <c r="Z490">
        <v>2</v>
      </c>
      <c r="AA490">
        <f t="shared" si="149"/>
        <v>0.25</v>
      </c>
      <c r="AB490" t="s">
        <v>46</v>
      </c>
      <c r="AC490">
        <f t="shared" si="150"/>
        <v>0</v>
      </c>
      <c r="AD490">
        <f t="shared" si="151"/>
        <v>0</v>
      </c>
      <c r="AE490" t="s">
        <v>41</v>
      </c>
      <c r="AF490">
        <f>IF(AE490="website",1,0)</f>
        <v>1</v>
      </c>
    </row>
    <row r="491" spans="1:32">
      <c r="A491" t="s">
        <v>1093</v>
      </c>
      <c r="B491" t="s">
        <v>33</v>
      </c>
      <c r="C491" s="3">
        <f t="shared" si="133"/>
        <v>0</v>
      </c>
      <c r="D491">
        <f t="shared" si="134"/>
        <v>1</v>
      </c>
      <c r="E491" t="s">
        <v>809</v>
      </c>
      <c r="F491" t="s">
        <v>61</v>
      </c>
      <c r="G491" s="1">
        <v>19747</v>
      </c>
      <c r="H491" s="2">
        <f t="shared" ca="1" si="135"/>
        <v>72</v>
      </c>
      <c r="I491" s="2">
        <f t="shared" ca="1" si="136"/>
        <v>0.67142857142857137</v>
      </c>
      <c r="J491" t="s">
        <v>36</v>
      </c>
      <c r="K491" t="s">
        <v>37</v>
      </c>
      <c r="L491">
        <f t="shared" si="137"/>
        <v>1</v>
      </c>
      <c r="M491">
        <f t="shared" si="138"/>
        <v>0</v>
      </c>
      <c r="N491">
        <f t="shared" si="139"/>
        <v>0</v>
      </c>
      <c r="O491" t="s">
        <v>124</v>
      </c>
      <c r="P491">
        <f t="shared" si="140"/>
        <v>0</v>
      </c>
      <c r="Q491">
        <f t="shared" si="141"/>
        <v>0</v>
      </c>
      <c r="R491">
        <f t="shared" si="142"/>
        <v>0</v>
      </c>
      <c r="S491">
        <f t="shared" si="143"/>
        <v>0</v>
      </c>
      <c r="T491">
        <f t="shared" si="144"/>
        <v>0</v>
      </c>
      <c r="U491">
        <f t="shared" si="145"/>
        <v>1</v>
      </c>
      <c r="V491">
        <f t="shared" si="146"/>
        <v>0</v>
      </c>
      <c r="W491" t="s">
        <v>58</v>
      </c>
      <c r="X491">
        <f t="shared" si="147"/>
        <v>0</v>
      </c>
      <c r="Y491">
        <f t="shared" si="148"/>
        <v>1</v>
      </c>
      <c r="Z491">
        <v>5</v>
      </c>
      <c r="AA491">
        <f t="shared" si="149"/>
        <v>1</v>
      </c>
      <c r="AB491" t="s">
        <v>40</v>
      </c>
      <c r="AC491">
        <f t="shared" si="150"/>
        <v>0</v>
      </c>
      <c r="AD491">
        <f t="shared" si="151"/>
        <v>0</v>
      </c>
      <c r="AE491" t="s">
        <v>41</v>
      </c>
      <c r="AF491">
        <f>IF(AE491="website",1,0)</f>
        <v>1</v>
      </c>
    </row>
    <row r="492" spans="1:32">
      <c r="A492" t="s">
        <v>1094</v>
      </c>
      <c r="B492" t="s">
        <v>33</v>
      </c>
      <c r="C492" s="3">
        <f t="shared" si="133"/>
        <v>0</v>
      </c>
      <c r="D492">
        <f t="shared" si="134"/>
        <v>1</v>
      </c>
      <c r="E492" t="s">
        <v>815</v>
      </c>
      <c r="F492" t="s">
        <v>633</v>
      </c>
      <c r="G492" s="1">
        <v>15193</v>
      </c>
      <c r="H492" s="2">
        <f t="shared" ca="1" si="135"/>
        <v>85</v>
      </c>
      <c r="I492" s="2">
        <f t="shared" ca="1" si="136"/>
        <v>0.8571428571428571</v>
      </c>
      <c r="J492" t="s">
        <v>45</v>
      </c>
      <c r="K492" t="s">
        <v>37</v>
      </c>
      <c r="L492">
        <f t="shared" si="137"/>
        <v>1</v>
      </c>
      <c r="M492">
        <f t="shared" si="138"/>
        <v>0</v>
      </c>
      <c r="N492">
        <f t="shared" si="139"/>
        <v>0</v>
      </c>
      <c r="O492" t="s">
        <v>565</v>
      </c>
      <c r="P492">
        <f t="shared" si="140"/>
        <v>0</v>
      </c>
      <c r="Q492">
        <f t="shared" si="141"/>
        <v>0</v>
      </c>
      <c r="R492">
        <f t="shared" si="142"/>
        <v>0</v>
      </c>
      <c r="S492">
        <f t="shared" si="143"/>
        <v>0</v>
      </c>
      <c r="T492">
        <f t="shared" si="144"/>
        <v>0</v>
      </c>
      <c r="U492">
        <f t="shared" si="145"/>
        <v>0</v>
      </c>
      <c r="V492">
        <f t="shared" si="146"/>
        <v>0</v>
      </c>
      <c r="W492" t="s">
        <v>39</v>
      </c>
      <c r="X492">
        <f t="shared" si="147"/>
        <v>1</v>
      </c>
      <c r="Y492">
        <f t="shared" si="148"/>
        <v>0</v>
      </c>
      <c r="Z492">
        <v>2</v>
      </c>
      <c r="AA492">
        <f t="shared" si="149"/>
        <v>0.25</v>
      </c>
      <c r="AB492" t="s">
        <v>46</v>
      </c>
      <c r="AC492">
        <f t="shared" si="150"/>
        <v>0</v>
      </c>
      <c r="AD492">
        <f t="shared" si="151"/>
        <v>0</v>
      </c>
      <c r="AE492" t="s">
        <v>41</v>
      </c>
      <c r="AF492">
        <f>IF(AE492="website",1,0)</f>
        <v>1</v>
      </c>
    </row>
    <row r="493" spans="1:32">
      <c r="A493" t="s">
        <v>1095</v>
      </c>
      <c r="B493" t="s">
        <v>33</v>
      </c>
      <c r="C493" s="3">
        <f t="shared" si="133"/>
        <v>0</v>
      </c>
      <c r="D493">
        <f t="shared" si="134"/>
        <v>1</v>
      </c>
      <c r="E493" t="s">
        <v>795</v>
      </c>
      <c r="F493" t="s">
        <v>664</v>
      </c>
      <c r="G493" s="1">
        <v>36653</v>
      </c>
      <c r="H493" s="2">
        <f t="shared" ca="1" si="135"/>
        <v>26</v>
      </c>
      <c r="I493" s="2">
        <f t="shared" ca="1" si="136"/>
        <v>1.4285714285714285E-2</v>
      </c>
      <c r="J493" t="s">
        <v>45</v>
      </c>
      <c r="K493" t="s">
        <v>37</v>
      </c>
      <c r="L493">
        <f t="shared" si="137"/>
        <v>1</v>
      </c>
      <c r="M493">
        <f t="shared" si="138"/>
        <v>0</v>
      </c>
      <c r="N493">
        <f t="shared" si="139"/>
        <v>0</v>
      </c>
      <c r="O493" t="s">
        <v>183</v>
      </c>
      <c r="P493">
        <f t="shared" si="140"/>
        <v>0</v>
      </c>
      <c r="Q493">
        <f t="shared" si="141"/>
        <v>0</v>
      </c>
      <c r="R493">
        <f t="shared" si="142"/>
        <v>0</v>
      </c>
      <c r="S493">
        <f t="shared" si="143"/>
        <v>0</v>
      </c>
      <c r="T493">
        <f t="shared" si="144"/>
        <v>0</v>
      </c>
      <c r="U493">
        <f t="shared" si="145"/>
        <v>0</v>
      </c>
      <c r="V493">
        <f t="shared" si="146"/>
        <v>0</v>
      </c>
      <c r="W493" t="s">
        <v>39</v>
      </c>
      <c r="X493">
        <f t="shared" si="147"/>
        <v>1</v>
      </c>
      <c r="Y493">
        <f t="shared" si="148"/>
        <v>0</v>
      </c>
      <c r="Z493">
        <v>3</v>
      </c>
      <c r="AA493">
        <f t="shared" si="149"/>
        <v>0.5</v>
      </c>
      <c r="AB493" t="s">
        <v>40</v>
      </c>
      <c r="AC493">
        <f t="shared" si="150"/>
        <v>0</v>
      </c>
      <c r="AD493">
        <f t="shared" si="151"/>
        <v>0</v>
      </c>
      <c r="AE493" t="s">
        <v>41</v>
      </c>
      <c r="AF493">
        <f>IF(AE493="website",1,0)</f>
        <v>1</v>
      </c>
    </row>
    <row r="494" spans="1:32">
      <c r="A494" t="s">
        <v>1096</v>
      </c>
      <c r="B494" t="s">
        <v>33</v>
      </c>
      <c r="C494" s="3">
        <f t="shared" si="133"/>
        <v>0</v>
      </c>
      <c r="D494">
        <f t="shared" si="134"/>
        <v>1</v>
      </c>
      <c r="E494" t="s">
        <v>240</v>
      </c>
      <c r="F494" t="s">
        <v>716</v>
      </c>
      <c r="G494" s="1">
        <v>19911</v>
      </c>
      <c r="H494" s="2">
        <f t="shared" ca="1" si="135"/>
        <v>72</v>
      </c>
      <c r="I494" s="2">
        <f t="shared" ca="1" si="136"/>
        <v>0.67142857142857137</v>
      </c>
      <c r="J494" t="s">
        <v>45</v>
      </c>
      <c r="K494" t="s">
        <v>37</v>
      </c>
      <c r="L494">
        <f t="shared" si="137"/>
        <v>1</v>
      </c>
      <c r="M494">
        <f t="shared" si="138"/>
        <v>0</v>
      </c>
      <c r="N494">
        <f t="shared" si="139"/>
        <v>0</v>
      </c>
      <c r="O494" t="s">
        <v>137</v>
      </c>
      <c r="P494">
        <f t="shared" si="140"/>
        <v>0</v>
      </c>
      <c r="Q494">
        <f t="shared" si="141"/>
        <v>0</v>
      </c>
      <c r="R494">
        <f t="shared" si="142"/>
        <v>0</v>
      </c>
      <c r="S494">
        <f t="shared" si="143"/>
        <v>0</v>
      </c>
      <c r="T494">
        <f t="shared" si="144"/>
        <v>0</v>
      </c>
      <c r="U494">
        <f t="shared" si="145"/>
        <v>0</v>
      </c>
      <c r="V494">
        <f t="shared" si="146"/>
        <v>0</v>
      </c>
      <c r="W494" t="s">
        <v>39</v>
      </c>
      <c r="X494">
        <f t="shared" si="147"/>
        <v>1</v>
      </c>
      <c r="Y494">
        <f t="shared" si="148"/>
        <v>0</v>
      </c>
      <c r="Z494">
        <v>3</v>
      </c>
      <c r="AA494">
        <f t="shared" si="149"/>
        <v>0.5</v>
      </c>
      <c r="AB494" t="s">
        <v>46</v>
      </c>
      <c r="AC494">
        <f t="shared" si="150"/>
        <v>0</v>
      </c>
      <c r="AD494">
        <f t="shared" si="151"/>
        <v>0</v>
      </c>
      <c r="AE494" t="s">
        <v>41</v>
      </c>
      <c r="AF494">
        <f>IF(AE494="website",1,0)</f>
        <v>1</v>
      </c>
    </row>
    <row r="495" spans="1:32">
      <c r="A495" t="s">
        <v>1097</v>
      </c>
      <c r="B495" t="s">
        <v>33</v>
      </c>
      <c r="C495" s="3">
        <f t="shared" si="133"/>
        <v>0</v>
      </c>
      <c r="D495">
        <f t="shared" si="134"/>
        <v>1</v>
      </c>
      <c r="E495" t="s">
        <v>317</v>
      </c>
      <c r="F495" t="s">
        <v>568</v>
      </c>
      <c r="G495" s="1">
        <v>33088</v>
      </c>
      <c r="H495" s="2">
        <f t="shared" ca="1" si="135"/>
        <v>36</v>
      </c>
      <c r="I495" s="2">
        <f t="shared" ca="1" si="136"/>
        <v>0.15714285714285714</v>
      </c>
      <c r="J495" t="s">
        <v>36</v>
      </c>
      <c r="K495" t="s">
        <v>37</v>
      </c>
      <c r="L495">
        <f t="shared" si="137"/>
        <v>1</v>
      </c>
      <c r="M495">
        <f t="shared" si="138"/>
        <v>0</v>
      </c>
      <c r="N495">
        <f t="shared" si="139"/>
        <v>0</v>
      </c>
      <c r="O495" t="s">
        <v>38</v>
      </c>
      <c r="P495">
        <f t="shared" si="140"/>
        <v>1</v>
      </c>
      <c r="Q495">
        <f t="shared" si="141"/>
        <v>0</v>
      </c>
      <c r="R495">
        <f t="shared" si="142"/>
        <v>0</v>
      </c>
      <c r="S495">
        <f t="shared" si="143"/>
        <v>0</v>
      </c>
      <c r="T495">
        <f t="shared" si="144"/>
        <v>0</v>
      </c>
      <c r="U495">
        <f t="shared" si="145"/>
        <v>0</v>
      </c>
      <c r="V495">
        <f t="shared" si="146"/>
        <v>0</v>
      </c>
      <c r="W495" t="s">
        <v>39</v>
      </c>
      <c r="X495">
        <f t="shared" si="147"/>
        <v>1</v>
      </c>
      <c r="Y495">
        <f t="shared" si="148"/>
        <v>0</v>
      </c>
      <c r="Z495">
        <v>3</v>
      </c>
      <c r="AA495">
        <f t="shared" si="149"/>
        <v>0.5</v>
      </c>
      <c r="AB495" t="s">
        <v>40</v>
      </c>
      <c r="AC495">
        <f t="shared" si="150"/>
        <v>0</v>
      </c>
      <c r="AD495">
        <f t="shared" si="151"/>
        <v>0</v>
      </c>
      <c r="AE495" t="s">
        <v>41</v>
      </c>
      <c r="AF495">
        <f>IF(AE495="website",1,0)</f>
        <v>1</v>
      </c>
    </row>
    <row r="496" spans="1:32">
      <c r="A496" t="s">
        <v>1098</v>
      </c>
      <c r="B496" t="s">
        <v>33</v>
      </c>
      <c r="C496" s="3">
        <f t="shared" si="133"/>
        <v>0</v>
      </c>
      <c r="D496">
        <f t="shared" si="134"/>
        <v>1</v>
      </c>
      <c r="E496" t="s">
        <v>1099</v>
      </c>
      <c r="F496" t="s">
        <v>549</v>
      </c>
      <c r="G496" s="1">
        <v>19773</v>
      </c>
      <c r="H496" s="2">
        <f t="shared" ca="1" si="135"/>
        <v>72</v>
      </c>
      <c r="I496" s="2">
        <f t="shared" ca="1" si="136"/>
        <v>0.67142857142857137</v>
      </c>
      <c r="J496" t="s">
        <v>45</v>
      </c>
      <c r="K496" t="s">
        <v>37</v>
      </c>
      <c r="L496">
        <f t="shared" si="137"/>
        <v>1</v>
      </c>
      <c r="M496">
        <f t="shared" si="138"/>
        <v>0</v>
      </c>
      <c r="N496">
        <f t="shared" si="139"/>
        <v>0</v>
      </c>
      <c r="O496" t="s">
        <v>38</v>
      </c>
      <c r="P496">
        <f t="shared" si="140"/>
        <v>1</v>
      </c>
      <c r="Q496">
        <f t="shared" si="141"/>
        <v>0</v>
      </c>
      <c r="R496">
        <f t="shared" si="142"/>
        <v>0</v>
      </c>
      <c r="S496">
        <f t="shared" si="143"/>
        <v>0</v>
      </c>
      <c r="T496">
        <f t="shared" si="144"/>
        <v>0</v>
      </c>
      <c r="U496">
        <f t="shared" si="145"/>
        <v>0</v>
      </c>
      <c r="V496">
        <f t="shared" si="146"/>
        <v>0</v>
      </c>
      <c r="W496" t="s">
        <v>58</v>
      </c>
      <c r="X496">
        <f t="shared" si="147"/>
        <v>0</v>
      </c>
      <c r="Y496">
        <f t="shared" si="148"/>
        <v>1</v>
      </c>
      <c r="Z496">
        <v>5</v>
      </c>
      <c r="AA496">
        <f t="shared" si="149"/>
        <v>1</v>
      </c>
      <c r="AB496" t="s">
        <v>46</v>
      </c>
      <c r="AC496">
        <f t="shared" si="150"/>
        <v>0</v>
      </c>
      <c r="AD496">
        <f t="shared" si="151"/>
        <v>1</v>
      </c>
      <c r="AE496" t="s">
        <v>90</v>
      </c>
      <c r="AF496">
        <f>IF(AE496="website",1,0)</f>
        <v>0</v>
      </c>
    </row>
    <row r="497" spans="1:32">
      <c r="A497" t="s">
        <v>1100</v>
      </c>
      <c r="B497" t="s">
        <v>33</v>
      </c>
      <c r="C497" s="3">
        <f t="shared" si="133"/>
        <v>0</v>
      </c>
      <c r="D497">
        <f t="shared" si="134"/>
        <v>1</v>
      </c>
      <c r="E497" t="s">
        <v>772</v>
      </c>
      <c r="F497" t="s">
        <v>641</v>
      </c>
      <c r="G497" s="1">
        <v>32877</v>
      </c>
      <c r="H497" s="2">
        <f t="shared" ca="1" si="135"/>
        <v>36</v>
      </c>
      <c r="I497" s="2">
        <f t="shared" ca="1" si="136"/>
        <v>0.15714285714285714</v>
      </c>
      <c r="J497" t="s">
        <v>45</v>
      </c>
      <c r="K497" t="s">
        <v>37</v>
      </c>
      <c r="L497">
        <f t="shared" si="137"/>
        <v>1</v>
      </c>
      <c r="M497">
        <f t="shared" si="138"/>
        <v>0</v>
      </c>
      <c r="N497">
        <f t="shared" si="139"/>
        <v>0</v>
      </c>
      <c r="O497" t="s">
        <v>38</v>
      </c>
      <c r="P497">
        <f t="shared" si="140"/>
        <v>1</v>
      </c>
      <c r="Q497">
        <f t="shared" si="141"/>
        <v>0</v>
      </c>
      <c r="R497">
        <f t="shared" si="142"/>
        <v>0</v>
      </c>
      <c r="S497">
        <f t="shared" si="143"/>
        <v>0</v>
      </c>
      <c r="T497">
        <f t="shared" si="144"/>
        <v>0</v>
      </c>
      <c r="U497">
        <f t="shared" si="145"/>
        <v>0</v>
      </c>
      <c r="V497">
        <f t="shared" si="146"/>
        <v>0</v>
      </c>
      <c r="W497" t="s">
        <v>39</v>
      </c>
      <c r="X497">
        <f t="shared" si="147"/>
        <v>1</v>
      </c>
      <c r="Y497">
        <f t="shared" si="148"/>
        <v>0</v>
      </c>
      <c r="Z497">
        <v>4</v>
      </c>
      <c r="AA497">
        <f t="shared" si="149"/>
        <v>0.75</v>
      </c>
      <c r="AB497" t="s">
        <v>46</v>
      </c>
      <c r="AC497">
        <f t="shared" si="150"/>
        <v>1</v>
      </c>
      <c r="AD497">
        <f t="shared" si="151"/>
        <v>0</v>
      </c>
      <c r="AE497" t="s">
        <v>50</v>
      </c>
      <c r="AF497">
        <f>IF(AE497="website",1,0)</f>
        <v>0</v>
      </c>
    </row>
    <row r="498" spans="1:32">
      <c r="A498" t="s">
        <v>1101</v>
      </c>
      <c r="B498" t="s">
        <v>33</v>
      </c>
      <c r="C498" s="3">
        <f t="shared" si="133"/>
        <v>0</v>
      </c>
      <c r="D498">
        <f t="shared" si="134"/>
        <v>1</v>
      </c>
      <c r="E498" t="s">
        <v>766</v>
      </c>
      <c r="F498" t="s">
        <v>372</v>
      </c>
      <c r="G498" s="1">
        <v>31080</v>
      </c>
      <c r="H498" s="2">
        <f t="shared" ca="1" si="135"/>
        <v>41</v>
      </c>
      <c r="I498" s="2">
        <f t="shared" ca="1" si="136"/>
        <v>0.22857142857142856</v>
      </c>
      <c r="J498" t="s">
        <v>36</v>
      </c>
      <c r="K498" t="s">
        <v>37</v>
      </c>
      <c r="L498">
        <f t="shared" si="137"/>
        <v>1</v>
      </c>
      <c r="M498">
        <f t="shared" si="138"/>
        <v>0</v>
      </c>
      <c r="N498">
        <f t="shared" si="139"/>
        <v>0</v>
      </c>
      <c r="O498" t="s">
        <v>97</v>
      </c>
      <c r="P498">
        <f t="shared" si="140"/>
        <v>0</v>
      </c>
      <c r="Q498">
        <f t="shared" si="141"/>
        <v>0</v>
      </c>
      <c r="R498">
        <f t="shared" si="142"/>
        <v>0</v>
      </c>
      <c r="S498">
        <f t="shared" si="143"/>
        <v>0</v>
      </c>
      <c r="T498">
        <f t="shared" si="144"/>
        <v>1</v>
      </c>
      <c r="U498">
        <f t="shared" si="145"/>
        <v>0</v>
      </c>
      <c r="V498">
        <f t="shared" si="146"/>
        <v>0</v>
      </c>
      <c r="W498" t="s">
        <v>58</v>
      </c>
      <c r="X498">
        <f t="shared" si="147"/>
        <v>0</v>
      </c>
      <c r="Y498">
        <f t="shared" si="148"/>
        <v>1</v>
      </c>
      <c r="Z498">
        <v>4</v>
      </c>
      <c r="AA498">
        <f t="shared" si="149"/>
        <v>0.75</v>
      </c>
      <c r="AB498" t="s">
        <v>40</v>
      </c>
      <c r="AC498">
        <f t="shared" si="150"/>
        <v>0</v>
      </c>
      <c r="AD498">
        <f t="shared" si="151"/>
        <v>0</v>
      </c>
      <c r="AE498" t="s">
        <v>41</v>
      </c>
      <c r="AF498">
        <f>IF(AE498="website",1,0)</f>
        <v>1</v>
      </c>
    </row>
    <row r="499" spans="1:32">
      <c r="A499" t="s">
        <v>1102</v>
      </c>
      <c r="B499" t="s">
        <v>33</v>
      </c>
      <c r="C499" s="3">
        <f t="shared" si="133"/>
        <v>0</v>
      </c>
      <c r="D499">
        <f t="shared" si="134"/>
        <v>1</v>
      </c>
      <c r="E499" t="s">
        <v>652</v>
      </c>
      <c r="F499" t="s">
        <v>745</v>
      </c>
      <c r="G499" s="1">
        <v>17858</v>
      </c>
      <c r="H499" s="2">
        <f t="shared" ca="1" si="135"/>
        <v>77</v>
      </c>
      <c r="I499" s="2">
        <f t="shared" ca="1" si="136"/>
        <v>0.74285714285714288</v>
      </c>
      <c r="J499" t="s">
        <v>36</v>
      </c>
      <c r="K499" t="s">
        <v>65</v>
      </c>
      <c r="L499">
        <f t="shared" si="137"/>
        <v>0</v>
      </c>
      <c r="M499">
        <f t="shared" si="138"/>
        <v>1</v>
      </c>
      <c r="N499">
        <f t="shared" si="139"/>
        <v>0</v>
      </c>
      <c r="O499" t="s">
        <v>843</v>
      </c>
      <c r="P499">
        <f t="shared" si="140"/>
        <v>0</v>
      </c>
      <c r="Q499">
        <f t="shared" si="141"/>
        <v>0</v>
      </c>
      <c r="R499">
        <f t="shared" si="142"/>
        <v>0</v>
      </c>
      <c r="S499">
        <f t="shared" si="143"/>
        <v>0</v>
      </c>
      <c r="T499">
        <f t="shared" si="144"/>
        <v>0</v>
      </c>
      <c r="U499">
        <f t="shared" si="145"/>
        <v>0</v>
      </c>
      <c r="V499">
        <f t="shared" si="146"/>
        <v>0</v>
      </c>
      <c r="W499" t="s">
        <v>39</v>
      </c>
      <c r="X499">
        <f t="shared" si="147"/>
        <v>1</v>
      </c>
      <c r="Y499">
        <f t="shared" si="148"/>
        <v>0</v>
      </c>
      <c r="Z499">
        <v>2</v>
      </c>
      <c r="AA499">
        <f t="shared" si="149"/>
        <v>0.25</v>
      </c>
      <c r="AB499" t="s">
        <v>40</v>
      </c>
      <c r="AC499">
        <f t="shared" si="150"/>
        <v>0</v>
      </c>
      <c r="AD499">
        <f t="shared" si="151"/>
        <v>0</v>
      </c>
      <c r="AE499" t="s">
        <v>41</v>
      </c>
      <c r="AF499">
        <f>IF(AE499="website",1,0)</f>
        <v>1</v>
      </c>
    </row>
    <row r="500" spans="1:32">
      <c r="A500" t="s">
        <v>1103</v>
      </c>
      <c r="B500" t="s">
        <v>33</v>
      </c>
      <c r="C500" s="3">
        <f t="shared" si="133"/>
        <v>0</v>
      </c>
      <c r="D500">
        <f t="shared" si="134"/>
        <v>1</v>
      </c>
      <c r="E500" t="s">
        <v>845</v>
      </c>
      <c r="F500" t="s">
        <v>726</v>
      </c>
      <c r="G500" s="1">
        <v>16843</v>
      </c>
      <c r="H500" s="2">
        <f t="shared" ca="1" si="135"/>
        <v>80</v>
      </c>
      <c r="I500" s="2">
        <f t="shared" ca="1" si="136"/>
        <v>0.7857142857142857</v>
      </c>
      <c r="J500" t="s">
        <v>36</v>
      </c>
      <c r="K500" t="s">
        <v>37</v>
      </c>
      <c r="L500">
        <f t="shared" si="137"/>
        <v>1</v>
      </c>
      <c r="M500">
        <f t="shared" si="138"/>
        <v>0</v>
      </c>
      <c r="N500">
        <f t="shared" si="139"/>
        <v>0</v>
      </c>
      <c r="O500" t="s">
        <v>137</v>
      </c>
      <c r="P500">
        <f t="shared" si="140"/>
        <v>0</v>
      </c>
      <c r="Q500">
        <f t="shared" si="141"/>
        <v>0</v>
      </c>
      <c r="R500">
        <f t="shared" si="142"/>
        <v>0</v>
      </c>
      <c r="S500">
        <f t="shared" si="143"/>
        <v>0</v>
      </c>
      <c r="T500">
        <f t="shared" si="144"/>
        <v>0</v>
      </c>
      <c r="U500">
        <f t="shared" si="145"/>
        <v>0</v>
      </c>
      <c r="V500">
        <f t="shared" si="146"/>
        <v>0</v>
      </c>
      <c r="W500" t="s">
        <v>39</v>
      </c>
      <c r="X500">
        <f t="shared" si="147"/>
        <v>1</v>
      </c>
      <c r="Y500">
        <f t="shared" si="148"/>
        <v>0</v>
      </c>
      <c r="Z500">
        <v>3</v>
      </c>
      <c r="AA500">
        <f t="shared" si="149"/>
        <v>0.5</v>
      </c>
      <c r="AB500" t="s">
        <v>40</v>
      </c>
      <c r="AC500">
        <f t="shared" si="150"/>
        <v>1</v>
      </c>
      <c r="AD500">
        <f t="shared" si="151"/>
        <v>0</v>
      </c>
      <c r="AE500" t="s">
        <v>50</v>
      </c>
      <c r="AF500">
        <f>IF(AE500="website",1,0)</f>
        <v>0</v>
      </c>
    </row>
    <row r="501" spans="1:32">
      <c r="A501" t="s">
        <v>1104</v>
      </c>
      <c r="B501" t="s">
        <v>33</v>
      </c>
      <c r="C501" s="3">
        <f t="shared" si="133"/>
        <v>0</v>
      </c>
      <c r="D501">
        <f t="shared" si="134"/>
        <v>1</v>
      </c>
      <c r="E501" t="s">
        <v>1105</v>
      </c>
      <c r="F501" t="s">
        <v>339</v>
      </c>
      <c r="G501" s="1">
        <v>28199</v>
      </c>
      <c r="H501" s="2">
        <f t="shared" ca="1" si="135"/>
        <v>49</v>
      </c>
      <c r="I501" s="2">
        <f t="shared" ca="1" si="136"/>
        <v>0.34285714285714286</v>
      </c>
      <c r="J501" t="s">
        <v>45</v>
      </c>
      <c r="K501" t="s">
        <v>37</v>
      </c>
      <c r="L501">
        <f t="shared" si="137"/>
        <v>1</v>
      </c>
      <c r="M501">
        <f t="shared" si="138"/>
        <v>0</v>
      </c>
      <c r="N501">
        <f t="shared" si="139"/>
        <v>0</v>
      </c>
      <c r="O501" t="s">
        <v>38</v>
      </c>
      <c r="P501">
        <f t="shared" si="140"/>
        <v>1</v>
      </c>
      <c r="Q501">
        <f t="shared" si="141"/>
        <v>0</v>
      </c>
      <c r="R501">
        <f t="shared" si="142"/>
        <v>0</v>
      </c>
      <c r="S501">
        <f t="shared" si="143"/>
        <v>0</v>
      </c>
      <c r="T501">
        <f t="shared" si="144"/>
        <v>0</v>
      </c>
      <c r="U501">
        <f t="shared" si="145"/>
        <v>0</v>
      </c>
      <c r="V501">
        <f t="shared" si="146"/>
        <v>0</v>
      </c>
      <c r="W501" t="s">
        <v>39</v>
      </c>
      <c r="X501">
        <f t="shared" si="147"/>
        <v>1</v>
      </c>
      <c r="Y501">
        <f t="shared" si="148"/>
        <v>0</v>
      </c>
      <c r="Z501">
        <v>4</v>
      </c>
      <c r="AA501">
        <f t="shared" si="149"/>
        <v>0.75</v>
      </c>
      <c r="AB501" t="s">
        <v>40</v>
      </c>
      <c r="AC501">
        <f t="shared" si="150"/>
        <v>0</v>
      </c>
      <c r="AD501">
        <f t="shared" si="151"/>
        <v>0</v>
      </c>
      <c r="AE501" t="s">
        <v>41</v>
      </c>
      <c r="AF501">
        <f>IF(AE501="website",1,0)</f>
        <v>1</v>
      </c>
    </row>
    <row r="502" spans="1:32">
      <c r="A502" t="s">
        <v>1106</v>
      </c>
      <c r="B502" t="s">
        <v>33</v>
      </c>
      <c r="C502" s="3">
        <f t="shared" si="133"/>
        <v>0</v>
      </c>
      <c r="D502">
        <f t="shared" si="134"/>
        <v>1</v>
      </c>
      <c r="E502" t="s">
        <v>719</v>
      </c>
      <c r="F502" t="s">
        <v>911</v>
      </c>
      <c r="G502" s="1">
        <v>35015</v>
      </c>
      <c r="H502" s="2">
        <f t="shared" ca="1" si="135"/>
        <v>30</v>
      </c>
      <c r="I502" s="2">
        <f t="shared" ca="1" si="136"/>
        <v>7.1428571428571425E-2</v>
      </c>
      <c r="J502" t="s">
        <v>45</v>
      </c>
      <c r="K502" t="s">
        <v>37</v>
      </c>
      <c r="L502">
        <f t="shared" si="137"/>
        <v>1</v>
      </c>
      <c r="M502">
        <f t="shared" si="138"/>
        <v>0</v>
      </c>
      <c r="N502">
        <f t="shared" si="139"/>
        <v>0</v>
      </c>
      <c r="O502" t="s">
        <v>124</v>
      </c>
      <c r="P502">
        <f t="shared" si="140"/>
        <v>0</v>
      </c>
      <c r="Q502">
        <f t="shared" si="141"/>
        <v>0</v>
      </c>
      <c r="R502">
        <f t="shared" si="142"/>
        <v>0</v>
      </c>
      <c r="S502">
        <f t="shared" si="143"/>
        <v>0</v>
      </c>
      <c r="T502">
        <f t="shared" si="144"/>
        <v>0</v>
      </c>
      <c r="U502">
        <f t="shared" si="145"/>
        <v>1</v>
      </c>
      <c r="V502">
        <f t="shared" si="146"/>
        <v>0</v>
      </c>
      <c r="W502" t="s">
        <v>58</v>
      </c>
      <c r="X502">
        <f t="shared" si="147"/>
        <v>0</v>
      </c>
      <c r="Y502">
        <f t="shared" si="148"/>
        <v>1</v>
      </c>
      <c r="Z502">
        <v>5</v>
      </c>
      <c r="AA502">
        <f t="shared" si="149"/>
        <v>1</v>
      </c>
      <c r="AB502" t="s">
        <v>40</v>
      </c>
      <c r="AC502">
        <f t="shared" si="150"/>
        <v>1</v>
      </c>
      <c r="AD502">
        <f t="shared" si="151"/>
        <v>0</v>
      </c>
      <c r="AE502" t="s">
        <v>50</v>
      </c>
      <c r="AF502">
        <f>IF(AE502="website",1,0)</f>
        <v>0</v>
      </c>
    </row>
    <row r="503" spans="1:32">
      <c r="A503" t="s">
        <v>1107</v>
      </c>
      <c r="B503" t="s">
        <v>33</v>
      </c>
      <c r="C503" s="3">
        <f t="shared" si="133"/>
        <v>0</v>
      </c>
      <c r="D503">
        <f t="shared" si="134"/>
        <v>1</v>
      </c>
      <c r="E503" t="s">
        <v>950</v>
      </c>
      <c r="F503" t="s">
        <v>656</v>
      </c>
      <c r="G503" s="1">
        <v>24439</v>
      </c>
      <c r="H503" s="2">
        <f t="shared" ca="1" si="135"/>
        <v>59</v>
      </c>
      <c r="I503" s="2">
        <f t="shared" ca="1" si="136"/>
        <v>0.48571428571428571</v>
      </c>
      <c r="J503" t="s">
        <v>36</v>
      </c>
      <c r="K503" t="s">
        <v>37</v>
      </c>
      <c r="L503">
        <f t="shared" si="137"/>
        <v>1</v>
      </c>
      <c r="M503">
        <f t="shared" si="138"/>
        <v>0</v>
      </c>
      <c r="N503">
        <f t="shared" si="139"/>
        <v>0</v>
      </c>
      <c r="O503" t="s">
        <v>97</v>
      </c>
      <c r="P503">
        <f t="shared" si="140"/>
        <v>0</v>
      </c>
      <c r="Q503">
        <f t="shared" si="141"/>
        <v>0</v>
      </c>
      <c r="R503">
        <f t="shared" si="142"/>
        <v>0</v>
      </c>
      <c r="S503">
        <f t="shared" si="143"/>
        <v>0</v>
      </c>
      <c r="T503">
        <f t="shared" si="144"/>
        <v>1</v>
      </c>
      <c r="U503">
        <f t="shared" si="145"/>
        <v>0</v>
      </c>
      <c r="V503">
        <f t="shared" si="146"/>
        <v>0</v>
      </c>
      <c r="W503" t="s">
        <v>39</v>
      </c>
      <c r="X503">
        <f t="shared" si="147"/>
        <v>1</v>
      </c>
      <c r="Y503">
        <f t="shared" si="148"/>
        <v>0</v>
      </c>
      <c r="Z503">
        <v>4</v>
      </c>
      <c r="AA503">
        <f t="shared" si="149"/>
        <v>0.75</v>
      </c>
      <c r="AB503" t="s">
        <v>46</v>
      </c>
      <c r="AC503">
        <f t="shared" si="150"/>
        <v>0</v>
      </c>
      <c r="AD503">
        <f t="shared" si="151"/>
        <v>0</v>
      </c>
      <c r="AE503" t="s">
        <v>41</v>
      </c>
      <c r="AF503">
        <f>IF(AE503="website",1,0)</f>
        <v>1</v>
      </c>
    </row>
    <row r="504" spans="1:32">
      <c r="A504" t="s">
        <v>1108</v>
      </c>
      <c r="B504" t="s">
        <v>33</v>
      </c>
      <c r="C504" s="3">
        <f t="shared" si="133"/>
        <v>0</v>
      </c>
      <c r="D504">
        <f t="shared" si="134"/>
        <v>1</v>
      </c>
      <c r="E504" t="s">
        <v>903</v>
      </c>
      <c r="F504" t="s">
        <v>591</v>
      </c>
      <c r="G504" s="1">
        <v>15975</v>
      </c>
      <c r="H504" s="2">
        <f t="shared" ca="1" si="135"/>
        <v>83</v>
      </c>
      <c r="I504" s="2">
        <f t="shared" ca="1" si="136"/>
        <v>0.82857142857142863</v>
      </c>
      <c r="J504" t="s">
        <v>45</v>
      </c>
      <c r="K504" t="s">
        <v>37</v>
      </c>
      <c r="L504">
        <f t="shared" si="137"/>
        <v>1</v>
      </c>
      <c r="M504">
        <f t="shared" si="138"/>
        <v>0</v>
      </c>
      <c r="N504">
        <f t="shared" si="139"/>
        <v>0</v>
      </c>
      <c r="O504" t="s">
        <v>183</v>
      </c>
      <c r="P504">
        <f t="shared" si="140"/>
        <v>0</v>
      </c>
      <c r="Q504">
        <f t="shared" si="141"/>
        <v>0</v>
      </c>
      <c r="R504">
        <f t="shared" si="142"/>
        <v>0</v>
      </c>
      <c r="S504">
        <f t="shared" si="143"/>
        <v>0</v>
      </c>
      <c r="T504">
        <f t="shared" si="144"/>
        <v>0</v>
      </c>
      <c r="U504">
        <f t="shared" si="145"/>
        <v>0</v>
      </c>
      <c r="V504">
        <f t="shared" si="146"/>
        <v>0</v>
      </c>
      <c r="W504" t="s">
        <v>58</v>
      </c>
      <c r="X504">
        <f t="shared" si="147"/>
        <v>0</v>
      </c>
      <c r="Y504">
        <f t="shared" si="148"/>
        <v>1</v>
      </c>
      <c r="Z504">
        <v>2</v>
      </c>
      <c r="AA504">
        <f t="shared" si="149"/>
        <v>0.25</v>
      </c>
      <c r="AB504" t="s">
        <v>40</v>
      </c>
      <c r="AC504">
        <f t="shared" si="150"/>
        <v>0</v>
      </c>
      <c r="AD504">
        <f t="shared" si="151"/>
        <v>1</v>
      </c>
      <c r="AE504" t="s">
        <v>90</v>
      </c>
      <c r="AF504">
        <f>IF(AE504="website",1,0)</f>
        <v>0</v>
      </c>
    </row>
    <row r="505" spans="1:32">
      <c r="A505" t="s">
        <v>1109</v>
      </c>
      <c r="B505" t="s">
        <v>33</v>
      </c>
      <c r="C505" s="3">
        <f t="shared" si="133"/>
        <v>0</v>
      </c>
      <c r="D505">
        <f t="shared" si="134"/>
        <v>1</v>
      </c>
      <c r="E505" t="s">
        <v>1110</v>
      </c>
      <c r="F505" t="s">
        <v>554</v>
      </c>
      <c r="G505" s="1">
        <v>33617</v>
      </c>
      <c r="H505" s="2">
        <f t="shared" ca="1" si="135"/>
        <v>34</v>
      </c>
      <c r="I505" s="2">
        <f t="shared" ca="1" si="136"/>
        <v>0.12857142857142856</v>
      </c>
      <c r="J505" t="s">
        <v>45</v>
      </c>
      <c r="K505" t="s">
        <v>37</v>
      </c>
      <c r="L505">
        <f t="shared" si="137"/>
        <v>1</v>
      </c>
      <c r="M505">
        <f t="shared" si="138"/>
        <v>0</v>
      </c>
      <c r="N505">
        <f t="shared" si="139"/>
        <v>0</v>
      </c>
      <c r="O505" t="s">
        <v>183</v>
      </c>
      <c r="P505">
        <f t="shared" si="140"/>
        <v>0</v>
      </c>
      <c r="Q505">
        <f t="shared" si="141"/>
        <v>0</v>
      </c>
      <c r="R505">
        <f t="shared" si="142"/>
        <v>0</v>
      </c>
      <c r="S505">
        <f t="shared" si="143"/>
        <v>0</v>
      </c>
      <c r="T505">
        <f t="shared" si="144"/>
        <v>0</v>
      </c>
      <c r="U505">
        <f t="shared" si="145"/>
        <v>0</v>
      </c>
      <c r="V505">
        <f t="shared" si="146"/>
        <v>0</v>
      </c>
      <c r="W505" t="s">
        <v>39</v>
      </c>
      <c r="X505">
        <f t="shared" si="147"/>
        <v>1</v>
      </c>
      <c r="Y505">
        <f t="shared" si="148"/>
        <v>0</v>
      </c>
      <c r="Z505">
        <v>2</v>
      </c>
      <c r="AA505">
        <f t="shared" si="149"/>
        <v>0.25</v>
      </c>
      <c r="AB505" t="s">
        <v>46</v>
      </c>
      <c r="AC505">
        <f t="shared" si="150"/>
        <v>0</v>
      </c>
      <c r="AD505">
        <f t="shared" si="151"/>
        <v>0</v>
      </c>
      <c r="AE505" t="s">
        <v>41</v>
      </c>
      <c r="AF505">
        <f>IF(AE505="website",1,0)</f>
        <v>1</v>
      </c>
    </row>
    <row r="506" spans="1:32">
      <c r="A506" t="s">
        <v>1111</v>
      </c>
      <c r="B506" t="s">
        <v>33</v>
      </c>
      <c r="C506" s="3">
        <f t="shared" si="133"/>
        <v>0</v>
      </c>
      <c r="D506">
        <f t="shared" si="134"/>
        <v>1</v>
      </c>
      <c r="E506" t="s">
        <v>807</v>
      </c>
      <c r="F506" t="s">
        <v>571</v>
      </c>
      <c r="G506" s="1">
        <v>34898</v>
      </c>
      <c r="H506" s="2">
        <f t="shared" ca="1" si="135"/>
        <v>31</v>
      </c>
      <c r="I506" s="2">
        <f t="shared" ca="1" si="136"/>
        <v>8.5714285714285715E-2</v>
      </c>
      <c r="J506" t="s">
        <v>36</v>
      </c>
      <c r="K506" t="s">
        <v>37</v>
      </c>
      <c r="L506">
        <f t="shared" si="137"/>
        <v>1</v>
      </c>
      <c r="M506">
        <f t="shared" si="138"/>
        <v>0</v>
      </c>
      <c r="N506">
        <f t="shared" si="139"/>
        <v>0</v>
      </c>
      <c r="O506" t="s">
        <v>97</v>
      </c>
      <c r="P506">
        <f t="shared" si="140"/>
        <v>0</v>
      </c>
      <c r="Q506">
        <f t="shared" si="141"/>
        <v>0</v>
      </c>
      <c r="R506">
        <f t="shared" si="142"/>
        <v>0</v>
      </c>
      <c r="S506">
        <f t="shared" si="143"/>
        <v>0</v>
      </c>
      <c r="T506">
        <f t="shared" si="144"/>
        <v>1</v>
      </c>
      <c r="U506">
        <f t="shared" si="145"/>
        <v>0</v>
      </c>
      <c r="V506">
        <f t="shared" si="146"/>
        <v>0</v>
      </c>
      <c r="W506" t="s">
        <v>39</v>
      </c>
      <c r="X506">
        <f t="shared" si="147"/>
        <v>1</v>
      </c>
      <c r="Y506">
        <f t="shared" si="148"/>
        <v>0</v>
      </c>
      <c r="Z506">
        <v>3</v>
      </c>
      <c r="AA506">
        <f t="shared" si="149"/>
        <v>0.5</v>
      </c>
      <c r="AB506" t="s">
        <v>46</v>
      </c>
      <c r="AC506">
        <f t="shared" si="150"/>
        <v>1</v>
      </c>
      <c r="AD506">
        <f t="shared" si="151"/>
        <v>0</v>
      </c>
      <c r="AE506" t="s">
        <v>50</v>
      </c>
      <c r="AF506">
        <f>IF(AE506="website",1,0)</f>
        <v>0</v>
      </c>
    </row>
    <row r="507" spans="1:32">
      <c r="A507" t="s">
        <v>1112</v>
      </c>
      <c r="B507" t="s">
        <v>33</v>
      </c>
      <c r="C507" s="3">
        <f t="shared" si="133"/>
        <v>0</v>
      </c>
      <c r="D507">
        <f t="shared" si="134"/>
        <v>1</v>
      </c>
      <c r="E507" t="s">
        <v>677</v>
      </c>
      <c r="F507" t="s">
        <v>691</v>
      </c>
      <c r="G507" s="1">
        <v>24657</v>
      </c>
      <c r="H507" s="2">
        <f t="shared" ca="1" si="135"/>
        <v>59</v>
      </c>
      <c r="I507" s="2">
        <f t="shared" ca="1" si="136"/>
        <v>0.48571428571428571</v>
      </c>
      <c r="J507" t="s">
        <v>45</v>
      </c>
      <c r="K507" t="s">
        <v>37</v>
      </c>
      <c r="L507">
        <f t="shared" si="137"/>
        <v>1</v>
      </c>
      <c r="M507">
        <f t="shared" si="138"/>
        <v>0</v>
      </c>
      <c r="N507">
        <f t="shared" si="139"/>
        <v>0</v>
      </c>
      <c r="O507" t="s">
        <v>38</v>
      </c>
      <c r="P507">
        <f t="shared" si="140"/>
        <v>1</v>
      </c>
      <c r="Q507">
        <f t="shared" si="141"/>
        <v>0</v>
      </c>
      <c r="R507">
        <f t="shared" si="142"/>
        <v>0</v>
      </c>
      <c r="S507">
        <f t="shared" si="143"/>
        <v>0</v>
      </c>
      <c r="T507">
        <f t="shared" si="144"/>
        <v>0</v>
      </c>
      <c r="U507">
        <f t="shared" si="145"/>
        <v>0</v>
      </c>
      <c r="V507">
        <f t="shared" si="146"/>
        <v>0</v>
      </c>
      <c r="W507" t="s">
        <v>39</v>
      </c>
      <c r="X507">
        <f t="shared" si="147"/>
        <v>1</v>
      </c>
      <c r="Y507">
        <f t="shared" si="148"/>
        <v>0</v>
      </c>
      <c r="Z507">
        <v>5</v>
      </c>
      <c r="AA507">
        <f t="shared" si="149"/>
        <v>1</v>
      </c>
      <c r="AB507" t="s">
        <v>46</v>
      </c>
      <c r="AC507">
        <f t="shared" si="150"/>
        <v>1</v>
      </c>
      <c r="AD507">
        <f t="shared" si="151"/>
        <v>0</v>
      </c>
      <c r="AE507" t="s">
        <v>50</v>
      </c>
      <c r="AF507">
        <f>IF(AE507="website",1,0)</f>
        <v>0</v>
      </c>
    </row>
    <row r="508" spans="1:32">
      <c r="A508" t="s">
        <v>1113</v>
      </c>
      <c r="B508" t="s">
        <v>33</v>
      </c>
      <c r="C508" s="3">
        <f t="shared" si="133"/>
        <v>0</v>
      </c>
      <c r="D508">
        <f t="shared" si="134"/>
        <v>1</v>
      </c>
      <c r="E508" t="s">
        <v>658</v>
      </c>
      <c r="F508" t="s">
        <v>730</v>
      </c>
      <c r="G508" s="1">
        <v>18685</v>
      </c>
      <c r="H508" s="2">
        <f t="shared" ca="1" si="135"/>
        <v>75</v>
      </c>
      <c r="I508" s="2">
        <f t="shared" ca="1" si="136"/>
        <v>0.7142857142857143</v>
      </c>
      <c r="J508" t="s">
        <v>45</v>
      </c>
      <c r="K508" t="s">
        <v>37</v>
      </c>
      <c r="L508">
        <f t="shared" si="137"/>
        <v>1</v>
      </c>
      <c r="M508">
        <f t="shared" si="138"/>
        <v>0</v>
      </c>
      <c r="N508">
        <f t="shared" si="139"/>
        <v>0</v>
      </c>
      <c r="O508" t="s">
        <v>717</v>
      </c>
      <c r="P508">
        <f t="shared" si="140"/>
        <v>0</v>
      </c>
      <c r="Q508">
        <f t="shared" si="141"/>
        <v>0</v>
      </c>
      <c r="R508">
        <f t="shared" si="142"/>
        <v>0</v>
      </c>
      <c r="S508">
        <f t="shared" si="143"/>
        <v>0</v>
      </c>
      <c r="T508">
        <f t="shared" si="144"/>
        <v>0</v>
      </c>
      <c r="U508">
        <f t="shared" si="145"/>
        <v>0</v>
      </c>
      <c r="V508">
        <f t="shared" si="146"/>
        <v>0</v>
      </c>
      <c r="W508" t="s">
        <v>39</v>
      </c>
      <c r="X508">
        <f t="shared" si="147"/>
        <v>1</v>
      </c>
      <c r="Y508">
        <f t="shared" si="148"/>
        <v>0</v>
      </c>
      <c r="Z508">
        <v>3</v>
      </c>
      <c r="AA508">
        <f t="shared" si="149"/>
        <v>0.5</v>
      </c>
      <c r="AB508" t="s">
        <v>46</v>
      </c>
      <c r="AC508">
        <f t="shared" si="150"/>
        <v>0</v>
      </c>
      <c r="AD508">
        <f t="shared" si="151"/>
        <v>0</v>
      </c>
      <c r="AE508" t="s">
        <v>41</v>
      </c>
      <c r="AF508">
        <f>IF(AE508="website",1,0)</f>
        <v>1</v>
      </c>
    </row>
    <row r="509" spans="1:32">
      <c r="A509" t="s">
        <v>1114</v>
      </c>
      <c r="B509" t="s">
        <v>33</v>
      </c>
      <c r="C509" s="3">
        <f t="shared" si="133"/>
        <v>0</v>
      </c>
      <c r="D509">
        <f t="shared" si="134"/>
        <v>1</v>
      </c>
      <c r="E509" t="s">
        <v>317</v>
      </c>
      <c r="F509" t="s">
        <v>552</v>
      </c>
      <c r="G509" s="1">
        <v>25574</v>
      </c>
      <c r="H509" s="2">
        <f t="shared" ca="1" si="135"/>
        <v>56</v>
      </c>
      <c r="I509" s="2">
        <f t="shared" ca="1" si="136"/>
        <v>0.44285714285714284</v>
      </c>
      <c r="J509" t="s">
        <v>36</v>
      </c>
      <c r="K509" t="s">
        <v>37</v>
      </c>
      <c r="L509">
        <f t="shared" si="137"/>
        <v>1</v>
      </c>
      <c r="M509">
        <f t="shared" si="138"/>
        <v>0</v>
      </c>
      <c r="N509">
        <f t="shared" si="139"/>
        <v>0</v>
      </c>
      <c r="O509" t="s">
        <v>124</v>
      </c>
      <c r="P509">
        <f t="shared" si="140"/>
        <v>0</v>
      </c>
      <c r="Q509">
        <f t="shared" si="141"/>
        <v>0</v>
      </c>
      <c r="R509">
        <f t="shared" si="142"/>
        <v>0</v>
      </c>
      <c r="S509">
        <f t="shared" si="143"/>
        <v>0</v>
      </c>
      <c r="T509">
        <f t="shared" si="144"/>
        <v>0</v>
      </c>
      <c r="U509">
        <f t="shared" si="145"/>
        <v>1</v>
      </c>
      <c r="V509">
        <f t="shared" si="146"/>
        <v>0</v>
      </c>
      <c r="W509" t="s">
        <v>39</v>
      </c>
      <c r="X509">
        <f t="shared" si="147"/>
        <v>1</v>
      </c>
      <c r="Y509">
        <f t="shared" si="148"/>
        <v>0</v>
      </c>
      <c r="Z509">
        <v>5</v>
      </c>
      <c r="AA509">
        <f t="shared" si="149"/>
        <v>1</v>
      </c>
      <c r="AB509" t="s">
        <v>46</v>
      </c>
      <c r="AC509">
        <f t="shared" si="150"/>
        <v>1</v>
      </c>
      <c r="AD509">
        <f t="shared" si="151"/>
        <v>0</v>
      </c>
      <c r="AE509" t="s">
        <v>50</v>
      </c>
      <c r="AF509">
        <f>IF(AE509="website",1,0)</f>
        <v>0</v>
      </c>
    </row>
    <row r="510" spans="1:32">
      <c r="A510" t="s">
        <v>1115</v>
      </c>
      <c r="B510" t="s">
        <v>33</v>
      </c>
      <c r="C510" s="3">
        <f t="shared" si="133"/>
        <v>0</v>
      </c>
      <c r="D510">
        <f t="shared" si="134"/>
        <v>1</v>
      </c>
      <c r="E510" t="s">
        <v>780</v>
      </c>
      <c r="F510" t="s">
        <v>876</v>
      </c>
      <c r="G510" s="1">
        <v>20547</v>
      </c>
      <c r="H510" s="2">
        <f t="shared" ca="1" si="135"/>
        <v>70</v>
      </c>
      <c r="I510" s="2">
        <f t="shared" ca="1" si="136"/>
        <v>0.6428571428571429</v>
      </c>
      <c r="J510" t="s">
        <v>45</v>
      </c>
      <c r="K510" t="s">
        <v>153</v>
      </c>
      <c r="L510">
        <f t="shared" si="137"/>
        <v>0</v>
      </c>
      <c r="M510">
        <f t="shared" si="138"/>
        <v>0</v>
      </c>
      <c r="N510">
        <f t="shared" si="139"/>
        <v>0</v>
      </c>
      <c r="O510" t="s">
        <v>945</v>
      </c>
      <c r="P510">
        <f t="shared" si="140"/>
        <v>0</v>
      </c>
      <c r="Q510">
        <f t="shared" si="141"/>
        <v>0</v>
      </c>
      <c r="R510">
        <f t="shared" si="142"/>
        <v>0</v>
      </c>
      <c r="S510">
        <f t="shared" si="143"/>
        <v>0</v>
      </c>
      <c r="T510">
        <f t="shared" si="144"/>
        <v>0</v>
      </c>
      <c r="U510">
        <f t="shared" si="145"/>
        <v>0</v>
      </c>
      <c r="V510">
        <f t="shared" si="146"/>
        <v>0</v>
      </c>
      <c r="W510" t="s">
        <v>39</v>
      </c>
      <c r="X510">
        <f t="shared" si="147"/>
        <v>1</v>
      </c>
      <c r="Y510">
        <f t="shared" si="148"/>
        <v>0</v>
      </c>
      <c r="Z510">
        <v>3</v>
      </c>
      <c r="AA510">
        <f t="shared" si="149"/>
        <v>0.5</v>
      </c>
      <c r="AB510" t="s">
        <v>46</v>
      </c>
      <c r="AC510">
        <f t="shared" si="150"/>
        <v>0</v>
      </c>
      <c r="AD510">
        <f t="shared" si="151"/>
        <v>0</v>
      </c>
      <c r="AE510" t="s">
        <v>41</v>
      </c>
      <c r="AF510">
        <f>IF(AE510="website",1,0)</f>
        <v>1</v>
      </c>
    </row>
    <row r="511" spans="1:32">
      <c r="A511" t="s">
        <v>1116</v>
      </c>
      <c r="B511" t="s">
        <v>33</v>
      </c>
      <c r="C511" s="3">
        <f t="shared" si="133"/>
        <v>0</v>
      </c>
      <c r="D511">
        <f t="shared" si="134"/>
        <v>1</v>
      </c>
      <c r="E511" t="s">
        <v>879</v>
      </c>
      <c r="F511" t="s">
        <v>667</v>
      </c>
      <c r="G511" s="1">
        <v>17407</v>
      </c>
      <c r="H511" s="2">
        <f t="shared" ca="1" si="135"/>
        <v>79</v>
      </c>
      <c r="I511" s="2">
        <f t="shared" ca="1" si="136"/>
        <v>0.77142857142857146</v>
      </c>
      <c r="J511" t="s">
        <v>36</v>
      </c>
      <c r="K511" t="s">
        <v>626</v>
      </c>
      <c r="L511">
        <f t="shared" si="137"/>
        <v>0</v>
      </c>
      <c r="M511">
        <f t="shared" si="138"/>
        <v>0</v>
      </c>
      <c r="N511">
        <f t="shared" si="139"/>
        <v>0</v>
      </c>
      <c r="O511" t="s">
        <v>1117</v>
      </c>
      <c r="P511">
        <f t="shared" si="140"/>
        <v>0</v>
      </c>
      <c r="Q511">
        <f t="shared" si="141"/>
        <v>0</v>
      </c>
      <c r="R511">
        <f t="shared" si="142"/>
        <v>0</v>
      </c>
      <c r="S511">
        <f t="shared" si="143"/>
        <v>0</v>
      </c>
      <c r="T511">
        <f t="shared" si="144"/>
        <v>0</v>
      </c>
      <c r="U511">
        <f t="shared" si="145"/>
        <v>0</v>
      </c>
      <c r="V511">
        <f t="shared" si="146"/>
        <v>0</v>
      </c>
      <c r="W511" t="s">
        <v>58</v>
      </c>
      <c r="X511">
        <f t="shared" si="147"/>
        <v>0</v>
      </c>
      <c r="Y511">
        <f t="shared" si="148"/>
        <v>1</v>
      </c>
      <c r="Z511">
        <v>1</v>
      </c>
      <c r="AA511">
        <f t="shared" si="149"/>
        <v>0</v>
      </c>
      <c r="AB511" t="s">
        <v>40</v>
      </c>
      <c r="AC511">
        <f t="shared" si="150"/>
        <v>0</v>
      </c>
      <c r="AD511">
        <f t="shared" si="151"/>
        <v>0</v>
      </c>
      <c r="AE511" t="s">
        <v>41</v>
      </c>
      <c r="AF511">
        <f>IF(AE511="website",1,0)</f>
        <v>1</v>
      </c>
    </row>
    <row r="512" spans="1:32">
      <c r="A512" t="s">
        <v>1118</v>
      </c>
      <c r="B512" t="s">
        <v>33</v>
      </c>
      <c r="C512" s="3">
        <f t="shared" si="133"/>
        <v>0</v>
      </c>
      <c r="D512">
        <f t="shared" si="134"/>
        <v>1</v>
      </c>
      <c r="E512" t="s">
        <v>644</v>
      </c>
      <c r="F512" t="s">
        <v>538</v>
      </c>
      <c r="G512" s="1">
        <v>19925</v>
      </c>
      <c r="H512" s="2">
        <f t="shared" ca="1" si="135"/>
        <v>72</v>
      </c>
      <c r="I512" s="2">
        <f t="shared" ca="1" si="136"/>
        <v>0.67142857142857137</v>
      </c>
      <c r="J512" t="s">
        <v>36</v>
      </c>
      <c r="K512" t="s">
        <v>248</v>
      </c>
      <c r="L512">
        <f t="shared" si="137"/>
        <v>0</v>
      </c>
      <c r="M512">
        <f t="shared" si="138"/>
        <v>0</v>
      </c>
      <c r="N512">
        <f t="shared" si="139"/>
        <v>0</v>
      </c>
      <c r="O512" t="s">
        <v>582</v>
      </c>
      <c r="P512">
        <f t="shared" si="140"/>
        <v>0</v>
      </c>
      <c r="Q512">
        <f t="shared" si="141"/>
        <v>0</v>
      </c>
      <c r="R512">
        <f t="shared" si="142"/>
        <v>0</v>
      </c>
      <c r="S512">
        <f t="shared" si="143"/>
        <v>0</v>
      </c>
      <c r="T512">
        <f t="shared" si="144"/>
        <v>0</v>
      </c>
      <c r="U512">
        <f t="shared" si="145"/>
        <v>0</v>
      </c>
      <c r="V512">
        <f t="shared" si="146"/>
        <v>0</v>
      </c>
      <c r="W512" t="s">
        <v>39</v>
      </c>
      <c r="X512">
        <f t="shared" si="147"/>
        <v>1</v>
      </c>
      <c r="Y512">
        <f t="shared" si="148"/>
        <v>0</v>
      </c>
      <c r="Z512">
        <v>2</v>
      </c>
      <c r="AA512">
        <f t="shared" si="149"/>
        <v>0.25</v>
      </c>
      <c r="AB512" t="s">
        <v>46</v>
      </c>
      <c r="AC512">
        <f t="shared" si="150"/>
        <v>0</v>
      </c>
      <c r="AD512">
        <f t="shared" si="151"/>
        <v>0</v>
      </c>
      <c r="AE512" t="s">
        <v>41</v>
      </c>
      <c r="AF512">
        <f>IF(AE512="website",1,0)</f>
        <v>1</v>
      </c>
    </row>
    <row r="513" spans="1:32">
      <c r="A513" t="s">
        <v>1119</v>
      </c>
      <c r="B513" t="s">
        <v>33</v>
      </c>
      <c r="C513" s="3">
        <f t="shared" si="133"/>
        <v>0</v>
      </c>
      <c r="D513">
        <f t="shared" si="134"/>
        <v>1</v>
      </c>
      <c r="E513" t="s">
        <v>578</v>
      </c>
      <c r="F513" t="s">
        <v>882</v>
      </c>
      <c r="G513" s="1">
        <v>16615</v>
      </c>
      <c r="H513" s="2">
        <f t="shared" ca="1" si="135"/>
        <v>81</v>
      </c>
      <c r="I513" s="2">
        <f t="shared" ca="1" si="136"/>
        <v>0.8</v>
      </c>
      <c r="J513" t="s">
        <v>36</v>
      </c>
      <c r="K513" t="s">
        <v>37</v>
      </c>
      <c r="L513">
        <f t="shared" si="137"/>
        <v>1</v>
      </c>
      <c r="M513">
        <f t="shared" si="138"/>
        <v>0</v>
      </c>
      <c r="N513">
        <f t="shared" si="139"/>
        <v>0</v>
      </c>
      <c r="O513" t="s">
        <v>97</v>
      </c>
      <c r="P513">
        <f t="shared" si="140"/>
        <v>0</v>
      </c>
      <c r="Q513">
        <f t="shared" si="141"/>
        <v>0</v>
      </c>
      <c r="R513">
        <f t="shared" si="142"/>
        <v>0</v>
      </c>
      <c r="S513">
        <f t="shared" si="143"/>
        <v>0</v>
      </c>
      <c r="T513">
        <f t="shared" si="144"/>
        <v>1</v>
      </c>
      <c r="U513">
        <f t="shared" si="145"/>
        <v>0</v>
      </c>
      <c r="V513">
        <f t="shared" si="146"/>
        <v>0</v>
      </c>
      <c r="W513" t="s">
        <v>39</v>
      </c>
      <c r="X513">
        <f t="shared" si="147"/>
        <v>1</v>
      </c>
      <c r="Y513">
        <f t="shared" si="148"/>
        <v>0</v>
      </c>
      <c r="Z513">
        <v>1</v>
      </c>
      <c r="AA513">
        <f t="shared" si="149"/>
        <v>0</v>
      </c>
      <c r="AB513" t="s">
        <v>46</v>
      </c>
      <c r="AC513">
        <f t="shared" si="150"/>
        <v>0</v>
      </c>
      <c r="AD513">
        <f t="shared" si="151"/>
        <v>1</v>
      </c>
      <c r="AE513" t="s">
        <v>90</v>
      </c>
      <c r="AF513">
        <f>IF(AE513="website",1,0)</f>
        <v>0</v>
      </c>
    </row>
    <row r="514" spans="1:32">
      <c r="A514" t="s">
        <v>1120</v>
      </c>
      <c r="B514" t="s">
        <v>33</v>
      </c>
      <c r="C514" s="3">
        <f t="shared" ref="C514:C577" si="152">IF(B514="company",1,0)</f>
        <v>0</v>
      </c>
      <c r="D514">
        <f t="shared" ref="D514:D577" si="153">IF(B514="individual",1,0)</f>
        <v>1</v>
      </c>
      <c r="E514" t="s">
        <v>288</v>
      </c>
      <c r="F514" t="s">
        <v>730</v>
      </c>
      <c r="G514" s="1">
        <v>36226</v>
      </c>
      <c r="H514" s="2">
        <f t="shared" ref="H514:H577" ca="1" si="154">DATEDIF(G514,TODAY(),"Y")</f>
        <v>27</v>
      </c>
      <c r="I514" s="2">
        <f t="shared" ref="I514:I577" ca="1" si="155">(H514-MIN(H:H))/(MAX(H:H)-MIN(H:H))</f>
        <v>2.8571428571428571E-2</v>
      </c>
      <c r="J514" t="s">
        <v>45</v>
      </c>
      <c r="K514" t="s">
        <v>37</v>
      </c>
      <c r="L514">
        <f t="shared" ref="L514:L577" si="156">IF(K514="usa",1,0)</f>
        <v>1</v>
      </c>
      <c r="M514">
        <f t="shared" ref="M514:M577" si="157">IF(K514="canada",1,0)</f>
        <v>0</v>
      </c>
      <c r="N514">
        <f t="shared" ref="N514:N577" si="158">IF(K514="germany",1,0)</f>
        <v>0</v>
      </c>
      <c r="O514" t="s">
        <v>600</v>
      </c>
      <c r="P514">
        <f t="shared" ref="P514:P577" si="159">IF(O514="california",1,0)</f>
        <v>0</v>
      </c>
      <c r="Q514">
        <f t="shared" ref="Q514:Q577" si="160">IF(O514="oregon",1,0)</f>
        <v>0</v>
      </c>
      <c r="R514">
        <f t="shared" ref="R514:R577" si="161">IF(O514="quebec",1,0)</f>
        <v>0</v>
      </c>
      <c r="S514">
        <f t="shared" ref="S514:S577" si="162">IF(O514="berlin",1,0)</f>
        <v>0</v>
      </c>
      <c r="T514">
        <f t="shared" ref="T514:T577" si="163">IF(O514="arizona",1,0)</f>
        <v>0</v>
      </c>
      <c r="U514">
        <f t="shared" ref="U514:U577" si="164">IF(O514="nevada",1,0)</f>
        <v>0</v>
      </c>
      <c r="V514">
        <f t="shared" ref="V514:V577" si="165">IF(O514="colardo",1,0)</f>
        <v>0</v>
      </c>
      <c r="W514" t="s">
        <v>39</v>
      </c>
      <c r="X514">
        <f t="shared" ref="X514:X577" si="166">IF(W514="home",1,0)</f>
        <v>1</v>
      </c>
      <c r="Y514">
        <f t="shared" ref="Y514:Y577" si="167">IF(W514="investment",1,0)</f>
        <v>0</v>
      </c>
      <c r="Z514">
        <v>2</v>
      </c>
      <c r="AA514">
        <f t="shared" ref="AA514:AA577" si="168">(Z514-1)/4</f>
        <v>0.25</v>
      </c>
      <c r="AB514" t="s">
        <v>40</v>
      </c>
      <c r="AC514">
        <f t="shared" ref="AC514:AC577" si="169">IF(AE514="agency",1,0)</f>
        <v>1</v>
      </c>
      <c r="AD514">
        <f t="shared" ref="AD514:AD577" si="170">IF(AE514="client",1,0)</f>
        <v>0</v>
      </c>
      <c r="AE514" t="s">
        <v>50</v>
      </c>
      <c r="AF514">
        <f>IF(AE514="website",1,0)</f>
        <v>0</v>
      </c>
    </row>
    <row r="515" spans="1:32">
      <c r="A515" t="s">
        <v>1121</v>
      </c>
      <c r="B515" t="s">
        <v>33</v>
      </c>
      <c r="C515" s="3">
        <f t="shared" si="152"/>
        <v>0</v>
      </c>
      <c r="D515">
        <f t="shared" si="153"/>
        <v>1</v>
      </c>
      <c r="E515" t="s">
        <v>768</v>
      </c>
      <c r="F515" t="s">
        <v>667</v>
      </c>
      <c r="G515" s="1">
        <v>28354</v>
      </c>
      <c r="H515" s="2">
        <f t="shared" ca="1" si="154"/>
        <v>49</v>
      </c>
      <c r="I515" s="2">
        <f t="shared" ca="1" si="155"/>
        <v>0.34285714285714286</v>
      </c>
      <c r="J515" t="s">
        <v>36</v>
      </c>
      <c r="K515" t="s">
        <v>37</v>
      </c>
      <c r="L515">
        <f t="shared" si="156"/>
        <v>1</v>
      </c>
      <c r="M515">
        <f t="shared" si="157"/>
        <v>0</v>
      </c>
      <c r="N515">
        <f t="shared" si="158"/>
        <v>0</v>
      </c>
      <c r="O515" t="s">
        <v>76</v>
      </c>
      <c r="P515">
        <f t="shared" si="159"/>
        <v>0</v>
      </c>
      <c r="Q515">
        <f t="shared" si="160"/>
        <v>1</v>
      </c>
      <c r="R515">
        <f t="shared" si="161"/>
        <v>0</v>
      </c>
      <c r="S515">
        <f t="shared" si="162"/>
        <v>0</v>
      </c>
      <c r="T515">
        <f t="shared" si="163"/>
        <v>0</v>
      </c>
      <c r="U515">
        <f t="shared" si="164"/>
        <v>0</v>
      </c>
      <c r="V515">
        <f t="shared" si="165"/>
        <v>0</v>
      </c>
      <c r="W515" t="s">
        <v>39</v>
      </c>
      <c r="X515">
        <f t="shared" si="166"/>
        <v>1</v>
      </c>
      <c r="Y515">
        <f t="shared" si="167"/>
        <v>0</v>
      </c>
      <c r="Z515">
        <v>1</v>
      </c>
      <c r="AA515">
        <f t="shared" si="168"/>
        <v>0</v>
      </c>
      <c r="AB515" t="s">
        <v>40</v>
      </c>
      <c r="AC515">
        <f t="shared" si="169"/>
        <v>0</v>
      </c>
      <c r="AD515">
        <f t="shared" si="170"/>
        <v>0</v>
      </c>
      <c r="AE515" t="s">
        <v>41</v>
      </c>
      <c r="AF515">
        <f>IF(AE515="website",1,0)</f>
        <v>1</v>
      </c>
    </row>
    <row r="516" spans="1:32">
      <c r="A516" t="s">
        <v>1122</v>
      </c>
      <c r="B516" t="s">
        <v>33</v>
      </c>
      <c r="C516" s="3">
        <f t="shared" si="152"/>
        <v>0</v>
      </c>
      <c r="D516">
        <f t="shared" si="153"/>
        <v>1</v>
      </c>
      <c r="E516" t="s">
        <v>776</v>
      </c>
      <c r="F516" t="s">
        <v>726</v>
      </c>
      <c r="G516" s="1">
        <v>23266</v>
      </c>
      <c r="H516" s="2">
        <f t="shared" ca="1" si="154"/>
        <v>63</v>
      </c>
      <c r="I516" s="2">
        <f t="shared" ca="1" si="155"/>
        <v>0.54285714285714282</v>
      </c>
      <c r="J516" t="s">
        <v>36</v>
      </c>
      <c r="K516" t="s">
        <v>37</v>
      </c>
      <c r="L516">
        <f t="shared" si="156"/>
        <v>1</v>
      </c>
      <c r="M516">
        <f t="shared" si="157"/>
        <v>0</v>
      </c>
      <c r="N516">
        <f t="shared" si="158"/>
        <v>0</v>
      </c>
      <c r="O516" t="s">
        <v>38</v>
      </c>
      <c r="P516">
        <f t="shared" si="159"/>
        <v>1</v>
      </c>
      <c r="Q516">
        <f t="shared" si="160"/>
        <v>0</v>
      </c>
      <c r="R516">
        <f t="shared" si="161"/>
        <v>0</v>
      </c>
      <c r="S516">
        <f t="shared" si="162"/>
        <v>0</v>
      </c>
      <c r="T516">
        <f t="shared" si="163"/>
        <v>0</v>
      </c>
      <c r="U516">
        <f t="shared" si="164"/>
        <v>0</v>
      </c>
      <c r="V516">
        <f t="shared" si="165"/>
        <v>0</v>
      </c>
      <c r="W516" t="s">
        <v>39</v>
      </c>
      <c r="X516">
        <f t="shared" si="166"/>
        <v>1</v>
      </c>
      <c r="Y516">
        <f t="shared" si="167"/>
        <v>0</v>
      </c>
      <c r="Z516">
        <v>1</v>
      </c>
      <c r="AA516">
        <f t="shared" si="168"/>
        <v>0</v>
      </c>
      <c r="AB516" t="s">
        <v>40</v>
      </c>
      <c r="AC516">
        <f t="shared" si="169"/>
        <v>0</v>
      </c>
      <c r="AD516">
        <f t="shared" si="170"/>
        <v>0</v>
      </c>
      <c r="AE516" t="s">
        <v>41</v>
      </c>
      <c r="AF516">
        <f>IF(AE516="website",1,0)</f>
        <v>1</v>
      </c>
    </row>
    <row r="517" spans="1:32">
      <c r="A517" t="s">
        <v>1123</v>
      </c>
      <c r="B517" t="s">
        <v>33</v>
      </c>
      <c r="C517" s="3">
        <f t="shared" si="152"/>
        <v>0</v>
      </c>
      <c r="D517">
        <f t="shared" si="153"/>
        <v>1</v>
      </c>
      <c r="E517" t="s">
        <v>590</v>
      </c>
      <c r="F517" t="s">
        <v>112</v>
      </c>
      <c r="G517" s="1">
        <v>16913</v>
      </c>
      <c r="H517" s="2">
        <f t="shared" ca="1" si="154"/>
        <v>80</v>
      </c>
      <c r="I517" s="2">
        <f t="shared" ca="1" si="155"/>
        <v>0.7857142857142857</v>
      </c>
      <c r="J517" t="s">
        <v>45</v>
      </c>
      <c r="K517" t="s">
        <v>37</v>
      </c>
      <c r="L517">
        <f t="shared" si="156"/>
        <v>1</v>
      </c>
      <c r="M517">
        <f t="shared" si="157"/>
        <v>0</v>
      </c>
      <c r="N517">
        <f t="shared" si="158"/>
        <v>0</v>
      </c>
      <c r="O517" t="s">
        <v>183</v>
      </c>
      <c r="P517">
        <f t="shared" si="159"/>
        <v>0</v>
      </c>
      <c r="Q517">
        <f t="shared" si="160"/>
        <v>0</v>
      </c>
      <c r="R517">
        <f t="shared" si="161"/>
        <v>0</v>
      </c>
      <c r="S517">
        <f t="shared" si="162"/>
        <v>0</v>
      </c>
      <c r="T517">
        <f t="shared" si="163"/>
        <v>0</v>
      </c>
      <c r="U517">
        <f t="shared" si="164"/>
        <v>0</v>
      </c>
      <c r="V517">
        <f t="shared" si="165"/>
        <v>0</v>
      </c>
      <c r="W517" t="s">
        <v>39</v>
      </c>
      <c r="X517">
        <f t="shared" si="166"/>
        <v>1</v>
      </c>
      <c r="Y517">
        <f t="shared" si="167"/>
        <v>0</v>
      </c>
      <c r="Z517">
        <v>3</v>
      </c>
      <c r="AA517">
        <f t="shared" si="168"/>
        <v>0.5</v>
      </c>
      <c r="AB517" t="s">
        <v>46</v>
      </c>
      <c r="AC517">
        <f t="shared" si="169"/>
        <v>0</v>
      </c>
      <c r="AD517">
        <f t="shared" si="170"/>
        <v>0</v>
      </c>
      <c r="AE517" t="s">
        <v>41</v>
      </c>
      <c r="AF517">
        <f>IF(AE517="website",1,0)</f>
        <v>1</v>
      </c>
    </row>
    <row r="518" spans="1:32">
      <c r="A518" t="s">
        <v>1124</v>
      </c>
      <c r="B518" t="s">
        <v>33</v>
      </c>
      <c r="C518" s="3">
        <f t="shared" si="152"/>
        <v>0</v>
      </c>
      <c r="D518">
        <f t="shared" si="153"/>
        <v>1</v>
      </c>
      <c r="E518" t="s">
        <v>1125</v>
      </c>
      <c r="F518" t="s">
        <v>798</v>
      </c>
      <c r="G518" s="1">
        <v>21629</v>
      </c>
      <c r="H518" s="2">
        <f t="shared" ca="1" si="154"/>
        <v>67</v>
      </c>
      <c r="I518" s="2">
        <f t="shared" ca="1" si="155"/>
        <v>0.6</v>
      </c>
      <c r="J518" t="s">
        <v>45</v>
      </c>
      <c r="K518" t="s">
        <v>37</v>
      </c>
      <c r="L518">
        <f t="shared" si="156"/>
        <v>1</v>
      </c>
      <c r="M518">
        <f t="shared" si="157"/>
        <v>0</v>
      </c>
      <c r="N518">
        <f t="shared" si="158"/>
        <v>0</v>
      </c>
      <c r="O518" t="s">
        <v>38</v>
      </c>
      <c r="P518">
        <f t="shared" si="159"/>
        <v>1</v>
      </c>
      <c r="Q518">
        <f t="shared" si="160"/>
        <v>0</v>
      </c>
      <c r="R518">
        <f t="shared" si="161"/>
        <v>0</v>
      </c>
      <c r="S518">
        <f t="shared" si="162"/>
        <v>0</v>
      </c>
      <c r="T518">
        <f t="shared" si="163"/>
        <v>0</v>
      </c>
      <c r="U518">
        <f t="shared" si="164"/>
        <v>0</v>
      </c>
      <c r="V518">
        <f t="shared" si="165"/>
        <v>0</v>
      </c>
      <c r="W518" t="s">
        <v>39</v>
      </c>
      <c r="X518">
        <f t="shared" si="166"/>
        <v>1</v>
      </c>
      <c r="Y518">
        <f t="shared" si="167"/>
        <v>0</v>
      </c>
      <c r="Z518">
        <v>5</v>
      </c>
      <c r="AA518">
        <f t="shared" si="168"/>
        <v>1</v>
      </c>
      <c r="AB518" t="s">
        <v>46</v>
      </c>
      <c r="AC518">
        <f t="shared" si="169"/>
        <v>0</v>
      </c>
      <c r="AD518">
        <f t="shared" si="170"/>
        <v>1</v>
      </c>
      <c r="AE518" t="s">
        <v>90</v>
      </c>
      <c r="AF518">
        <f>IF(AE518="website",1,0)</f>
        <v>0</v>
      </c>
    </row>
    <row r="519" spans="1:32">
      <c r="A519" t="s">
        <v>1126</v>
      </c>
      <c r="B519" t="s">
        <v>55</v>
      </c>
      <c r="C519" s="3">
        <f t="shared" si="152"/>
        <v>1</v>
      </c>
      <c r="D519">
        <f t="shared" si="153"/>
        <v>0</v>
      </c>
      <c r="E519" t="s">
        <v>1127</v>
      </c>
      <c r="F519" t="s">
        <v>57</v>
      </c>
      <c r="G519" s="1">
        <v>22788</v>
      </c>
      <c r="H519" s="2">
        <f t="shared" ca="1" si="154"/>
        <v>64</v>
      </c>
      <c r="I519" s="2">
        <f t="shared" ca="1" si="155"/>
        <v>0.55714285714285716</v>
      </c>
      <c r="J519" t="s">
        <v>36</v>
      </c>
      <c r="K519" t="s">
        <v>37</v>
      </c>
      <c r="L519">
        <f t="shared" si="156"/>
        <v>1</v>
      </c>
      <c r="M519">
        <f t="shared" si="157"/>
        <v>0</v>
      </c>
      <c r="N519">
        <f t="shared" si="158"/>
        <v>0</v>
      </c>
      <c r="O519" t="s">
        <v>717</v>
      </c>
      <c r="P519">
        <f t="shared" si="159"/>
        <v>0</v>
      </c>
      <c r="Q519">
        <f t="shared" si="160"/>
        <v>0</v>
      </c>
      <c r="R519">
        <f t="shared" si="161"/>
        <v>0</v>
      </c>
      <c r="S519">
        <f t="shared" si="162"/>
        <v>0</v>
      </c>
      <c r="T519">
        <f t="shared" si="163"/>
        <v>0</v>
      </c>
      <c r="U519">
        <f t="shared" si="164"/>
        <v>0</v>
      </c>
      <c r="V519">
        <f t="shared" si="165"/>
        <v>0</v>
      </c>
      <c r="W519" t="s">
        <v>39</v>
      </c>
      <c r="X519">
        <f t="shared" si="166"/>
        <v>1</v>
      </c>
      <c r="Y519">
        <f t="shared" si="167"/>
        <v>0</v>
      </c>
      <c r="Z519">
        <v>3</v>
      </c>
      <c r="AA519">
        <f t="shared" si="168"/>
        <v>0.5</v>
      </c>
      <c r="AB519" t="s">
        <v>46</v>
      </c>
      <c r="AC519">
        <f t="shared" si="169"/>
        <v>0</v>
      </c>
      <c r="AD519">
        <f t="shared" si="170"/>
        <v>0</v>
      </c>
      <c r="AE519" t="s">
        <v>41</v>
      </c>
      <c r="AF519">
        <f>IF(AE519="website",1,0)</f>
        <v>1</v>
      </c>
    </row>
    <row r="520" spans="1:32">
      <c r="A520" t="s">
        <v>1128</v>
      </c>
      <c r="B520" t="s">
        <v>33</v>
      </c>
      <c r="C520" s="3">
        <f t="shared" si="152"/>
        <v>0</v>
      </c>
      <c r="D520">
        <f t="shared" si="153"/>
        <v>1</v>
      </c>
      <c r="E520" t="s">
        <v>950</v>
      </c>
      <c r="F520" t="s">
        <v>757</v>
      </c>
      <c r="G520" s="1">
        <v>27671</v>
      </c>
      <c r="H520" s="2">
        <f t="shared" ca="1" si="154"/>
        <v>51</v>
      </c>
      <c r="I520" s="2">
        <f t="shared" ca="1" si="155"/>
        <v>0.37142857142857144</v>
      </c>
      <c r="J520" t="s">
        <v>36</v>
      </c>
      <c r="K520" t="s">
        <v>37</v>
      </c>
      <c r="L520">
        <f t="shared" si="156"/>
        <v>1</v>
      </c>
      <c r="M520">
        <f t="shared" si="157"/>
        <v>0</v>
      </c>
      <c r="N520">
        <f t="shared" si="158"/>
        <v>0</v>
      </c>
      <c r="O520" t="s">
        <v>97</v>
      </c>
      <c r="P520">
        <f t="shared" si="159"/>
        <v>0</v>
      </c>
      <c r="Q520">
        <f t="shared" si="160"/>
        <v>0</v>
      </c>
      <c r="R520">
        <f t="shared" si="161"/>
        <v>0</v>
      </c>
      <c r="S520">
        <f t="shared" si="162"/>
        <v>0</v>
      </c>
      <c r="T520">
        <f t="shared" si="163"/>
        <v>1</v>
      </c>
      <c r="U520">
        <f t="shared" si="164"/>
        <v>0</v>
      </c>
      <c r="V520">
        <f t="shared" si="165"/>
        <v>0</v>
      </c>
      <c r="W520" t="s">
        <v>58</v>
      </c>
      <c r="X520">
        <f t="shared" si="166"/>
        <v>0</v>
      </c>
      <c r="Y520">
        <f t="shared" si="167"/>
        <v>1</v>
      </c>
      <c r="Z520">
        <v>3</v>
      </c>
      <c r="AA520">
        <f t="shared" si="168"/>
        <v>0.5</v>
      </c>
      <c r="AB520" t="s">
        <v>46</v>
      </c>
      <c r="AC520">
        <f t="shared" si="169"/>
        <v>1</v>
      </c>
      <c r="AD520">
        <f t="shared" si="170"/>
        <v>0</v>
      </c>
      <c r="AE520" t="s">
        <v>50</v>
      </c>
      <c r="AF520">
        <f>IF(AE520="website",1,0)</f>
        <v>0</v>
      </c>
    </row>
    <row r="521" spans="1:32">
      <c r="A521" t="s">
        <v>1129</v>
      </c>
      <c r="B521" t="s">
        <v>33</v>
      </c>
      <c r="C521" s="3">
        <f t="shared" si="152"/>
        <v>0</v>
      </c>
      <c r="D521">
        <f t="shared" si="153"/>
        <v>1</v>
      </c>
      <c r="E521" t="s">
        <v>259</v>
      </c>
      <c r="F521" t="s">
        <v>633</v>
      </c>
      <c r="G521" s="1">
        <v>25610</v>
      </c>
      <c r="H521" s="2">
        <f t="shared" ca="1" si="154"/>
        <v>56</v>
      </c>
      <c r="I521" s="2">
        <f t="shared" ca="1" si="155"/>
        <v>0.44285714285714284</v>
      </c>
      <c r="J521" t="s">
        <v>36</v>
      </c>
      <c r="K521" t="s">
        <v>37</v>
      </c>
      <c r="L521">
        <f t="shared" si="156"/>
        <v>1</v>
      </c>
      <c r="M521">
        <f t="shared" si="157"/>
        <v>0</v>
      </c>
      <c r="N521">
        <f t="shared" si="158"/>
        <v>0</v>
      </c>
      <c r="O521" t="s">
        <v>76</v>
      </c>
      <c r="P521">
        <f t="shared" si="159"/>
        <v>0</v>
      </c>
      <c r="Q521">
        <f t="shared" si="160"/>
        <v>1</v>
      </c>
      <c r="R521">
        <f t="shared" si="161"/>
        <v>0</v>
      </c>
      <c r="S521">
        <f t="shared" si="162"/>
        <v>0</v>
      </c>
      <c r="T521">
        <f t="shared" si="163"/>
        <v>0</v>
      </c>
      <c r="U521">
        <f t="shared" si="164"/>
        <v>0</v>
      </c>
      <c r="V521">
        <f t="shared" si="165"/>
        <v>0</v>
      </c>
      <c r="W521" t="s">
        <v>39</v>
      </c>
      <c r="X521">
        <f t="shared" si="166"/>
        <v>1</v>
      </c>
      <c r="Y521">
        <f t="shared" si="167"/>
        <v>0</v>
      </c>
      <c r="Z521">
        <v>3</v>
      </c>
      <c r="AA521">
        <f t="shared" si="168"/>
        <v>0.5</v>
      </c>
      <c r="AB521" t="s">
        <v>40</v>
      </c>
      <c r="AC521">
        <f t="shared" si="169"/>
        <v>1</v>
      </c>
      <c r="AD521">
        <f t="shared" si="170"/>
        <v>0</v>
      </c>
      <c r="AE521" t="s">
        <v>50</v>
      </c>
      <c r="AF521">
        <f>IF(AE521="website",1,0)</f>
        <v>0</v>
      </c>
    </row>
    <row r="522" spans="1:32">
      <c r="A522" t="s">
        <v>1130</v>
      </c>
      <c r="B522" t="s">
        <v>33</v>
      </c>
      <c r="C522" s="3">
        <f t="shared" si="152"/>
        <v>0</v>
      </c>
      <c r="D522">
        <f t="shared" si="153"/>
        <v>1</v>
      </c>
      <c r="E522" t="s">
        <v>747</v>
      </c>
      <c r="F522" t="s">
        <v>720</v>
      </c>
      <c r="G522" s="1">
        <v>24564</v>
      </c>
      <c r="H522" s="2">
        <f t="shared" ca="1" si="154"/>
        <v>59</v>
      </c>
      <c r="I522" s="2">
        <f t="shared" ca="1" si="155"/>
        <v>0.48571428571428571</v>
      </c>
      <c r="J522" t="s">
        <v>36</v>
      </c>
      <c r="K522" t="s">
        <v>65</v>
      </c>
      <c r="L522">
        <f t="shared" si="156"/>
        <v>0</v>
      </c>
      <c r="M522">
        <f t="shared" si="157"/>
        <v>1</v>
      </c>
      <c r="N522">
        <f t="shared" si="158"/>
        <v>0</v>
      </c>
      <c r="O522" t="s">
        <v>642</v>
      </c>
      <c r="P522">
        <f t="shared" si="159"/>
        <v>0</v>
      </c>
      <c r="Q522">
        <f t="shared" si="160"/>
        <v>0</v>
      </c>
      <c r="R522">
        <f t="shared" si="161"/>
        <v>0</v>
      </c>
      <c r="S522">
        <f t="shared" si="162"/>
        <v>0</v>
      </c>
      <c r="T522">
        <f t="shared" si="163"/>
        <v>0</v>
      </c>
      <c r="U522">
        <f t="shared" si="164"/>
        <v>0</v>
      </c>
      <c r="V522">
        <f t="shared" si="165"/>
        <v>0</v>
      </c>
      <c r="W522" t="s">
        <v>39</v>
      </c>
      <c r="X522">
        <f t="shared" si="166"/>
        <v>1</v>
      </c>
      <c r="Y522">
        <f t="shared" si="167"/>
        <v>0</v>
      </c>
      <c r="Z522">
        <v>3</v>
      </c>
      <c r="AA522">
        <f t="shared" si="168"/>
        <v>0.5</v>
      </c>
      <c r="AB522" t="s">
        <v>46</v>
      </c>
      <c r="AC522">
        <f t="shared" si="169"/>
        <v>0</v>
      </c>
      <c r="AD522">
        <f t="shared" si="170"/>
        <v>0</v>
      </c>
      <c r="AE522" t="s">
        <v>41</v>
      </c>
      <c r="AF522">
        <f>IF(AE522="website",1,0)</f>
        <v>1</v>
      </c>
    </row>
    <row r="523" spans="1:32">
      <c r="A523" t="s">
        <v>1131</v>
      </c>
      <c r="B523" t="s">
        <v>33</v>
      </c>
      <c r="C523" s="3">
        <f t="shared" si="152"/>
        <v>0</v>
      </c>
      <c r="D523">
        <f t="shared" si="153"/>
        <v>1</v>
      </c>
      <c r="E523" t="s">
        <v>976</v>
      </c>
      <c r="F523" t="s">
        <v>623</v>
      </c>
      <c r="G523" s="1">
        <v>15535</v>
      </c>
      <c r="H523" s="2">
        <f t="shared" ca="1" si="154"/>
        <v>84</v>
      </c>
      <c r="I523" s="2">
        <f t="shared" ca="1" si="155"/>
        <v>0.84285714285714286</v>
      </c>
      <c r="J523" t="s">
        <v>36</v>
      </c>
      <c r="K523" t="s">
        <v>37</v>
      </c>
      <c r="L523">
        <f t="shared" si="156"/>
        <v>1</v>
      </c>
      <c r="M523">
        <f t="shared" si="157"/>
        <v>0</v>
      </c>
      <c r="N523">
        <f t="shared" si="158"/>
        <v>0</v>
      </c>
      <c r="O523" t="s">
        <v>305</v>
      </c>
      <c r="P523">
        <f t="shared" si="159"/>
        <v>0</v>
      </c>
      <c r="Q523">
        <f t="shared" si="160"/>
        <v>0</v>
      </c>
      <c r="R523">
        <f t="shared" si="161"/>
        <v>0</v>
      </c>
      <c r="S523">
        <f t="shared" si="162"/>
        <v>0</v>
      </c>
      <c r="T523">
        <f t="shared" si="163"/>
        <v>0</v>
      </c>
      <c r="U523">
        <f t="shared" si="164"/>
        <v>0</v>
      </c>
      <c r="V523">
        <f t="shared" si="165"/>
        <v>0</v>
      </c>
      <c r="W523" t="s">
        <v>39</v>
      </c>
      <c r="X523">
        <f t="shared" si="166"/>
        <v>1</v>
      </c>
      <c r="Y523">
        <f t="shared" si="167"/>
        <v>0</v>
      </c>
      <c r="Z523">
        <v>5</v>
      </c>
      <c r="AA523">
        <f t="shared" si="168"/>
        <v>1</v>
      </c>
      <c r="AB523" t="s">
        <v>46</v>
      </c>
      <c r="AC523">
        <f t="shared" si="169"/>
        <v>1</v>
      </c>
      <c r="AD523">
        <f t="shared" si="170"/>
        <v>0</v>
      </c>
      <c r="AE523" t="s">
        <v>50</v>
      </c>
      <c r="AF523">
        <f>IF(AE523="website",1,0)</f>
        <v>0</v>
      </c>
    </row>
    <row r="524" spans="1:32">
      <c r="A524" t="s">
        <v>1132</v>
      </c>
      <c r="B524" t="s">
        <v>33</v>
      </c>
      <c r="C524" s="3">
        <f t="shared" si="152"/>
        <v>0</v>
      </c>
      <c r="D524">
        <f t="shared" si="153"/>
        <v>1</v>
      </c>
      <c r="E524" t="s">
        <v>1133</v>
      </c>
      <c r="F524" t="s">
        <v>513</v>
      </c>
      <c r="G524" s="1">
        <v>22150</v>
      </c>
      <c r="H524" s="2">
        <f t="shared" ca="1" si="154"/>
        <v>66</v>
      </c>
      <c r="I524" s="2">
        <f t="shared" ca="1" si="155"/>
        <v>0.58571428571428574</v>
      </c>
      <c r="J524" t="s">
        <v>36</v>
      </c>
      <c r="K524" t="s">
        <v>37</v>
      </c>
      <c r="L524">
        <f t="shared" si="156"/>
        <v>1</v>
      </c>
      <c r="M524">
        <f t="shared" si="157"/>
        <v>0</v>
      </c>
      <c r="N524">
        <f t="shared" si="158"/>
        <v>0</v>
      </c>
      <c r="O524" t="s">
        <v>137</v>
      </c>
      <c r="P524">
        <f t="shared" si="159"/>
        <v>0</v>
      </c>
      <c r="Q524">
        <f t="shared" si="160"/>
        <v>0</v>
      </c>
      <c r="R524">
        <f t="shared" si="161"/>
        <v>0</v>
      </c>
      <c r="S524">
        <f t="shared" si="162"/>
        <v>0</v>
      </c>
      <c r="T524">
        <f t="shared" si="163"/>
        <v>0</v>
      </c>
      <c r="U524">
        <f t="shared" si="164"/>
        <v>0</v>
      </c>
      <c r="V524">
        <f t="shared" si="165"/>
        <v>0</v>
      </c>
      <c r="W524" t="s">
        <v>39</v>
      </c>
      <c r="X524">
        <f t="shared" si="166"/>
        <v>1</v>
      </c>
      <c r="Y524">
        <f t="shared" si="167"/>
        <v>0</v>
      </c>
      <c r="Z524">
        <v>2</v>
      </c>
      <c r="AA524">
        <f t="shared" si="168"/>
        <v>0.25</v>
      </c>
      <c r="AB524" t="s">
        <v>46</v>
      </c>
      <c r="AC524">
        <f t="shared" si="169"/>
        <v>1</v>
      </c>
      <c r="AD524">
        <f t="shared" si="170"/>
        <v>0</v>
      </c>
      <c r="AE524" t="s">
        <v>50</v>
      </c>
      <c r="AF524">
        <f>IF(AE524="website",1,0)</f>
        <v>0</v>
      </c>
    </row>
    <row r="525" spans="1:32">
      <c r="A525" t="s">
        <v>1134</v>
      </c>
      <c r="B525" t="s">
        <v>33</v>
      </c>
      <c r="C525" s="3">
        <f t="shared" si="152"/>
        <v>0</v>
      </c>
      <c r="D525">
        <f t="shared" si="153"/>
        <v>1</v>
      </c>
      <c r="E525" t="s">
        <v>1125</v>
      </c>
      <c r="F525" t="s">
        <v>798</v>
      </c>
      <c r="G525" s="1">
        <v>19503</v>
      </c>
      <c r="H525" s="2">
        <f t="shared" ca="1" si="154"/>
        <v>73</v>
      </c>
      <c r="I525" s="2">
        <f t="shared" ca="1" si="155"/>
        <v>0.68571428571428572</v>
      </c>
      <c r="J525" t="s">
        <v>45</v>
      </c>
      <c r="K525" t="s">
        <v>37</v>
      </c>
      <c r="L525">
        <f t="shared" si="156"/>
        <v>1</v>
      </c>
      <c r="M525">
        <f t="shared" si="157"/>
        <v>0</v>
      </c>
      <c r="N525">
        <f t="shared" si="158"/>
        <v>0</v>
      </c>
      <c r="O525" t="s">
        <v>565</v>
      </c>
      <c r="P525">
        <f t="shared" si="159"/>
        <v>0</v>
      </c>
      <c r="Q525">
        <f t="shared" si="160"/>
        <v>0</v>
      </c>
      <c r="R525">
        <f t="shared" si="161"/>
        <v>0</v>
      </c>
      <c r="S525">
        <f t="shared" si="162"/>
        <v>0</v>
      </c>
      <c r="T525">
        <f t="shared" si="163"/>
        <v>0</v>
      </c>
      <c r="U525">
        <f t="shared" si="164"/>
        <v>0</v>
      </c>
      <c r="V525">
        <f t="shared" si="165"/>
        <v>0</v>
      </c>
      <c r="W525" t="s">
        <v>39</v>
      </c>
      <c r="X525">
        <f t="shared" si="166"/>
        <v>1</v>
      </c>
      <c r="Y525">
        <f t="shared" si="167"/>
        <v>0</v>
      </c>
      <c r="Z525">
        <v>3</v>
      </c>
      <c r="AA525">
        <f t="shared" si="168"/>
        <v>0.5</v>
      </c>
      <c r="AB525" t="s">
        <v>46</v>
      </c>
      <c r="AC525">
        <f t="shared" si="169"/>
        <v>0</v>
      </c>
      <c r="AD525">
        <f t="shared" si="170"/>
        <v>0</v>
      </c>
      <c r="AE525" t="s">
        <v>41</v>
      </c>
      <c r="AF525">
        <f>IF(AE525="website",1,0)</f>
        <v>1</v>
      </c>
    </row>
    <row r="526" spans="1:32">
      <c r="A526" t="s">
        <v>1135</v>
      </c>
      <c r="B526" t="s">
        <v>33</v>
      </c>
      <c r="C526" s="3">
        <f t="shared" si="152"/>
        <v>0</v>
      </c>
      <c r="D526">
        <f t="shared" si="153"/>
        <v>1</v>
      </c>
      <c r="E526" t="s">
        <v>344</v>
      </c>
      <c r="F526" t="s">
        <v>656</v>
      </c>
      <c r="G526" s="1">
        <v>18426</v>
      </c>
      <c r="H526" s="2">
        <f t="shared" ca="1" si="154"/>
        <v>76</v>
      </c>
      <c r="I526" s="2">
        <f t="shared" ca="1" si="155"/>
        <v>0.72857142857142854</v>
      </c>
      <c r="J526" t="s">
        <v>45</v>
      </c>
      <c r="K526" t="s">
        <v>37</v>
      </c>
      <c r="L526">
        <f t="shared" si="156"/>
        <v>1</v>
      </c>
      <c r="M526">
        <f t="shared" si="157"/>
        <v>0</v>
      </c>
      <c r="N526">
        <f t="shared" si="158"/>
        <v>0</v>
      </c>
      <c r="O526" t="s">
        <v>97</v>
      </c>
      <c r="P526">
        <f t="shared" si="159"/>
        <v>0</v>
      </c>
      <c r="Q526">
        <f t="shared" si="160"/>
        <v>0</v>
      </c>
      <c r="R526">
        <f t="shared" si="161"/>
        <v>0</v>
      </c>
      <c r="S526">
        <f t="shared" si="162"/>
        <v>0</v>
      </c>
      <c r="T526">
        <f t="shared" si="163"/>
        <v>1</v>
      </c>
      <c r="U526">
        <f t="shared" si="164"/>
        <v>0</v>
      </c>
      <c r="V526">
        <f t="shared" si="165"/>
        <v>0</v>
      </c>
      <c r="W526" t="s">
        <v>39</v>
      </c>
      <c r="X526">
        <f t="shared" si="166"/>
        <v>1</v>
      </c>
      <c r="Y526">
        <f t="shared" si="167"/>
        <v>0</v>
      </c>
      <c r="Z526">
        <v>4</v>
      </c>
      <c r="AA526">
        <f t="shared" si="168"/>
        <v>0.75</v>
      </c>
      <c r="AB526" t="s">
        <v>40</v>
      </c>
      <c r="AC526">
        <f t="shared" si="169"/>
        <v>1</v>
      </c>
      <c r="AD526">
        <f t="shared" si="170"/>
        <v>0</v>
      </c>
      <c r="AE526" t="s">
        <v>50</v>
      </c>
      <c r="AF526">
        <f>IF(AE526="website",1,0)</f>
        <v>0</v>
      </c>
    </row>
    <row r="527" spans="1:32">
      <c r="A527" t="s">
        <v>1136</v>
      </c>
      <c r="B527" t="s">
        <v>33</v>
      </c>
      <c r="C527" s="3">
        <f t="shared" si="152"/>
        <v>0</v>
      </c>
      <c r="D527">
        <f t="shared" si="153"/>
        <v>1</v>
      </c>
      <c r="E527" t="s">
        <v>1125</v>
      </c>
      <c r="F527" t="s">
        <v>554</v>
      </c>
      <c r="G527" s="1">
        <v>24896</v>
      </c>
      <c r="H527" s="2">
        <f t="shared" ca="1" si="154"/>
        <v>58</v>
      </c>
      <c r="I527" s="2">
        <f t="shared" ca="1" si="155"/>
        <v>0.47142857142857142</v>
      </c>
      <c r="J527" t="s">
        <v>45</v>
      </c>
      <c r="K527" t="s">
        <v>113</v>
      </c>
      <c r="L527">
        <f t="shared" si="156"/>
        <v>0</v>
      </c>
      <c r="M527">
        <f t="shared" si="157"/>
        <v>0</v>
      </c>
      <c r="N527">
        <f t="shared" si="158"/>
        <v>1</v>
      </c>
      <c r="O527" t="s">
        <v>1137</v>
      </c>
      <c r="P527">
        <f t="shared" si="159"/>
        <v>0</v>
      </c>
      <c r="Q527">
        <f t="shared" si="160"/>
        <v>0</v>
      </c>
      <c r="R527">
        <f t="shared" si="161"/>
        <v>0</v>
      </c>
      <c r="S527">
        <f t="shared" si="162"/>
        <v>0</v>
      </c>
      <c r="T527">
        <f t="shared" si="163"/>
        <v>0</v>
      </c>
      <c r="U527">
        <f t="shared" si="164"/>
        <v>0</v>
      </c>
      <c r="V527">
        <f t="shared" si="165"/>
        <v>0</v>
      </c>
      <c r="W527" t="s">
        <v>39</v>
      </c>
      <c r="X527">
        <f t="shared" si="166"/>
        <v>1</v>
      </c>
      <c r="Y527">
        <f t="shared" si="167"/>
        <v>0</v>
      </c>
      <c r="Z527">
        <v>5</v>
      </c>
      <c r="AA527">
        <f t="shared" si="168"/>
        <v>1</v>
      </c>
      <c r="AB527" t="s">
        <v>46</v>
      </c>
      <c r="AC527">
        <f t="shared" si="169"/>
        <v>0</v>
      </c>
      <c r="AD527">
        <f t="shared" si="170"/>
        <v>0</v>
      </c>
      <c r="AE527" t="s">
        <v>41</v>
      </c>
      <c r="AF527">
        <f>IF(AE527="website",1,0)</f>
        <v>1</v>
      </c>
    </row>
    <row r="528" spans="1:32">
      <c r="A528" t="s">
        <v>1138</v>
      </c>
      <c r="B528" t="s">
        <v>33</v>
      </c>
      <c r="C528" s="3">
        <f t="shared" si="152"/>
        <v>0</v>
      </c>
      <c r="D528">
        <f t="shared" si="153"/>
        <v>1</v>
      </c>
      <c r="E528" t="s">
        <v>865</v>
      </c>
      <c r="F528" t="s">
        <v>728</v>
      </c>
      <c r="G528" s="1">
        <v>29055</v>
      </c>
      <c r="H528" s="2">
        <f t="shared" ca="1" si="154"/>
        <v>47</v>
      </c>
      <c r="I528" s="2">
        <f t="shared" ca="1" si="155"/>
        <v>0.31428571428571428</v>
      </c>
      <c r="J528" t="s">
        <v>45</v>
      </c>
      <c r="K528" t="s">
        <v>37</v>
      </c>
      <c r="L528">
        <f t="shared" si="156"/>
        <v>1</v>
      </c>
      <c r="M528">
        <f t="shared" si="157"/>
        <v>0</v>
      </c>
      <c r="N528">
        <f t="shared" si="158"/>
        <v>0</v>
      </c>
      <c r="O528" t="s">
        <v>38</v>
      </c>
      <c r="P528">
        <f t="shared" si="159"/>
        <v>1</v>
      </c>
      <c r="Q528">
        <f t="shared" si="160"/>
        <v>0</v>
      </c>
      <c r="R528">
        <f t="shared" si="161"/>
        <v>0</v>
      </c>
      <c r="S528">
        <f t="shared" si="162"/>
        <v>0</v>
      </c>
      <c r="T528">
        <f t="shared" si="163"/>
        <v>0</v>
      </c>
      <c r="U528">
        <f t="shared" si="164"/>
        <v>0</v>
      </c>
      <c r="V528">
        <f t="shared" si="165"/>
        <v>0</v>
      </c>
      <c r="W528" t="s">
        <v>39</v>
      </c>
      <c r="X528">
        <f t="shared" si="166"/>
        <v>1</v>
      </c>
      <c r="Y528">
        <f t="shared" si="167"/>
        <v>0</v>
      </c>
      <c r="Z528">
        <v>2</v>
      </c>
      <c r="AA528">
        <f t="shared" si="168"/>
        <v>0.25</v>
      </c>
      <c r="AB528" t="s">
        <v>46</v>
      </c>
      <c r="AC528">
        <f t="shared" si="169"/>
        <v>0</v>
      </c>
      <c r="AD528">
        <f t="shared" si="170"/>
        <v>0</v>
      </c>
      <c r="AE528" t="s">
        <v>41</v>
      </c>
      <c r="AF528">
        <f>IF(AE528="website",1,0)</f>
        <v>1</v>
      </c>
    </row>
    <row r="529" spans="1:32">
      <c r="A529" t="s">
        <v>1139</v>
      </c>
      <c r="B529" t="s">
        <v>33</v>
      </c>
      <c r="C529" s="3">
        <f t="shared" si="152"/>
        <v>0</v>
      </c>
      <c r="D529">
        <f t="shared" si="153"/>
        <v>1</v>
      </c>
      <c r="E529" t="s">
        <v>1140</v>
      </c>
      <c r="F529" t="s">
        <v>840</v>
      </c>
      <c r="G529" s="1">
        <v>36747</v>
      </c>
      <c r="H529" s="2">
        <f t="shared" ca="1" si="154"/>
        <v>26</v>
      </c>
      <c r="I529" s="2">
        <f t="shared" ca="1" si="155"/>
        <v>1.4285714285714285E-2</v>
      </c>
      <c r="J529" t="s">
        <v>45</v>
      </c>
      <c r="K529" t="s">
        <v>37</v>
      </c>
      <c r="L529">
        <f t="shared" si="156"/>
        <v>1</v>
      </c>
      <c r="M529">
        <f t="shared" si="157"/>
        <v>0</v>
      </c>
      <c r="N529">
        <f t="shared" si="158"/>
        <v>0</v>
      </c>
      <c r="O529" t="s">
        <v>565</v>
      </c>
      <c r="P529">
        <f t="shared" si="159"/>
        <v>0</v>
      </c>
      <c r="Q529">
        <f t="shared" si="160"/>
        <v>0</v>
      </c>
      <c r="R529">
        <f t="shared" si="161"/>
        <v>0</v>
      </c>
      <c r="S529">
        <f t="shared" si="162"/>
        <v>0</v>
      </c>
      <c r="T529">
        <f t="shared" si="163"/>
        <v>0</v>
      </c>
      <c r="U529">
        <f t="shared" si="164"/>
        <v>0</v>
      </c>
      <c r="V529">
        <f t="shared" si="165"/>
        <v>0</v>
      </c>
      <c r="W529" t="s">
        <v>58</v>
      </c>
      <c r="X529">
        <f t="shared" si="166"/>
        <v>0</v>
      </c>
      <c r="Y529">
        <f t="shared" si="167"/>
        <v>1</v>
      </c>
      <c r="Z529">
        <v>2</v>
      </c>
      <c r="AA529">
        <f t="shared" si="168"/>
        <v>0.25</v>
      </c>
      <c r="AB529" t="s">
        <v>46</v>
      </c>
      <c r="AC529">
        <f t="shared" si="169"/>
        <v>0</v>
      </c>
      <c r="AD529">
        <f t="shared" si="170"/>
        <v>1</v>
      </c>
      <c r="AE529" t="s">
        <v>90</v>
      </c>
      <c r="AF529">
        <f>IF(AE529="website",1,0)</f>
        <v>0</v>
      </c>
    </row>
    <row r="530" spans="1:32">
      <c r="A530" t="s">
        <v>1141</v>
      </c>
      <c r="B530" t="s">
        <v>33</v>
      </c>
      <c r="C530" s="3">
        <f t="shared" si="152"/>
        <v>0</v>
      </c>
      <c r="D530">
        <f t="shared" si="153"/>
        <v>1</v>
      </c>
      <c r="E530" t="s">
        <v>792</v>
      </c>
      <c r="F530" t="s">
        <v>700</v>
      </c>
      <c r="G530" s="1">
        <v>26982</v>
      </c>
      <c r="H530" s="2">
        <f t="shared" ca="1" si="154"/>
        <v>52</v>
      </c>
      <c r="I530" s="2">
        <f t="shared" ca="1" si="155"/>
        <v>0.38571428571428573</v>
      </c>
      <c r="J530" t="s">
        <v>45</v>
      </c>
      <c r="K530" t="s">
        <v>37</v>
      </c>
      <c r="L530">
        <f t="shared" si="156"/>
        <v>1</v>
      </c>
      <c r="M530">
        <f t="shared" si="157"/>
        <v>0</v>
      </c>
      <c r="N530">
        <f t="shared" si="158"/>
        <v>0</v>
      </c>
      <c r="O530" t="s">
        <v>124</v>
      </c>
      <c r="P530">
        <f t="shared" si="159"/>
        <v>0</v>
      </c>
      <c r="Q530">
        <f t="shared" si="160"/>
        <v>0</v>
      </c>
      <c r="R530">
        <f t="shared" si="161"/>
        <v>0</v>
      </c>
      <c r="S530">
        <f t="shared" si="162"/>
        <v>0</v>
      </c>
      <c r="T530">
        <f t="shared" si="163"/>
        <v>0</v>
      </c>
      <c r="U530">
        <f t="shared" si="164"/>
        <v>1</v>
      </c>
      <c r="V530">
        <f t="shared" si="165"/>
        <v>0</v>
      </c>
      <c r="W530" t="s">
        <v>39</v>
      </c>
      <c r="X530">
        <f t="shared" si="166"/>
        <v>1</v>
      </c>
      <c r="Y530">
        <f t="shared" si="167"/>
        <v>0</v>
      </c>
      <c r="Z530">
        <v>4</v>
      </c>
      <c r="AA530">
        <f t="shared" si="168"/>
        <v>0.75</v>
      </c>
      <c r="AB530" t="s">
        <v>40</v>
      </c>
      <c r="AC530">
        <f t="shared" si="169"/>
        <v>0</v>
      </c>
      <c r="AD530">
        <f t="shared" si="170"/>
        <v>0</v>
      </c>
      <c r="AE530" t="s">
        <v>41</v>
      </c>
      <c r="AF530">
        <f>IF(AE530="website",1,0)</f>
        <v>1</v>
      </c>
    </row>
    <row r="531" spans="1:32">
      <c r="A531" t="s">
        <v>1142</v>
      </c>
      <c r="B531" t="s">
        <v>33</v>
      </c>
      <c r="C531" s="3">
        <f t="shared" si="152"/>
        <v>0</v>
      </c>
      <c r="D531">
        <f t="shared" si="153"/>
        <v>1</v>
      </c>
      <c r="E531" t="s">
        <v>1043</v>
      </c>
      <c r="F531" t="s">
        <v>885</v>
      </c>
      <c r="G531" s="1">
        <v>19244</v>
      </c>
      <c r="H531" s="2">
        <f t="shared" ca="1" si="154"/>
        <v>74</v>
      </c>
      <c r="I531" s="2">
        <f t="shared" ca="1" si="155"/>
        <v>0.7</v>
      </c>
      <c r="J531" t="s">
        <v>36</v>
      </c>
      <c r="K531" t="s">
        <v>37</v>
      </c>
      <c r="L531">
        <f t="shared" si="156"/>
        <v>1</v>
      </c>
      <c r="M531">
        <f t="shared" si="157"/>
        <v>0</v>
      </c>
      <c r="N531">
        <f t="shared" si="158"/>
        <v>0</v>
      </c>
      <c r="O531" t="s">
        <v>183</v>
      </c>
      <c r="P531">
        <f t="shared" si="159"/>
        <v>0</v>
      </c>
      <c r="Q531">
        <f t="shared" si="160"/>
        <v>0</v>
      </c>
      <c r="R531">
        <f t="shared" si="161"/>
        <v>0</v>
      </c>
      <c r="S531">
        <f t="shared" si="162"/>
        <v>0</v>
      </c>
      <c r="T531">
        <f t="shared" si="163"/>
        <v>0</v>
      </c>
      <c r="U531">
        <f t="shared" si="164"/>
        <v>0</v>
      </c>
      <c r="V531">
        <f t="shared" si="165"/>
        <v>0</v>
      </c>
      <c r="W531" t="s">
        <v>39</v>
      </c>
      <c r="X531">
        <f t="shared" si="166"/>
        <v>1</v>
      </c>
      <c r="Y531">
        <f t="shared" si="167"/>
        <v>0</v>
      </c>
      <c r="Z531">
        <v>2</v>
      </c>
      <c r="AA531">
        <f t="shared" si="168"/>
        <v>0.25</v>
      </c>
      <c r="AB531" t="s">
        <v>40</v>
      </c>
      <c r="AC531">
        <f t="shared" si="169"/>
        <v>1</v>
      </c>
      <c r="AD531">
        <f t="shared" si="170"/>
        <v>0</v>
      </c>
      <c r="AE531" t="s">
        <v>50</v>
      </c>
      <c r="AF531">
        <f>IF(AE531="website",1,0)</f>
        <v>0</v>
      </c>
    </row>
    <row r="532" spans="1:32">
      <c r="A532" t="s">
        <v>1143</v>
      </c>
      <c r="B532" t="s">
        <v>33</v>
      </c>
      <c r="C532" s="3">
        <f t="shared" si="152"/>
        <v>0</v>
      </c>
      <c r="D532">
        <f t="shared" si="153"/>
        <v>1</v>
      </c>
      <c r="E532" t="s">
        <v>809</v>
      </c>
      <c r="F532" t="s">
        <v>633</v>
      </c>
      <c r="G532" s="1">
        <v>28022</v>
      </c>
      <c r="H532" s="2">
        <f t="shared" ca="1" si="154"/>
        <v>50</v>
      </c>
      <c r="I532" s="2">
        <f t="shared" ca="1" si="155"/>
        <v>0.35714285714285715</v>
      </c>
      <c r="J532" t="s">
        <v>36</v>
      </c>
      <c r="K532" t="s">
        <v>37</v>
      </c>
      <c r="L532">
        <f t="shared" si="156"/>
        <v>1</v>
      </c>
      <c r="M532">
        <f t="shared" si="157"/>
        <v>0</v>
      </c>
      <c r="N532">
        <f t="shared" si="158"/>
        <v>0</v>
      </c>
      <c r="O532" t="s">
        <v>38</v>
      </c>
      <c r="P532">
        <f t="shared" si="159"/>
        <v>1</v>
      </c>
      <c r="Q532">
        <f t="shared" si="160"/>
        <v>0</v>
      </c>
      <c r="R532">
        <f t="shared" si="161"/>
        <v>0</v>
      </c>
      <c r="S532">
        <f t="shared" si="162"/>
        <v>0</v>
      </c>
      <c r="T532">
        <f t="shared" si="163"/>
        <v>0</v>
      </c>
      <c r="U532">
        <f t="shared" si="164"/>
        <v>0</v>
      </c>
      <c r="V532">
        <f t="shared" si="165"/>
        <v>0</v>
      </c>
      <c r="W532" t="s">
        <v>39</v>
      </c>
      <c r="X532">
        <f t="shared" si="166"/>
        <v>1</v>
      </c>
      <c r="Y532">
        <f t="shared" si="167"/>
        <v>0</v>
      </c>
      <c r="Z532">
        <v>1</v>
      </c>
      <c r="AA532">
        <f t="shared" si="168"/>
        <v>0</v>
      </c>
      <c r="AB532" t="s">
        <v>46</v>
      </c>
      <c r="AC532">
        <f t="shared" si="169"/>
        <v>0</v>
      </c>
      <c r="AD532">
        <f t="shared" si="170"/>
        <v>0</v>
      </c>
      <c r="AE532" t="s">
        <v>41</v>
      </c>
      <c r="AF532">
        <f>IF(AE532="website",1,0)</f>
        <v>1</v>
      </c>
    </row>
    <row r="533" spans="1:32">
      <c r="A533" t="s">
        <v>1144</v>
      </c>
      <c r="B533" t="s">
        <v>33</v>
      </c>
      <c r="C533" s="3">
        <f t="shared" si="152"/>
        <v>0</v>
      </c>
      <c r="D533">
        <f t="shared" si="153"/>
        <v>1</v>
      </c>
      <c r="E533" t="s">
        <v>639</v>
      </c>
      <c r="F533" t="s">
        <v>620</v>
      </c>
      <c r="G533" s="1">
        <v>29079</v>
      </c>
      <c r="H533" s="2">
        <f t="shared" ca="1" si="154"/>
        <v>47</v>
      </c>
      <c r="I533" s="2">
        <f t="shared" ca="1" si="155"/>
        <v>0.31428571428571428</v>
      </c>
      <c r="J533" t="s">
        <v>36</v>
      </c>
      <c r="K533" t="s">
        <v>153</v>
      </c>
      <c r="L533">
        <f t="shared" si="156"/>
        <v>0</v>
      </c>
      <c r="M533">
        <f t="shared" si="157"/>
        <v>0</v>
      </c>
      <c r="N533">
        <f t="shared" si="158"/>
        <v>0</v>
      </c>
      <c r="O533" t="s">
        <v>778</v>
      </c>
      <c r="P533">
        <f t="shared" si="159"/>
        <v>0</v>
      </c>
      <c r="Q533">
        <f t="shared" si="160"/>
        <v>0</v>
      </c>
      <c r="R533">
        <f t="shared" si="161"/>
        <v>0</v>
      </c>
      <c r="S533">
        <f t="shared" si="162"/>
        <v>0</v>
      </c>
      <c r="T533">
        <f t="shared" si="163"/>
        <v>0</v>
      </c>
      <c r="U533">
        <f t="shared" si="164"/>
        <v>0</v>
      </c>
      <c r="V533">
        <f t="shared" si="165"/>
        <v>0</v>
      </c>
      <c r="W533" t="s">
        <v>39</v>
      </c>
      <c r="X533">
        <f t="shared" si="166"/>
        <v>1</v>
      </c>
      <c r="Y533">
        <f t="shared" si="167"/>
        <v>0</v>
      </c>
      <c r="Z533">
        <v>2</v>
      </c>
      <c r="AA533">
        <f t="shared" si="168"/>
        <v>0.25</v>
      </c>
      <c r="AB533" t="s">
        <v>46</v>
      </c>
      <c r="AC533">
        <f t="shared" si="169"/>
        <v>0</v>
      </c>
      <c r="AD533">
        <f t="shared" si="170"/>
        <v>0</v>
      </c>
      <c r="AE533" t="s">
        <v>41</v>
      </c>
      <c r="AF533">
        <f>IF(AE533="website",1,0)</f>
        <v>1</v>
      </c>
    </row>
    <row r="534" spans="1:32">
      <c r="A534" t="s">
        <v>1145</v>
      </c>
      <c r="B534" t="s">
        <v>33</v>
      </c>
      <c r="C534" s="3">
        <f t="shared" si="152"/>
        <v>0</v>
      </c>
      <c r="D534">
        <f t="shared" si="153"/>
        <v>1</v>
      </c>
      <c r="E534" t="s">
        <v>1110</v>
      </c>
      <c r="F534" t="s">
        <v>579</v>
      </c>
      <c r="G534" s="1">
        <v>23260</v>
      </c>
      <c r="H534" s="2">
        <f t="shared" ca="1" si="154"/>
        <v>63</v>
      </c>
      <c r="I534" s="2">
        <f t="shared" ca="1" si="155"/>
        <v>0.54285714285714282</v>
      </c>
      <c r="J534" t="s">
        <v>45</v>
      </c>
      <c r="K534" t="s">
        <v>37</v>
      </c>
      <c r="L534">
        <f t="shared" si="156"/>
        <v>1</v>
      </c>
      <c r="M534">
        <f t="shared" si="157"/>
        <v>0</v>
      </c>
      <c r="N534">
        <f t="shared" si="158"/>
        <v>0</v>
      </c>
      <c r="O534" t="s">
        <v>124</v>
      </c>
      <c r="P534">
        <f t="shared" si="159"/>
        <v>0</v>
      </c>
      <c r="Q534">
        <f t="shared" si="160"/>
        <v>0</v>
      </c>
      <c r="R534">
        <f t="shared" si="161"/>
        <v>0</v>
      </c>
      <c r="S534">
        <f t="shared" si="162"/>
        <v>0</v>
      </c>
      <c r="T534">
        <f t="shared" si="163"/>
        <v>0</v>
      </c>
      <c r="U534">
        <f t="shared" si="164"/>
        <v>1</v>
      </c>
      <c r="V534">
        <f t="shared" si="165"/>
        <v>0</v>
      </c>
      <c r="W534" t="s">
        <v>58</v>
      </c>
      <c r="X534">
        <f t="shared" si="166"/>
        <v>0</v>
      </c>
      <c r="Y534">
        <f t="shared" si="167"/>
        <v>1</v>
      </c>
      <c r="Z534">
        <v>1</v>
      </c>
      <c r="AA534">
        <f t="shared" si="168"/>
        <v>0</v>
      </c>
      <c r="AB534" t="s">
        <v>46</v>
      </c>
      <c r="AC534">
        <f t="shared" si="169"/>
        <v>1</v>
      </c>
      <c r="AD534">
        <f t="shared" si="170"/>
        <v>0</v>
      </c>
      <c r="AE534" t="s">
        <v>50</v>
      </c>
      <c r="AF534">
        <f>IF(AE534="website",1,0)</f>
        <v>0</v>
      </c>
    </row>
    <row r="535" spans="1:32">
      <c r="A535" t="s">
        <v>1146</v>
      </c>
      <c r="B535" t="s">
        <v>33</v>
      </c>
      <c r="C535" s="3">
        <f t="shared" si="152"/>
        <v>0</v>
      </c>
      <c r="D535">
        <f t="shared" si="153"/>
        <v>1</v>
      </c>
      <c r="E535" t="s">
        <v>1147</v>
      </c>
      <c r="F535" t="s">
        <v>364</v>
      </c>
      <c r="G535" s="1">
        <v>21237</v>
      </c>
      <c r="H535" s="2">
        <f t="shared" ca="1" si="154"/>
        <v>68</v>
      </c>
      <c r="I535" s="2">
        <f t="shared" ca="1" si="155"/>
        <v>0.61428571428571432</v>
      </c>
      <c r="J535" t="s">
        <v>45</v>
      </c>
      <c r="K535" t="s">
        <v>37</v>
      </c>
      <c r="L535">
        <f t="shared" si="156"/>
        <v>1</v>
      </c>
      <c r="M535">
        <f t="shared" si="157"/>
        <v>0</v>
      </c>
      <c r="N535">
        <f t="shared" si="158"/>
        <v>0</v>
      </c>
      <c r="O535" t="s">
        <v>38</v>
      </c>
      <c r="P535">
        <f t="shared" si="159"/>
        <v>1</v>
      </c>
      <c r="Q535">
        <f t="shared" si="160"/>
        <v>0</v>
      </c>
      <c r="R535">
        <f t="shared" si="161"/>
        <v>0</v>
      </c>
      <c r="S535">
        <f t="shared" si="162"/>
        <v>0</v>
      </c>
      <c r="T535">
        <f t="shared" si="163"/>
        <v>0</v>
      </c>
      <c r="U535">
        <f t="shared" si="164"/>
        <v>0</v>
      </c>
      <c r="V535">
        <f t="shared" si="165"/>
        <v>0</v>
      </c>
      <c r="W535" t="s">
        <v>58</v>
      </c>
      <c r="X535">
        <f t="shared" si="166"/>
        <v>0</v>
      </c>
      <c r="Y535">
        <f t="shared" si="167"/>
        <v>1</v>
      </c>
      <c r="Z535">
        <v>1</v>
      </c>
      <c r="AA535">
        <f t="shared" si="168"/>
        <v>0</v>
      </c>
      <c r="AB535" t="s">
        <v>46</v>
      </c>
      <c r="AC535">
        <f t="shared" si="169"/>
        <v>1</v>
      </c>
      <c r="AD535">
        <f t="shared" si="170"/>
        <v>0</v>
      </c>
      <c r="AE535" t="s">
        <v>50</v>
      </c>
      <c r="AF535">
        <f>IF(AE535="website",1,0)</f>
        <v>0</v>
      </c>
    </row>
    <row r="536" spans="1:32">
      <c r="A536" t="s">
        <v>1148</v>
      </c>
      <c r="B536" t="s">
        <v>33</v>
      </c>
      <c r="C536" s="3">
        <f t="shared" si="152"/>
        <v>0</v>
      </c>
      <c r="D536">
        <f t="shared" si="153"/>
        <v>1</v>
      </c>
      <c r="E536" t="s">
        <v>921</v>
      </c>
      <c r="F536" t="s">
        <v>720</v>
      </c>
      <c r="G536" s="1">
        <v>32133</v>
      </c>
      <c r="H536" s="2">
        <f t="shared" ca="1" si="154"/>
        <v>38</v>
      </c>
      <c r="I536" s="2">
        <f t="shared" ca="1" si="155"/>
        <v>0.18571428571428572</v>
      </c>
      <c r="J536" t="s">
        <v>36</v>
      </c>
      <c r="K536" t="s">
        <v>248</v>
      </c>
      <c r="L536">
        <f t="shared" si="156"/>
        <v>0</v>
      </c>
      <c r="M536">
        <f t="shared" si="157"/>
        <v>0</v>
      </c>
      <c r="N536">
        <f t="shared" si="158"/>
        <v>0</v>
      </c>
      <c r="O536" t="s">
        <v>836</v>
      </c>
      <c r="P536">
        <f t="shared" si="159"/>
        <v>0</v>
      </c>
      <c r="Q536">
        <f t="shared" si="160"/>
        <v>0</v>
      </c>
      <c r="R536">
        <f t="shared" si="161"/>
        <v>0</v>
      </c>
      <c r="S536">
        <f t="shared" si="162"/>
        <v>0</v>
      </c>
      <c r="T536">
        <f t="shared" si="163"/>
        <v>0</v>
      </c>
      <c r="U536">
        <f t="shared" si="164"/>
        <v>0</v>
      </c>
      <c r="V536">
        <f t="shared" si="165"/>
        <v>0</v>
      </c>
      <c r="W536" t="s">
        <v>39</v>
      </c>
      <c r="X536">
        <f t="shared" si="166"/>
        <v>1</v>
      </c>
      <c r="Y536">
        <f t="shared" si="167"/>
        <v>0</v>
      </c>
      <c r="Z536">
        <v>3</v>
      </c>
      <c r="AA536">
        <f t="shared" si="168"/>
        <v>0.5</v>
      </c>
      <c r="AB536" t="s">
        <v>46</v>
      </c>
      <c r="AC536">
        <f t="shared" si="169"/>
        <v>1</v>
      </c>
      <c r="AD536">
        <f t="shared" si="170"/>
        <v>0</v>
      </c>
      <c r="AE536" t="s">
        <v>50</v>
      </c>
      <c r="AF536">
        <f>IF(AE536="website",1,0)</f>
        <v>0</v>
      </c>
    </row>
    <row r="537" spans="1:32">
      <c r="A537" t="s">
        <v>1149</v>
      </c>
      <c r="B537" t="s">
        <v>33</v>
      </c>
      <c r="C537" s="3">
        <f t="shared" si="152"/>
        <v>0</v>
      </c>
      <c r="D537">
        <f t="shared" si="153"/>
        <v>1</v>
      </c>
      <c r="E537" t="s">
        <v>1117</v>
      </c>
      <c r="F537" t="s">
        <v>552</v>
      </c>
      <c r="G537" s="1">
        <v>20528</v>
      </c>
      <c r="H537" s="2">
        <f t="shared" ca="1" si="154"/>
        <v>70</v>
      </c>
      <c r="I537" s="2">
        <f t="shared" ca="1" si="155"/>
        <v>0.6428571428571429</v>
      </c>
      <c r="J537" t="s">
        <v>36</v>
      </c>
      <c r="K537" t="s">
        <v>37</v>
      </c>
      <c r="L537">
        <f t="shared" si="156"/>
        <v>1</v>
      </c>
      <c r="M537">
        <f t="shared" si="157"/>
        <v>0</v>
      </c>
      <c r="N537">
        <f t="shared" si="158"/>
        <v>0</v>
      </c>
      <c r="O537" t="s">
        <v>97</v>
      </c>
      <c r="P537">
        <f t="shared" si="159"/>
        <v>0</v>
      </c>
      <c r="Q537">
        <f t="shared" si="160"/>
        <v>0</v>
      </c>
      <c r="R537">
        <f t="shared" si="161"/>
        <v>0</v>
      </c>
      <c r="S537">
        <f t="shared" si="162"/>
        <v>0</v>
      </c>
      <c r="T537">
        <f t="shared" si="163"/>
        <v>1</v>
      </c>
      <c r="U537">
        <f t="shared" si="164"/>
        <v>0</v>
      </c>
      <c r="V537">
        <f t="shared" si="165"/>
        <v>0</v>
      </c>
      <c r="W537" t="s">
        <v>58</v>
      </c>
      <c r="X537">
        <f t="shared" si="166"/>
        <v>0</v>
      </c>
      <c r="Y537">
        <f t="shared" si="167"/>
        <v>1</v>
      </c>
      <c r="Z537">
        <v>5</v>
      </c>
      <c r="AA537">
        <f t="shared" si="168"/>
        <v>1</v>
      </c>
      <c r="AB537" t="s">
        <v>40</v>
      </c>
      <c r="AC537">
        <f t="shared" si="169"/>
        <v>0</v>
      </c>
      <c r="AD537">
        <f t="shared" si="170"/>
        <v>0</v>
      </c>
      <c r="AE537" t="s">
        <v>41</v>
      </c>
      <c r="AF537">
        <f>IF(AE537="website",1,0)</f>
        <v>1</v>
      </c>
    </row>
    <row r="538" spans="1:32">
      <c r="A538" t="s">
        <v>1150</v>
      </c>
      <c r="B538" t="s">
        <v>33</v>
      </c>
      <c r="C538" s="3">
        <f t="shared" si="152"/>
        <v>0</v>
      </c>
      <c r="D538">
        <f t="shared" si="153"/>
        <v>1</v>
      </c>
      <c r="E538" t="s">
        <v>744</v>
      </c>
      <c r="F538" t="s">
        <v>728</v>
      </c>
      <c r="G538" s="1">
        <v>22761</v>
      </c>
      <c r="H538" s="2">
        <f t="shared" ca="1" si="154"/>
        <v>64</v>
      </c>
      <c r="I538" s="2">
        <f t="shared" ca="1" si="155"/>
        <v>0.55714285714285716</v>
      </c>
      <c r="J538" t="s">
        <v>45</v>
      </c>
      <c r="K538" t="s">
        <v>37</v>
      </c>
      <c r="L538">
        <f t="shared" si="156"/>
        <v>1</v>
      </c>
      <c r="M538">
        <f t="shared" si="157"/>
        <v>0</v>
      </c>
      <c r="N538">
        <f t="shared" si="158"/>
        <v>0</v>
      </c>
      <c r="O538" t="s">
        <v>600</v>
      </c>
      <c r="P538">
        <f t="shared" si="159"/>
        <v>0</v>
      </c>
      <c r="Q538">
        <f t="shared" si="160"/>
        <v>0</v>
      </c>
      <c r="R538">
        <f t="shared" si="161"/>
        <v>0</v>
      </c>
      <c r="S538">
        <f t="shared" si="162"/>
        <v>0</v>
      </c>
      <c r="T538">
        <f t="shared" si="163"/>
        <v>0</v>
      </c>
      <c r="U538">
        <f t="shared" si="164"/>
        <v>0</v>
      </c>
      <c r="V538">
        <f t="shared" si="165"/>
        <v>0</v>
      </c>
      <c r="W538" t="s">
        <v>39</v>
      </c>
      <c r="X538">
        <f t="shared" si="166"/>
        <v>1</v>
      </c>
      <c r="Y538">
        <f t="shared" si="167"/>
        <v>0</v>
      </c>
      <c r="Z538">
        <v>2</v>
      </c>
      <c r="AA538">
        <f t="shared" si="168"/>
        <v>0.25</v>
      </c>
      <c r="AB538" t="s">
        <v>46</v>
      </c>
      <c r="AC538">
        <f t="shared" si="169"/>
        <v>0</v>
      </c>
      <c r="AD538">
        <f t="shared" si="170"/>
        <v>1</v>
      </c>
      <c r="AE538" t="s">
        <v>90</v>
      </c>
      <c r="AF538">
        <f>IF(AE538="website",1,0)</f>
        <v>0</v>
      </c>
    </row>
    <row r="539" spans="1:32">
      <c r="A539" t="s">
        <v>1151</v>
      </c>
      <c r="B539" t="s">
        <v>33</v>
      </c>
      <c r="C539" s="3">
        <f t="shared" si="152"/>
        <v>0</v>
      </c>
      <c r="D539">
        <f t="shared" si="153"/>
        <v>1</v>
      </c>
      <c r="E539" t="s">
        <v>918</v>
      </c>
      <c r="F539" t="s">
        <v>599</v>
      </c>
      <c r="G539" s="1">
        <v>25316</v>
      </c>
      <c r="H539" s="2">
        <f t="shared" ca="1" si="154"/>
        <v>57</v>
      </c>
      <c r="I539" s="2">
        <f t="shared" ca="1" si="155"/>
        <v>0.45714285714285713</v>
      </c>
      <c r="J539" t="s">
        <v>45</v>
      </c>
      <c r="K539" t="s">
        <v>37</v>
      </c>
      <c r="L539">
        <f t="shared" si="156"/>
        <v>1</v>
      </c>
      <c r="M539">
        <f t="shared" si="157"/>
        <v>0</v>
      </c>
      <c r="N539">
        <f t="shared" si="158"/>
        <v>0</v>
      </c>
      <c r="O539" t="s">
        <v>38</v>
      </c>
      <c r="P539">
        <f t="shared" si="159"/>
        <v>1</v>
      </c>
      <c r="Q539">
        <f t="shared" si="160"/>
        <v>0</v>
      </c>
      <c r="R539">
        <f t="shared" si="161"/>
        <v>0</v>
      </c>
      <c r="S539">
        <f t="shared" si="162"/>
        <v>0</v>
      </c>
      <c r="T539">
        <f t="shared" si="163"/>
        <v>0</v>
      </c>
      <c r="U539">
        <f t="shared" si="164"/>
        <v>0</v>
      </c>
      <c r="V539">
        <f t="shared" si="165"/>
        <v>0</v>
      </c>
      <c r="W539" t="s">
        <v>39</v>
      </c>
      <c r="X539">
        <f t="shared" si="166"/>
        <v>1</v>
      </c>
      <c r="Y539">
        <f t="shared" si="167"/>
        <v>0</v>
      </c>
      <c r="Z539">
        <v>1</v>
      </c>
      <c r="AA539">
        <f t="shared" si="168"/>
        <v>0</v>
      </c>
      <c r="AB539" t="s">
        <v>40</v>
      </c>
      <c r="AC539">
        <f t="shared" si="169"/>
        <v>1</v>
      </c>
      <c r="AD539">
        <f t="shared" si="170"/>
        <v>0</v>
      </c>
      <c r="AE539" t="s">
        <v>50</v>
      </c>
      <c r="AF539">
        <f>IF(AE539="website",1,0)</f>
        <v>0</v>
      </c>
    </row>
    <row r="540" spans="1:32">
      <c r="A540" t="s">
        <v>1152</v>
      </c>
      <c r="B540" t="s">
        <v>33</v>
      </c>
      <c r="C540" s="3">
        <f t="shared" si="152"/>
        <v>0</v>
      </c>
      <c r="D540">
        <f t="shared" si="153"/>
        <v>1</v>
      </c>
      <c r="E540" t="s">
        <v>590</v>
      </c>
      <c r="F540" t="s">
        <v>773</v>
      </c>
      <c r="G540" s="1">
        <v>33294</v>
      </c>
      <c r="H540" s="2">
        <f t="shared" ca="1" si="154"/>
        <v>35</v>
      </c>
      <c r="I540" s="2">
        <f t="shared" ca="1" si="155"/>
        <v>0.14285714285714285</v>
      </c>
      <c r="J540" t="s">
        <v>45</v>
      </c>
      <c r="K540" t="s">
        <v>37</v>
      </c>
      <c r="L540">
        <f t="shared" si="156"/>
        <v>1</v>
      </c>
      <c r="M540">
        <f t="shared" si="157"/>
        <v>0</v>
      </c>
      <c r="N540">
        <f t="shared" si="158"/>
        <v>0</v>
      </c>
      <c r="O540" t="s">
        <v>38</v>
      </c>
      <c r="P540">
        <f t="shared" si="159"/>
        <v>1</v>
      </c>
      <c r="Q540">
        <f t="shared" si="160"/>
        <v>0</v>
      </c>
      <c r="R540">
        <f t="shared" si="161"/>
        <v>0</v>
      </c>
      <c r="S540">
        <f t="shared" si="162"/>
        <v>0</v>
      </c>
      <c r="T540">
        <f t="shared" si="163"/>
        <v>0</v>
      </c>
      <c r="U540">
        <f t="shared" si="164"/>
        <v>0</v>
      </c>
      <c r="V540">
        <f t="shared" si="165"/>
        <v>0</v>
      </c>
      <c r="W540" t="s">
        <v>58</v>
      </c>
      <c r="X540">
        <f t="shared" si="166"/>
        <v>0</v>
      </c>
      <c r="Y540">
        <f t="shared" si="167"/>
        <v>1</v>
      </c>
      <c r="Z540">
        <v>1</v>
      </c>
      <c r="AA540">
        <f t="shared" si="168"/>
        <v>0</v>
      </c>
      <c r="AB540" t="s">
        <v>40</v>
      </c>
      <c r="AC540">
        <f t="shared" si="169"/>
        <v>1</v>
      </c>
      <c r="AD540">
        <f t="shared" si="170"/>
        <v>0</v>
      </c>
      <c r="AE540" t="s">
        <v>50</v>
      </c>
      <c r="AF540">
        <f>IF(AE540="website",1,0)</f>
        <v>0</v>
      </c>
    </row>
    <row r="541" spans="1:32">
      <c r="A541" t="s">
        <v>1153</v>
      </c>
      <c r="B541" t="s">
        <v>33</v>
      </c>
      <c r="C541" s="3">
        <f t="shared" si="152"/>
        <v>0</v>
      </c>
      <c r="D541">
        <f t="shared" si="153"/>
        <v>1</v>
      </c>
      <c r="E541" t="s">
        <v>612</v>
      </c>
      <c r="F541" t="s">
        <v>738</v>
      </c>
      <c r="G541" s="1">
        <v>35488</v>
      </c>
      <c r="H541" s="2">
        <f t="shared" ca="1" si="154"/>
        <v>29</v>
      </c>
      <c r="I541" s="2">
        <f t="shared" ca="1" si="155"/>
        <v>5.7142857142857141E-2</v>
      </c>
      <c r="J541" t="s">
        <v>36</v>
      </c>
      <c r="K541" t="s">
        <v>37</v>
      </c>
      <c r="L541">
        <f t="shared" si="156"/>
        <v>1</v>
      </c>
      <c r="M541">
        <f t="shared" si="157"/>
        <v>0</v>
      </c>
      <c r="N541">
        <f t="shared" si="158"/>
        <v>0</v>
      </c>
      <c r="O541" t="s">
        <v>717</v>
      </c>
      <c r="P541">
        <f t="shared" si="159"/>
        <v>0</v>
      </c>
      <c r="Q541">
        <f t="shared" si="160"/>
        <v>0</v>
      </c>
      <c r="R541">
        <f t="shared" si="161"/>
        <v>0</v>
      </c>
      <c r="S541">
        <f t="shared" si="162"/>
        <v>0</v>
      </c>
      <c r="T541">
        <f t="shared" si="163"/>
        <v>0</v>
      </c>
      <c r="U541">
        <f t="shared" si="164"/>
        <v>0</v>
      </c>
      <c r="V541">
        <f t="shared" si="165"/>
        <v>0</v>
      </c>
      <c r="W541" t="s">
        <v>39</v>
      </c>
      <c r="X541">
        <f t="shared" si="166"/>
        <v>1</v>
      </c>
      <c r="Y541">
        <f t="shared" si="167"/>
        <v>0</v>
      </c>
      <c r="Z541">
        <v>3</v>
      </c>
      <c r="AA541">
        <f t="shared" si="168"/>
        <v>0.5</v>
      </c>
      <c r="AB541" t="s">
        <v>46</v>
      </c>
      <c r="AC541">
        <f t="shared" si="169"/>
        <v>1</v>
      </c>
      <c r="AD541">
        <f t="shared" si="170"/>
        <v>0</v>
      </c>
      <c r="AE541" t="s">
        <v>50</v>
      </c>
      <c r="AF541">
        <f>IF(AE541="website",1,0)</f>
        <v>0</v>
      </c>
    </row>
    <row r="542" spans="1:32">
      <c r="A542" t="s">
        <v>1154</v>
      </c>
      <c r="B542" t="s">
        <v>33</v>
      </c>
      <c r="C542" s="3">
        <f t="shared" si="152"/>
        <v>0</v>
      </c>
      <c r="D542">
        <f t="shared" si="153"/>
        <v>1</v>
      </c>
      <c r="E542" t="s">
        <v>761</v>
      </c>
      <c r="F542" t="s">
        <v>714</v>
      </c>
      <c r="G542" s="1">
        <v>36607</v>
      </c>
      <c r="H542" s="2">
        <f t="shared" ca="1" si="154"/>
        <v>26</v>
      </c>
      <c r="I542" s="2">
        <f t="shared" ca="1" si="155"/>
        <v>1.4285714285714285E-2</v>
      </c>
      <c r="J542" t="s">
        <v>45</v>
      </c>
      <c r="K542" t="s">
        <v>248</v>
      </c>
      <c r="L542">
        <f t="shared" si="156"/>
        <v>0</v>
      </c>
      <c r="M542">
        <f t="shared" si="157"/>
        <v>0</v>
      </c>
      <c r="N542">
        <f t="shared" si="158"/>
        <v>0</v>
      </c>
      <c r="O542" t="s">
        <v>249</v>
      </c>
      <c r="P542">
        <f t="shared" si="159"/>
        <v>0</v>
      </c>
      <c r="Q542">
        <f t="shared" si="160"/>
        <v>0</v>
      </c>
      <c r="R542">
        <f t="shared" si="161"/>
        <v>0</v>
      </c>
      <c r="S542">
        <f t="shared" si="162"/>
        <v>0</v>
      </c>
      <c r="T542">
        <f t="shared" si="163"/>
        <v>0</v>
      </c>
      <c r="U542">
        <f t="shared" si="164"/>
        <v>0</v>
      </c>
      <c r="V542">
        <f t="shared" si="165"/>
        <v>0</v>
      </c>
      <c r="W542" t="s">
        <v>39</v>
      </c>
      <c r="X542">
        <f t="shared" si="166"/>
        <v>1</v>
      </c>
      <c r="Y542">
        <f t="shared" si="167"/>
        <v>0</v>
      </c>
      <c r="Z542">
        <v>3</v>
      </c>
      <c r="AA542">
        <f t="shared" si="168"/>
        <v>0.5</v>
      </c>
      <c r="AB542" t="s">
        <v>46</v>
      </c>
      <c r="AC542">
        <f t="shared" si="169"/>
        <v>1</v>
      </c>
      <c r="AD542">
        <f t="shared" si="170"/>
        <v>0</v>
      </c>
      <c r="AE542" t="s">
        <v>50</v>
      </c>
      <c r="AF542">
        <f>IF(AE542="website",1,0)</f>
        <v>0</v>
      </c>
    </row>
    <row r="543" spans="1:32">
      <c r="A543" t="s">
        <v>1155</v>
      </c>
      <c r="B543" t="s">
        <v>55</v>
      </c>
      <c r="C543" s="3">
        <f t="shared" si="152"/>
        <v>1</v>
      </c>
      <c r="D543">
        <f t="shared" si="153"/>
        <v>0</v>
      </c>
      <c r="E543" t="s">
        <v>1127</v>
      </c>
      <c r="F543" t="s">
        <v>57</v>
      </c>
      <c r="G543" s="1">
        <v>31316</v>
      </c>
      <c r="H543" s="2">
        <f t="shared" ca="1" si="154"/>
        <v>41</v>
      </c>
      <c r="I543" s="2">
        <f t="shared" ca="1" si="155"/>
        <v>0.22857142857142856</v>
      </c>
      <c r="J543" t="s">
        <v>45</v>
      </c>
      <c r="K543" t="s">
        <v>158</v>
      </c>
      <c r="L543">
        <f t="shared" si="156"/>
        <v>0</v>
      </c>
      <c r="M543">
        <f t="shared" si="157"/>
        <v>0</v>
      </c>
      <c r="N543">
        <f t="shared" si="158"/>
        <v>0</v>
      </c>
      <c r="O543" t="s">
        <v>159</v>
      </c>
      <c r="P543">
        <f t="shared" si="159"/>
        <v>0</v>
      </c>
      <c r="Q543">
        <f t="shared" si="160"/>
        <v>0</v>
      </c>
      <c r="R543">
        <f t="shared" si="161"/>
        <v>0</v>
      </c>
      <c r="S543">
        <f t="shared" si="162"/>
        <v>0</v>
      </c>
      <c r="T543">
        <f t="shared" si="163"/>
        <v>0</v>
      </c>
      <c r="U543">
        <f t="shared" si="164"/>
        <v>0</v>
      </c>
      <c r="V543">
        <f t="shared" si="165"/>
        <v>0</v>
      </c>
      <c r="W543" t="s">
        <v>39</v>
      </c>
      <c r="X543">
        <f t="shared" si="166"/>
        <v>1</v>
      </c>
      <c r="Y543">
        <f t="shared" si="167"/>
        <v>0</v>
      </c>
      <c r="Z543">
        <v>3</v>
      </c>
      <c r="AA543">
        <f t="shared" si="168"/>
        <v>0.5</v>
      </c>
      <c r="AB543" t="s">
        <v>46</v>
      </c>
      <c r="AC543">
        <f t="shared" si="169"/>
        <v>0</v>
      </c>
      <c r="AD543">
        <f t="shared" si="170"/>
        <v>0</v>
      </c>
      <c r="AE543" t="s">
        <v>41</v>
      </c>
      <c r="AF543">
        <f>IF(AE543="website",1,0)</f>
        <v>1</v>
      </c>
    </row>
    <row r="544" spans="1:32">
      <c r="A544" t="s">
        <v>1156</v>
      </c>
      <c r="B544" t="s">
        <v>33</v>
      </c>
      <c r="C544" s="3">
        <f t="shared" si="152"/>
        <v>0</v>
      </c>
      <c r="D544">
        <f t="shared" si="153"/>
        <v>1</v>
      </c>
      <c r="E544" t="s">
        <v>817</v>
      </c>
      <c r="F544" t="s">
        <v>538</v>
      </c>
      <c r="G544" s="1">
        <v>17371</v>
      </c>
      <c r="H544" s="2">
        <f t="shared" ca="1" si="154"/>
        <v>79</v>
      </c>
      <c r="I544" s="2">
        <f t="shared" ca="1" si="155"/>
        <v>0.77142857142857146</v>
      </c>
      <c r="J544" t="s">
        <v>36</v>
      </c>
      <c r="K544" t="s">
        <v>37</v>
      </c>
      <c r="L544">
        <f t="shared" si="156"/>
        <v>1</v>
      </c>
      <c r="M544">
        <f t="shared" si="157"/>
        <v>0</v>
      </c>
      <c r="N544">
        <f t="shared" si="158"/>
        <v>0</v>
      </c>
      <c r="O544" t="s">
        <v>592</v>
      </c>
      <c r="P544">
        <f t="shared" si="159"/>
        <v>0</v>
      </c>
      <c r="Q544">
        <f t="shared" si="160"/>
        <v>0</v>
      </c>
      <c r="R544">
        <f t="shared" si="161"/>
        <v>0</v>
      </c>
      <c r="S544">
        <f t="shared" si="162"/>
        <v>0</v>
      </c>
      <c r="T544">
        <f t="shared" si="163"/>
        <v>0</v>
      </c>
      <c r="U544">
        <f t="shared" si="164"/>
        <v>0</v>
      </c>
      <c r="V544">
        <f t="shared" si="165"/>
        <v>0</v>
      </c>
      <c r="W544" t="s">
        <v>39</v>
      </c>
      <c r="X544">
        <f t="shared" si="166"/>
        <v>1</v>
      </c>
      <c r="Y544">
        <f t="shared" si="167"/>
        <v>0</v>
      </c>
      <c r="Z544">
        <v>2</v>
      </c>
      <c r="AA544">
        <f t="shared" si="168"/>
        <v>0.25</v>
      </c>
      <c r="AB544" t="s">
        <v>40</v>
      </c>
      <c r="AC544">
        <f t="shared" si="169"/>
        <v>0</v>
      </c>
      <c r="AD544">
        <f t="shared" si="170"/>
        <v>0</v>
      </c>
      <c r="AE544" t="s">
        <v>41</v>
      </c>
      <c r="AF544">
        <f>IF(AE544="website",1,0)</f>
        <v>1</v>
      </c>
    </row>
    <row r="545" spans="1:32">
      <c r="A545" t="s">
        <v>1157</v>
      </c>
      <c r="B545" t="s">
        <v>33</v>
      </c>
      <c r="C545" s="3">
        <f t="shared" si="152"/>
        <v>0</v>
      </c>
      <c r="D545">
        <f t="shared" si="153"/>
        <v>1</v>
      </c>
      <c r="E545" t="s">
        <v>191</v>
      </c>
      <c r="F545" t="s">
        <v>633</v>
      </c>
      <c r="G545" s="1">
        <v>27318</v>
      </c>
      <c r="H545" s="2">
        <f t="shared" ca="1" si="154"/>
        <v>51</v>
      </c>
      <c r="I545" s="2">
        <f t="shared" ca="1" si="155"/>
        <v>0.37142857142857144</v>
      </c>
      <c r="J545" t="s">
        <v>45</v>
      </c>
      <c r="K545" t="s">
        <v>37</v>
      </c>
      <c r="L545">
        <f t="shared" si="156"/>
        <v>1</v>
      </c>
      <c r="M545">
        <f t="shared" si="157"/>
        <v>0</v>
      </c>
      <c r="N545">
        <f t="shared" si="158"/>
        <v>0</v>
      </c>
      <c r="O545" t="s">
        <v>183</v>
      </c>
      <c r="P545">
        <f t="shared" si="159"/>
        <v>0</v>
      </c>
      <c r="Q545">
        <f t="shared" si="160"/>
        <v>0</v>
      </c>
      <c r="R545">
        <f t="shared" si="161"/>
        <v>0</v>
      </c>
      <c r="S545">
        <f t="shared" si="162"/>
        <v>0</v>
      </c>
      <c r="T545">
        <f t="shared" si="163"/>
        <v>0</v>
      </c>
      <c r="U545">
        <f t="shared" si="164"/>
        <v>0</v>
      </c>
      <c r="V545">
        <f t="shared" si="165"/>
        <v>0</v>
      </c>
      <c r="W545" t="s">
        <v>39</v>
      </c>
      <c r="X545">
        <f t="shared" si="166"/>
        <v>1</v>
      </c>
      <c r="Y545">
        <f t="shared" si="167"/>
        <v>0</v>
      </c>
      <c r="Z545">
        <v>2</v>
      </c>
      <c r="AA545">
        <f t="shared" si="168"/>
        <v>0.25</v>
      </c>
      <c r="AB545" t="s">
        <v>46</v>
      </c>
      <c r="AC545">
        <f t="shared" si="169"/>
        <v>0</v>
      </c>
      <c r="AD545">
        <f t="shared" si="170"/>
        <v>0</v>
      </c>
      <c r="AE545" t="s">
        <v>41</v>
      </c>
      <c r="AF545">
        <f>IF(AE545="website",1,0)</f>
        <v>1</v>
      </c>
    </row>
    <row r="546" spans="1:32">
      <c r="A546" t="s">
        <v>1158</v>
      </c>
      <c r="B546" t="s">
        <v>33</v>
      </c>
      <c r="C546" s="3">
        <f t="shared" si="152"/>
        <v>0</v>
      </c>
      <c r="D546">
        <f t="shared" si="153"/>
        <v>1</v>
      </c>
      <c r="E546" t="s">
        <v>792</v>
      </c>
      <c r="F546" t="s">
        <v>928</v>
      </c>
      <c r="G546" s="1">
        <v>15557</v>
      </c>
      <c r="H546" s="2">
        <f t="shared" ca="1" si="154"/>
        <v>84</v>
      </c>
      <c r="I546" s="2">
        <f t="shared" ca="1" si="155"/>
        <v>0.84285714285714286</v>
      </c>
      <c r="J546" t="s">
        <v>45</v>
      </c>
      <c r="K546" t="s">
        <v>37</v>
      </c>
      <c r="L546">
        <f t="shared" si="156"/>
        <v>1</v>
      </c>
      <c r="M546">
        <f t="shared" si="157"/>
        <v>0</v>
      </c>
      <c r="N546">
        <f t="shared" si="158"/>
        <v>0</v>
      </c>
      <c r="O546" t="s">
        <v>137</v>
      </c>
      <c r="P546">
        <f t="shared" si="159"/>
        <v>0</v>
      </c>
      <c r="Q546">
        <f t="shared" si="160"/>
        <v>0</v>
      </c>
      <c r="R546">
        <f t="shared" si="161"/>
        <v>0</v>
      </c>
      <c r="S546">
        <f t="shared" si="162"/>
        <v>0</v>
      </c>
      <c r="T546">
        <f t="shared" si="163"/>
        <v>0</v>
      </c>
      <c r="U546">
        <f t="shared" si="164"/>
        <v>0</v>
      </c>
      <c r="V546">
        <f t="shared" si="165"/>
        <v>0</v>
      </c>
      <c r="W546" t="s">
        <v>39</v>
      </c>
      <c r="X546">
        <f t="shared" si="166"/>
        <v>1</v>
      </c>
      <c r="Y546">
        <f t="shared" si="167"/>
        <v>0</v>
      </c>
      <c r="Z546">
        <v>1</v>
      </c>
      <c r="AA546">
        <f t="shared" si="168"/>
        <v>0</v>
      </c>
      <c r="AB546" t="s">
        <v>40</v>
      </c>
      <c r="AC546">
        <f t="shared" si="169"/>
        <v>1</v>
      </c>
      <c r="AD546">
        <f t="shared" si="170"/>
        <v>0</v>
      </c>
      <c r="AE546" t="s">
        <v>50</v>
      </c>
      <c r="AF546">
        <f>IF(AE546="website",1,0)</f>
        <v>0</v>
      </c>
    </row>
    <row r="547" spans="1:32">
      <c r="A547" t="s">
        <v>1159</v>
      </c>
      <c r="B547" t="s">
        <v>33</v>
      </c>
      <c r="C547" s="3">
        <f t="shared" si="152"/>
        <v>0</v>
      </c>
      <c r="D547">
        <f t="shared" si="153"/>
        <v>1</v>
      </c>
      <c r="E547" t="s">
        <v>852</v>
      </c>
      <c r="F547" t="s">
        <v>882</v>
      </c>
      <c r="G547" s="1">
        <v>24829</v>
      </c>
      <c r="H547" s="2">
        <f t="shared" ca="1" si="154"/>
        <v>58</v>
      </c>
      <c r="I547" s="2">
        <f t="shared" ca="1" si="155"/>
        <v>0.47142857142857142</v>
      </c>
      <c r="J547" t="s">
        <v>45</v>
      </c>
      <c r="K547" t="s">
        <v>65</v>
      </c>
      <c r="L547">
        <f t="shared" si="156"/>
        <v>0</v>
      </c>
      <c r="M547">
        <f t="shared" si="157"/>
        <v>1</v>
      </c>
      <c r="N547">
        <f t="shared" si="158"/>
        <v>0</v>
      </c>
      <c r="O547" t="s">
        <v>723</v>
      </c>
      <c r="P547">
        <f t="shared" si="159"/>
        <v>0</v>
      </c>
      <c r="Q547">
        <f t="shared" si="160"/>
        <v>0</v>
      </c>
      <c r="R547">
        <f t="shared" si="161"/>
        <v>0</v>
      </c>
      <c r="S547">
        <f t="shared" si="162"/>
        <v>0</v>
      </c>
      <c r="T547">
        <f t="shared" si="163"/>
        <v>0</v>
      </c>
      <c r="U547">
        <f t="shared" si="164"/>
        <v>0</v>
      </c>
      <c r="V547">
        <f t="shared" si="165"/>
        <v>0</v>
      </c>
      <c r="W547" t="s">
        <v>39</v>
      </c>
      <c r="X547">
        <f t="shared" si="166"/>
        <v>1</v>
      </c>
      <c r="Y547">
        <f t="shared" si="167"/>
        <v>0</v>
      </c>
      <c r="Z547">
        <v>4</v>
      </c>
      <c r="AA547">
        <f t="shared" si="168"/>
        <v>0.75</v>
      </c>
      <c r="AB547" t="s">
        <v>46</v>
      </c>
      <c r="AC547">
        <f t="shared" si="169"/>
        <v>0</v>
      </c>
      <c r="AD547">
        <f t="shared" si="170"/>
        <v>1</v>
      </c>
      <c r="AE547" t="s">
        <v>90</v>
      </c>
      <c r="AF547">
        <f>IF(AE547="website",1,0)</f>
        <v>0</v>
      </c>
    </row>
    <row r="548" spans="1:32">
      <c r="A548" t="s">
        <v>1160</v>
      </c>
      <c r="B548" t="s">
        <v>33</v>
      </c>
      <c r="C548" s="3">
        <f t="shared" si="152"/>
        <v>0</v>
      </c>
      <c r="D548">
        <f t="shared" si="153"/>
        <v>1</v>
      </c>
      <c r="E548" t="s">
        <v>890</v>
      </c>
      <c r="F548" t="s">
        <v>720</v>
      </c>
      <c r="G548" s="1">
        <v>17430</v>
      </c>
      <c r="H548" s="2">
        <f t="shared" ca="1" si="154"/>
        <v>79</v>
      </c>
      <c r="I548" s="2">
        <f t="shared" ca="1" si="155"/>
        <v>0.77142857142857146</v>
      </c>
      <c r="J548" t="s">
        <v>36</v>
      </c>
      <c r="K548" t="s">
        <v>37</v>
      </c>
      <c r="L548">
        <f t="shared" si="156"/>
        <v>1</v>
      </c>
      <c r="M548">
        <f t="shared" si="157"/>
        <v>0</v>
      </c>
      <c r="N548">
        <f t="shared" si="158"/>
        <v>0</v>
      </c>
      <c r="O548" t="s">
        <v>38</v>
      </c>
      <c r="P548">
        <f t="shared" si="159"/>
        <v>1</v>
      </c>
      <c r="Q548">
        <f t="shared" si="160"/>
        <v>0</v>
      </c>
      <c r="R548">
        <f t="shared" si="161"/>
        <v>0</v>
      </c>
      <c r="S548">
        <f t="shared" si="162"/>
        <v>0</v>
      </c>
      <c r="T548">
        <f t="shared" si="163"/>
        <v>0</v>
      </c>
      <c r="U548">
        <f t="shared" si="164"/>
        <v>0</v>
      </c>
      <c r="V548">
        <f t="shared" si="165"/>
        <v>0</v>
      </c>
      <c r="W548" t="s">
        <v>58</v>
      </c>
      <c r="X548">
        <f t="shared" si="166"/>
        <v>0</v>
      </c>
      <c r="Y548">
        <f t="shared" si="167"/>
        <v>1</v>
      </c>
      <c r="Z548">
        <v>2</v>
      </c>
      <c r="AA548">
        <f t="shared" si="168"/>
        <v>0.25</v>
      </c>
      <c r="AB548" t="s">
        <v>46</v>
      </c>
      <c r="AC548">
        <f t="shared" si="169"/>
        <v>1</v>
      </c>
      <c r="AD548">
        <f t="shared" si="170"/>
        <v>0</v>
      </c>
      <c r="AE548" t="s">
        <v>50</v>
      </c>
      <c r="AF548">
        <f>IF(AE548="website",1,0)</f>
        <v>0</v>
      </c>
    </row>
    <row r="549" spans="1:32">
      <c r="A549" t="s">
        <v>1161</v>
      </c>
      <c r="B549" t="s">
        <v>33</v>
      </c>
      <c r="C549" s="3">
        <f t="shared" si="152"/>
        <v>0</v>
      </c>
      <c r="D549">
        <f t="shared" si="153"/>
        <v>1</v>
      </c>
      <c r="E549" t="s">
        <v>690</v>
      </c>
      <c r="F549" t="s">
        <v>674</v>
      </c>
      <c r="G549" s="1">
        <v>29322</v>
      </c>
      <c r="H549" s="2">
        <f t="shared" ca="1" si="154"/>
        <v>46</v>
      </c>
      <c r="I549" s="2">
        <f t="shared" ca="1" si="155"/>
        <v>0.3</v>
      </c>
      <c r="J549" t="s">
        <v>45</v>
      </c>
      <c r="K549" t="s">
        <v>37</v>
      </c>
      <c r="L549">
        <f t="shared" si="156"/>
        <v>1</v>
      </c>
      <c r="M549">
        <f t="shared" si="157"/>
        <v>0</v>
      </c>
      <c r="N549">
        <f t="shared" si="158"/>
        <v>0</v>
      </c>
      <c r="O549" t="s">
        <v>38</v>
      </c>
      <c r="P549">
        <f t="shared" si="159"/>
        <v>1</v>
      </c>
      <c r="Q549">
        <f t="shared" si="160"/>
        <v>0</v>
      </c>
      <c r="R549">
        <f t="shared" si="161"/>
        <v>0</v>
      </c>
      <c r="S549">
        <f t="shared" si="162"/>
        <v>0</v>
      </c>
      <c r="T549">
        <f t="shared" si="163"/>
        <v>0</v>
      </c>
      <c r="U549">
        <f t="shared" si="164"/>
        <v>0</v>
      </c>
      <c r="V549">
        <f t="shared" si="165"/>
        <v>0</v>
      </c>
      <c r="W549" t="s">
        <v>39</v>
      </c>
      <c r="X549">
        <f t="shared" si="166"/>
        <v>1</v>
      </c>
      <c r="Y549">
        <f t="shared" si="167"/>
        <v>0</v>
      </c>
      <c r="Z549">
        <v>2</v>
      </c>
      <c r="AA549">
        <f t="shared" si="168"/>
        <v>0.25</v>
      </c>
      <c r="AB549" t="s">
        <v>46</v>
      </c>
      <c r="AC549">
        <f t="shared" si="169"/>
        <v>1</v>
      </c>
      <c r="AD549">
        <f t="shared" si="170"/>
        <v>0</v>
      </c>
      <c r="AE549" t="s">
        <v>50</v>
      </c>
      <c r="AF549">
        <f>IF(AE549="website",1,0)</f>
        <v>0</v>
      </c>
    </row>
    <row r="550" spans="1:32">
      <c r="A550" t="s">
        <v>1162</v>
      </c>
      <c r="B550" t="s">
        <v>33</v>
      </c>
      <c r="C550" s="3">
        <f t="shared" si="152"/>
        <v>0</v>
      </c>
      <c r="D550">
        <f t="shared" si="153"/>
        <v>1</v>
      </c>
      <c r="E550" t="s">
        <v>884</v>
      </c>
      <c r="F550" t="s">
        <v>557</v>
      </c>
      <c r="G550" s="1">
        <v>26587</v>
      </c>
      <c r="H550" s="2">
        <f t="shared" ca="1" si="154"/>
        <v>53</v>
      </c>
      <c r="I550" s="2">
        <f t="shared" ca="1" si="155"/>
        <v>0.4</v>
      </c>
      <c r="J550" t="s">
        <v>45</v>
      </c>
      <c r="K550" t="s">
        <v>37</v>
      </c>
      <c r="L550">
        <f t="shared" si="156"/>
        <v>1</v>
      </c>
      <c r="M550">
        <f t="shared" si="157"/>
        <v>0</v>
      </c>
      <c r="N550">
        <f t="shared" si="158"/>
        <v>0</v>
      </c>
      <c r="O550" t="s">
        <v>600</v>
      </c>
      <c r="P550">
        <f t="shared" si="159"/>
        <v>0</v>
      </c>
      <c r="Q550">
        <f t="shared" si="160"/>
        <v>0</v>
      </c>
      <c r="R550">
        <f t="shared" si="161"/>
        <v>0</v>
      </c>
      <c r="S550">
        <f t="shared" si="162"/>
        <v>0</v>
      </c>
      <c r="T550">
        <f t="shared" si="163"/>
        <v>0</v>
      </c>
      <c r="U550">
        <f t="shared" si="164"/>
        <v>0</v>
      </c>
      <c r="V550">
        <f t="shared" si="165"/>
        <v>0</v>
      </c>
      <c r="W550" t="s">
        <v>39</v>
      </c>
      <c r="X550">
        <f t="shared" si="166"/>
        <v>1</v>
      </c>
      <c r="Y550">
        <f t="shared" si="167"/>
        <v>0</v>
      </c>
      <c r="Z550">
        <v>4</v>
      </c>
      <c r="AA550">
        <f t="shared" si="168"/>
        <v>0.75</v>
      </c>
      <c r="AB550" t="s">
        <v>46</v>
      </c>
      <c r="AC550">
        <f t="shared" si="169"/>
        <v>0</v>
      </c>
      <c r="AD550">
        <f t="shared" si="170"/>
        <v>0</v>
      </c>
      <c r="AE550" t="s">
        <v>41</v>
      </c>
      <c r="AF550">
        <f>IF(AE550="website",1,0)</f>
        <v>1</v>
      </c>
    </row>
    <row r="551" spans="1:32">
      <c r="A551" t="s">
        <v>1163</v>
      </c>
      <c r="B551" t="s">
        <v>55</v>
      </c>
      <c r="C551" s="3">
        <f t="shared" si="152"/>
        <v>1</v>
      </c>
      <c r="D551">
        <f t="shared" si="153"/>
        <v>0</v>
      </c>
      <c r="E551" t="s">
        <v>1164</v>
      </c>
      <c r="F551" t="s">
        <v>57</v>
      </c>
      <c r="G551" s="1">
        <v>24571</v>
      </c>
      <c r="H551" s="2">
        <f t="shared" ca="1" si="154"/>
        <v>59</v>
      </c>
      <c r="I551" s="2">
        <f t="shared" ca="1" si="155"/>
        <v>0.48571428571428571</v>
      </c>
      <c r="J551" t="s">
        <v>36</v>
      </c>
      <c r="K551" t="s">
        <v>37</v>
      </c>
      <c r="L551">
        <f t="shared" si="156"/>
        <v>1</v>
      </c>
      <c r="M551">
        <f t="shared" si="157"/>
        <v>0</v>
      </c>
      <c r="N551">
        <f t="shared" si="158"/>
        <v>0</v>
      </c>
      <c r="O551" t="s">
        <v>124</v>
      </c>
      <c r="P551">
        <f t="shared" si="159"/>
        <v>0</v>
      </c>
      <c r="Q551">
        <f t="shared" si="160"/>
        <v>0</v>
      </c>
      <c r="R551">
        <f t="shared" si="161"/>
        <v>0</v>
      </c>
      <c r="S551">
        <f t="shared" si="162"/>
        <v>0</v>
      </c>
      <c r="T551">
        <f t="shared" si="163"/>
        <v>0</v>
      </c>
      <c r="U551">
        <f t="shared" si="164"/>
        <v>1</v>
      </c>
      <c r="V551">
        <f t="shared" si="165"/>
        <v>0</v>
      </c>
      <c r="W551" t="s">
        <v>39</v>
      </c>
      <c r="X551">
        <f t="shared" si="166"/>
        <v>1</v>
      </c>
      <c r="Y551">
        <f t="shared" si="167"/>
        <v>0</v>
      </c>
      <c r="Z551">
        <v>1</v>
      </c>
      <c r="AA551">
        <f t="shared" si="168"/>
        <v>0</v>
      </c>
      <c r="AB551" t="s">
        <v>46</v>
      </c>
      <c r="AC551">
        <f t="shared" si="169"/>
        <v>1</v>
      </c>
      <c r="AD551">
        <f t="shared" si="170"/>
        <v>0</v>
      </c>
      <c r="AE551" t="s">
        <v>50</v>
      </c>
      <c r="AF551">
        <f>IF(AE551="website",1,0)</f>
        <v>0</v>
      </c>
    </row>
    <row r="552" spans="1:32">
      <c r="A552" t="s">
        <v>1165</v>
      </c>
      <c r="B552" t="s">
        <v>33</v>
      </c>
      <c r="C552" s="3">
        <f t="shared" si="152"/>
        <v>0</v>
      </c>
      <c r="D552">
        <f t="shared" si="153"/>
        <v>1</v>
      </c>
      <c r="E552" t="s">
        <v>772</v>
      </c>
      <c r="F552" t="s">
        <v>757</v>
      </c>
      <c r="G552" s="1">
        <v>22053</v>
      </c>
      <c r="H552" s="2">
        <f t="shared" ca="1" si="154"/>
        <v>66</v>
      </c>
      <c r="I552" s="2">
        <f t="shared" ca="1" si="155"/>
        <v>0.58571428571428574</v>
      </c>
      <c r="J552" t="s">
        <v>45</v>
      </c>
      <c r="K552" t="s">
        <v>37</v>
      </c>
      <c r="L552">
        <f t="shared" si="156"/>
        <v>1</v>
      </c>
      <c r="M552">
        <f t="shared" si="157"/>
        <v>0</v>
      </c>
      <c r="N552">
        <f t="shared" si="158"/>
        <v>0</v>
      </c>
      <c r="O552" t="s">
        <v>38</v>
      </c>
      <c r="P552">
        <f t="shared" si="159"/>
        <v>1</v>
      </c>
      <c r="Q552">
        <f t="shared" si="160"/>
        <v>0</v>
      </c>
      <c r="R552">
        <f t="shared" si="161"/>
        <v>0</v>
      </c>
      <c r="S552">
        <f t="shared" si="162"/>
        <v>0</v>
      </c>
      <c r="T552">
        <f t="shared" si="163"/>
        <v>0</v>
      </c>
      <c r="U552">
        <f t="shared" si="164"/>
        <v>0</v>
      </c>
      <c r="V552">
        <f t="shared" si="165"/>
        <v>0</v>
      </c>
      <c r="W552" t="s">
        <v>58</v>
      </c>
      <c r="X552">
        <f t="shared" si="166"/>
        <v>0</v>
      </c>
      <c r="Y552">
        <f t="shared" si="167"/>
        <v>1</v>
      </c>
      <c r="Z552">
        <v>4</v>
      </c>
      <c r="AA552">
        <f t="shared" si="168"/>
        <v>0.75</v>
      </c>
      <c r="AB552" t="s">
        <v>46</v>
      </c>
      <c r="AC552">
        <f t="shared" si="169"/>
        <v>0</v>
      </c>
      <c r="AD552">
        <f t="shared" si="170"/>
        <v>0</v>
      </c>
      <c r="AE552" t="s">
        <v>41</v>
      </c>
      <c r="AF552">
        <f>IF(AE552="website",1,0)</f>
        <v>1</v>
      </c>
    </row>
    <row r="553" spans="1:32">
      <c r="A553" t="s">
        <v>1166</v>
      </c>
      <c r="B553" t="s">
        <v>33</v>
      </c>
      <c r="C553" s="3">
        <f t="shared" si="152"/>
        <v>0</v>
      </c>
      <c r="D553">
        <f t="shared" si="153"/>
        <v>1</v>
      </c>
      <c r="E553" t="s">
        <v>655</v>
      </c>
      <c r="F553" t="s">
        <v>876</v>
      </c>
      <c r="G553" s="1">
        <v>24035</v>
      </c>
      <c r="H553" s="2">
        <f t="shared" ca="1" si="154"/>
        <v>60</v>
      </c>
      <c r="I553" s="2">
        <f t="shared" ca="1" si="155"/>
        <v>0.5</v>
      </c>
      <c r="J553" t="s">
        <v>45</v>
      </c>
      <c r="K553" t="s">
        <v>37</v>
      </c>
      <c r="L553">
        <f t="shared" si="156"/>
        <v>1</v>
      </c>
      <c r="M553">
        <f t="shared" si="157"/>
        <v>0</v>
      </c>
      <c r="N553">
        <f t="shared" si="158"/>
        <v>0</v>
      </c>
      <c r="O553" t="s">
        <v>305</v>
      </c>
      <c r="P553">
        <f t="shared" si="159"/>
        <v>0</v>
      </c>
      <c r="Q553">
        <f t="shared" si="160"/>
        <v>0</v>
      </c>
      <c r="R553">
        <f t="shared" si="161"/>
        <v>0</v>
      </c>
      <c r="S553">
        <f t="shared" si="162"/>
        <v>0</v>
      </c>
      <c r="T553">
        <f t="shared" si="163"/>
        <v>0</v>
      </c>
      <c r="U553">
        <f t="shared" si="164"/>
        <v>0</v>
      </c>
      <c r="V553">
        <f t="shared" si="165"/>
        <v>0</v>
      </c>
      <c r="W553" t="s">
        <v>58</v>
      </c>
      <c r="X553">
        <f t="shared" si="166"/>
        <v>0</v>
      </c>
      <c r="Y553">
        <f t="shared" si="167"/>
        <v>1</v>
      </c>
      <c r="Z553">
        <v>3</v>
      </c>
      <c r="AA553">
        <f t="shared" si="168"/>
        <v>0.5</v>
      </c>
      <c r="AB553" t="s">
        <v>46</v>
      </c>
      <c r="AC553">
        <f t="shared" si="169"/>
        <v>1</v>
      </c>
      <c r="AD553">
        <f t="shared" si="170"/>
        <v>0</v>
      </c>
      <c r="AE553" t="s">
        <v>50</v>
      </c>
      <c r="AF553">
        <f>IF(AE553="website",1,0)</f>
        <v>0</v>
      </c>
    </row>
    <row r="554" spans="1:32">
      <c r="A554" t="s">
        <v>1167</v>
      </c>
      <c r="B554" t="s">
        <v>33</v>
      </c>
      <c r="C554" s="3">
        <f t="shared" si="152"/>
        <v>0</v>
      </c>
      <c r="D554">
        <f t="shared" si="153"/>
        <v>1</v>
      </c>
      <c r="E554" t="s">
        <v>659</v>
      </c>
      <c r="F554" t="s">
        <v>818</v>
      </c>
      <c r="G554" s="1">
        <v>28820</v>
      </c>
      <c r="H554" s="2">
        <f t="shared" ca="1" si="154"/>
        <v>47</v>
      </c>
      <c r="I554" s="2">
        <f t="shared" ca="1" si="155"/>
        <v>0.31428571428571428</v>
      </c>
      <c r="J554" t="s">
        <v>45</v>
      </c>
      <c r="K554" t="s">
        <v>37</v>
      </c>
      <c r="L554">
        <f t="shared" si="156"/>
        <v>1</v>
      </c>
      <c r="M554">
        <f t="shared" si="157"/>
        <v>0</v>
      </c>
      <c r="N554">
        <f t="shared" si="158"/>
        <v>0</v>
      </c>
      <c r="O554" t="s">
        <v>97</v>
      </c>
      <c r="P554">
        <f t="shared" si="159"/>
        <v>0</v>
      </c>
      <c r="Q554">
        <f t="shared" si="160"/>
        <v>0</v>
      </c>
      <c r="R554">
        <f t="shared" si="161"/>
        <v>0</v>
      </c>
      <c r="S554">
        <f t="shared" si="162"/>
        <v>0</v>
      </c>
      <c r="T554">
        <f t="shared" si="163"/>
        <v>1</v>
      </c>
      <c r="U554">
        <f t="shared" si="164"/>
        <v>0</v>
      </c>
      <c r="V554">
        <f t="shared" si="165"/>
        <v>0</v>
      </c>
      <c r="W554" t="s">
        <v>39</v>
      </c>
      <c r="X554">
        <f t="shared" si="166"/>
        <v>1</v>
      </c>
      <c r="Y554">
        <f t="shared" si="167"/>
        <v>0</v>
      </c>
      <c r="Z554">
        <v>3</v>
      </c>
      <c r="AA554">
        <f t="shared" si="168"/>
        <v>0.5</v>
      </c>
      <c r="AB554" t="s">
        <v>46</v>
      </c>
      <c r="AC554">
        <f t="shared" si="169"/>
        <v>0</v>
      </c>
      <c r="AD554">
        <f t="shared" si="170"/>
        <v>0</v>
      </c>
      <c r="AE554" t="s">
        <v>41</v>
      </c>
      <c r="AF554">
        <f>IF(AE554="website",1,0)</f>
        <v>1</v>
      </c>
    </row>
    <row r="555" spans="1:32">
      <c r="A555" t="s">
        <v>1168</v>
      </c>
      <c r="B555" t="s">
        <v>33</v>
      </c>
      <c r="C555" s="3">
        <f t="shared" si="152"/>
        <v>0</v>
      </c>
      <c r="D555">
        <f t="shared" si="153"/>
        <v>1</v>
      </c>
      <c r="E555" t="s">
        <v>744</v>
      </c>
      <c r="F555" t="s">
        <v>620</v>
      </c>
      <c r="G555" s="1">
        <v>17891</v>
      </c>
      <c r="H555" s="2">
        <f t="shared" ca="1" si="154"/>
        <v>77</v>
      </c>
      <c r="I555" s="2">
        <f t="shared" ca="1" si="155"/>
        <v>0.74285714285714288</v>
      </c>
      <c r="J555" t="s">
        <v>45</v>
      </c>
      <c r="K555" t="s">
        <v>819</v>
      </c>
      <c r="L555">
        <f t="shared" si="156"/>
        <v>0</v>
      </c>
      <c r="M555">
        <f t="shared" si="157"/>
        <v>0</v>
      </c>
      <c r="N555">
        <f t="shared" si="158"/>
        <v>0</v>
      </c>
      <c r="O555" t="s">
        <v>1061</v>
      </c>
      <c r="P555">
        <f t="shared" si="159"/>
        <v>0</v>
      </c>
      <c r="Q555">
        <f t="shared" si="160"/>
        <v>0</v>
      </c>
      <c r="R555">
        <f t="shared" si="161"/>
        <v>0</v>
      </c>
      <c r="S555">
        <f t="shared" si="162"/>
        <v>0</v>
      </c>
      <c r="T555">
        <f t="shared" si="163"/>
        <v>0</v>
      </c>
      <c r="U555">
        <f t="shared" si="164"/>
        <v>0</v>
      </c>
      <c r="V555">
        <f t="shared" si="165"/>
        <v>0</v>
      </c>
      <c r="W555" t="s">
        <v>39</v>
      </c>
      <c r="X555">
        <f t="shared" si="166"/>
        <v>1</v>
      </c>
      <c r="Y555">
        <f t="shared" si="167"/>
        <v>0</v>
      </c>
      <c r="Z555">
        <v>1</v>
      </c>
      <c r="AA555">
        <f t="shared" si="168"/>
        <v>0</v>
      </c>
      <c r="AB555" t="s">
        <v>40</v>
      </c>
      <c r="AC555">
        <f t="shared" si="169"/>
        <v>1</v>
      </c>
      <c r="AD555">
        <f t="shared" si="170"/>
        <v>0</v>
      </c>
      <c r="AE555" t="s">
        <v>50</v>
      </c>
      <c r="AF555">
        <f>IF(AE555="website",1,0)</f>
        <v>0</v>
      </c>
    </row>
    <row r="556" spans="1:32">
      <c r="A556" t="s">
        <v>1169</v>
      </c>
      <c r="B556" t="s">
        <v>33</v>
      </c>
      <c r="C556" s="3">
        <f t="shared" si="152"/>
        <v>0</v>
      </c>
      <c r="D556">
        <f t="shared" si="153"/>
        <v>1</v>
      </c>
      <c r="E556" t="s">
        <v>780</v>
      </c>
      <c r="F556" t="s">
        <v>112</v>
      </c>
      <c r="G556" s="1">
        <v>26046</v>
      </c>
      <c r="H556" s="2">
        <f t="shared" ca="1" si="154"/>
        <v>55</v>
      </c>
      <c r="I556" s="2">
        <f t="shared" ca="1" si="155"/>
        <v>0.42857142857142855</v>
      </c>
      <c r="J556" t="s">
        <v>45</v>
      </c>
      <c r="K556" t="s">
        <v>37</v>
      </c>
      <c r="L556">
        <f t="shared" si="156"/>
        <v>1</v>
      </c>
      <c r="M556">
        <f t="shared" si="157"/>
        <v>0</v>
      </c>
      <c r="N556">
        <f t="shared" si="158"/>
        <v>0</v>
      </c>
      <c r="O556" t="s">
        <v>38</v>
      </c>
      <c r="P556">
        <f t="shared" si="159"/>
        <v>1</v>
      </c>
      <c r="Q556">
        <f t="shared" si="160"/>
        <v>0</v>
      </c>
      <c r="R556">
        <f t="shared" si="161"/>
        <v>0</v>
      </c>
      <c r="S556">
        <f t="shared" si="162"/>
        <v>0</v>
      </c>
      <c r="T556">
        <f t="shared" si="163"/>
        <v>0</v>
      </c>
      <c r="U556">
        <f t="shared" si="164"/>
        <v>0</v>
      </c>
      <c r="V556">
        <f t="shared" si="165"/>
        <v>0</v>
      </c>
      <c r="W556" t="s">
        <v>58</v>
      </c>
      <c r="X556">
        <f t="shared" si="166"/>
        <v>0</v>
      </c>
      <c r="Y556">
        <f t="shared" si="167"/>
        <v>1</v>
      </c>
      <c r="Z556">
        <v>4</v>
      </c>
      <c r="AA556">
        <f t="shared" si="168"/>
        <v>0.75</v>
      </c>
      <c r="AB556" t="s">
        <v>40</v>
      </c>
      <c r="AC556">
        <f t="shared" si="169"/>
        <v>1</v>
      </c>
      <c r="AD556">
        <f t="shared" si="170"/>
        <v>0</v>
      </c>
      <c r="AE556" t="s">
        <v>50</v>
      </c>
      <c r="AF556">
        <f>IF(AE556="website",1,0)</f>
        <v>0</v>
      </c>
    </row>
    <row r="557" spans="1:32">
      <c r="A557" t="s">
        <v>1170</v>
      </c>
      <c r="B557" t="s">
        <v>33</v>
      </c>
      <c r="C557" s="3">
        <f t="shared" si="152"/>
        <v>0</v>
      </c>
      <c r="D557">
        <f t="shared" si="153"/>
        <v>1</v>
      </c>
      <c r="E557" t="s">
        <v>842</v>
      </c>
      <c r="F557" t="s">
        <v>557</v>
      </c>
      <c r="G557" s="1">
        <v>21475</v>
      </c>
      <c r="H557" s="2">
        <f t="shared" ca="1" si="154"/>
        <v>67</v>
      </c>
      <c r="I557" s="2">
        <f t="shared" ca="1" si="155"/>
        <v>0.6</v>
      </c>
      <c r="J557" t="s">
        <v>45</v>
      </c>
      <c r="K557" t="s">
        <v>37</v>
      </c>
      <c r="L557">
        <f t="shared" si="156"/>
        <v>1</v>
      </c>
      <c r="M557">
        <f t="shared" si="157"/>
        <v>0</v>
      </c>
      <c r="N557">
        <f t="shared" si="158"/>
        <v>0</v>
      </c>
      <c r="O557" t="s">
        <v>137</v>
      </c>
      <c r="P557">
        <f t="shared" si="159"/>
        <v>0</v>
      </c>
      <c r="Q557">
        <f t="shared" si="160"/>
        <v>0</v>
      </c>
      <c r="R557">
        <f t="shared" si="161"/>
        <v>0</v>
      </c>
      <c r="S557">
        <f t="shared" si="162"/>
        <v>0</v>
      </c>
      <c r="T557">
        <f t="shared" si="163"/>
        <v>0</v>
      </c>
      <c r="U557">
        <f t="shared" si="164"/>
        <v>0</v>
      </c>
      <c r="V557">
        <f t="shared" si="165"/>
        <v>0</v>
      </c>
      <c r="W557" t="s">
        <v>39</v>
      </c>
      <c r="X557">
        <f t="shared" si="166"/>
        <v>1</v>
      </c>
      <c r="Y557">
        <f t="shared" si="167"/>
        <v>0</v>
      </c>
      <c r="Z557">
        <v>5</v>
      </c>
      <c r="AA557">
        <f t="shared" si="168"/>
        <v>1</v>
      </c>
      <c r="AB557" t="s">
        <v>46</v>
      </c>
      <c r="AC557">
        <f t="shared" si="169"/>
        <v>0</v>
      </c>
      <c r="AD557">
        <f t="shared" si="170"/>
        <v>0</v>
      </c>
      <c r="AE557" t="s">
        <v>41</v>
      </c>
      <c r="AF557">
        <f>IF(AE557="website",1,0)</f>
        <v>1</v>
      </c>
    </row>
    <row r="558" spans="1:32">
      <c r="A558" t="s">
        <v>1171</v>
      </c>
      <c r="B558" t="s">
        <v>33</v>
      </c>
      <c r="C558" s="3">
        <f t="shared" si="152"/>
        <v>0</v>
      </c>
      <c r="D558">
        <f t="shared" si="153"/>
        <v>1</v>
      </c>
      <c r="E558" t="s">
        <v>782</v>
      </c>
      <c r="F558" t="s">
        <v>928</v>
      </c>
      <c r="G558" s="1">
        <v>15244</v>
      </c>
      <c r="H558" s="2">
        <f t="shared" ca="1" si="154"/>
        <v>85</v>
      </c>
      <c r="I558" s="2">
        <f t="shared" ca="1" si="155"/>
        <v>0.8571428571428571</v>
      </c>
      <c r="J558" t="s">
        <v>36</v>
      </c>
      <c r="K558" t="s">
        <v>37</v>
      </c>
      <c r="L558">
        <f t="shared" si="156"/>
        <v>1</v>
      </c>
      <c r="M558">
        <f t="shared" si="157"/>
        <v>0</v>
      </c>
      <c r="N558">
        <f t="shared" si="158"/>
        <v>0</v>
      </c>
      <c r="O558" t="s">
        <v>183</v>
      </c>
      <c r="P558">
        <f t="shared" si="159"/>
        <v>0</v>
      </c>
      <c r="Q558">
        <f t="shared" si="160"/>
        <v>0</v>
      </c>
      <c r="R558">
        <f t="shared" si="161"/>
        <v>0</v>
      </c>
      <c r="S558">
        <f t="shared" si="162"/>
        <v>0</v>
      </c>
      <c r="T558">
        <f t="shared" si="163"/>
        <v>0</v>
      </c>
      <c r="U558">
        <f t="shared" si="164"/>
        <v>0</v>
      </c>
      <c r="V558">
        <f t="shared" si="165"/>
        <v>0</v>
      </c>
      <c r="W558" t="s">
        <v>58</v>
      </c>
      <c r="X558">
        <f t="shared" si="166"/>
        <v>0</v>
      </c>
      <c r="Y558">
        <f t="shared" si="167"/>
        <v>1</v>
      </c>
      <c r="Z558">
        <v>2</v>
      </c>
      <c r="AA558">
        <f t="shared" si="168"/>
        <v>0.25</v>
      </c>
      <c r="AB558" t="s">
        <v>46</v>
      </c>
      <c r="AC558">
        <f t="shared" si="169"/>
        <v>0</v>
      </c>
      <c r="AD558">
        <f t="shared" si="170"/>
        <v>0</v>
      </c>
      <c r="AE558" t="s">
        <v>41</v>
      </c>
      <c r="AF558">
        <f>IF(AE558="website",1,0)</f>
        <v>1</v>
      </c>
    </row>
    <row r="559" spans="1:32">
      <c r="A559" t="s">
        <v>1172</v>
      </c>
      <c r="B559" t="s">
        <v>33</v>
      </c>
      <c r="C559" s="3">
        <f t="shared" si="152"/>
        <v>0</v>
      </c>
      <c r="D559">
        <f t="shared" si="153"/>
        <v>1</v>
      </c>
      <c r="E559" t="s">
        <v>606</v>
      </c>
      <c r="F559" t="s">
        <v>669</v>
      </c>
      <c r="G559" s="1">
        <v>27325</v>
      </c>
      <c r="H559" s="2">
        <f t="shared" ca="1" si="154"/>
        <v>51</v>
      </c>
      <c r="I559" s="2">
        <f t="shared" ca="1" si="155"/>
        <v>0.37142857142857144</v>
      </c>
      <c r="J559" t="s">
        <v>36</v>
      </c>
      <c r="K559" t="s">
        <v>276</v>
      </c>
      <c r="L559">
        <f t="shared" si="156"/>
        <v>0</v>
      </c>
      <c r="M559">
        <f t="shared" si="157"/>
        <v>0</v>
      </c>
      <c r="N559">
        <f t="shared" si="158"/>
        <v>0</v>
      </c>
      <c r="O559" t="s">
        <v>1173</v>
      </c>
      <c r="P559">
        <f t="shared" si="159"/>
        <v>0</v>
      </c>
      <c r="Q559">
        <f t="shared" si="160"/>
        <v>0</v>
      </c>
      <c r="R559">
        <f t="shared" si="161"/>
        <v>0</v>
      </c>
      <c r="S559">
        <f t="shared" si="162"/>
        <v>0</v>
      </c>
      <c r="T559">
        <f t="shared" si="163"/>
        <v>0</v>
      </c>
      <c r="U559">
        <f t="shared" si="164"/>
        <v>0</v>
      </c>
      <c r="V559">
        <f t="shared" si="165"/>
        <v>0</v>
      </c>
      <c r="W559" t="s">
        <v>39</v>
      </c>
      <c r="X559">
        <f t="shared" si="166"/>
        <v>1</v>
      </c>
      <c r="Y559">
        <f t="shared" si="167"/>
        <v>0</v>
      </c>
      <c r="Z559">
        <v>3</v>
      </c>
      <c r="AA559">
        <f t="shared" si="168"/>
        <v>0.5</v>
      </c>
      <c r="AB559" t="s">
        <v>46</v>
      </c>
      <c r="AC559">
        <f t="shared" si="169"/>
        <v>0</v>
      </c>
      <c r="AD559">
        <f t="shared" si="170"/>
        <v>0</v>
      </c>
      <c r="AE559" t="s">
        <v>41</v>
      </c>
      <c r="AF559">
        <f>IF(AE559="website",1,0)</f>
        <v>1</v>
      </c>
    </row>
    <row r="560" spans="1:32">
      <c r="A560" t="s">
        <v>1174</v>
      </c>
      <c r="B560" t="s">
        <v>55</v>
      </c>
      <c r="C560" s="3">
        <f t="shared" si="152"/>
        <v>1</v>
      </c>
      <c r="D560">
        <f t="shared" si="153"/>
        <v>0</v>
      </c>
      <c r="E560" t="s">
        <v>1175</v>
      </c>
      <c r="F560" t="s">
        <v>57</v>
      </c>
      <c r="G560" s="1">
        <v>25433</v>
      </c>
      <c r="H560" s="2">
        <f t="shared" ca="1" si="154"/>
        <v>57</v>
      </c>
      <c r="I560" s="2">
        <f t="shared" ca="1" si="155"/>
        <v>0.45714285714285713</v>
      </c>
      <c r="J560" t="s">
        <v>45</v>
      </c>
      <c r="K560" t="s">
        <v>37</v>
      </c>
      <c r="L560">
        <f t="shared" si="156"/>
        <v>1</v>
      </c>
      <c r="M560">
        <f t="shared" si="157"/>
        <v>0</v>
      </c>
      <c r="N560">
        <f t="shared" si="158"/>
        <v>0</v>
      </c>
      <c r="O560" t="s">
        <v>38</v>
      </c>
      <c r="P560">
        <f t="shared" si="159"/>
        <v>1</v>
      </c>
      <c r="Q560">
        <f t="shared" si="160"/>
        <v>0</v>
      </c>
      <c r="R560">
        <f t="shared" si="161"/>
        <v>0</v>
      </c>
      <c r="S560">
        <f t="shared" si="162"/>
        <v>0</v>
      </c>
      <c r="T560">
        <f t="shared" si="163"/>
        <v>0</v>
      </c>
      <c r="U560">
        <f t="shared" si="164"/>
        <v>0</v>
      </c>
      <c r="V560">
        <f t="shared" si="165"/>
        <v>0</v>
      </c>
      <c r="W560" t="s">
        <v>39</v>
      </c>
      <c r="X560">
        <f t="shared" si="166"/>
        <v>1</v>
      </c>
      <c r="Y560">
        <f t="shared" si="167"/>
        <v>0</v>
      </c>
      <c r="Z560">
        <v>5</v>
      </c>
      <c r="AA560">
        <f t="shared" si="168"/>
        <v>1</v>
      </c>
      <c r="AB560" t="s">
        <v>46</v>
      </c>
      <c r="AC560">
        <f t="shared" si="169"/>
        <v>0</v>
      </c>
      <c r="AD560">
        <f t="shared" si="170"/>
        <v>1</v>
      </c>
      <c r="AE560" t="s">
        <v>90</v>
      </c>
      <c r="AF560">
        <f>IF(AE560="website",1,0)</f>
        <v>0</v>
      </c>
    </row>
    <row r="561" spans="1:32">
      <c r="A561" t="s">
        <v>1176</v>
      </c>
      <c r="B561" t="s">
        <v>33</v>
      </c>
      <c r="C561" s="3">
        <f t="shared" si="152"/>
        <v>0</v>
      </c>
      <c r="D561">
        <f t="shared" si="153"/>
        <v>1</v>
      </c>
      <c r="E561" t="s">
        <v>663</v>
      </c>
      <c r="F561" t="s">
        <v>112</v>
      </c>
      <c r="G561" s="1">
        <v>32253</v>
      </c>
      <c r="H561" s="2">
        <f t="shared" ca="1" si="154"/>
        <v>38</v>
      </c>
      <c r="I561" s="2">
        <f t="shared" ca="1" si="155"/>
        <v>0.18571428571428572</v>
      </c>
      <c r="J561" t="s">
        <v>36</v>
      </c>
      <c r="K561" t="s">
        <v>819</v>
      </c>
      <c r="L561">
        <f t="shared" si="156"/>
        <v>0</v>
      </c>
      <c r="M561">
        <f t="shared" si="157"/>
        <v>0</v>
      </c>
      <c r="N561">
        <f t="shared" si="158"/>
        <v>0</v>
      </c>
      <c r="O561" t="s">
        <v>1177</v>
      </c>
      <c r="P561">
        <f t="shared" si="159"/>
        <v>0</v>
      </c>
      <c r="Q561">
        <f t="shared" si="160"/>
        <v>0</v>
      </c>
      <c r="R561">
        <f t="shared" si="161"/>
        <v>0</v>
      </c>
      <c r="S561">
        <f t="shared" si="162"/>
        <v>0</v>
      </c>
      <c r="T561">
        <f t="shared" si="163"/>
        <v>0</v>
      </c>
      <c r="U561">
        <f t="shared" si="164"/>
        <v>0</v>
      </c>
      <c r="V561">
        <f t="shared" si="165"/>
        <v>0</v>
      </c>
      <c r="W561" t="s">
        <v>39</v>
      </c>
      <c r="X561">
        <f t="shared" si="166"/>
        <v>1</v>
      </c>
      <c r="Y561">
        <f t="shared" si="167"/>
        <v>0</v>
      </c>
      <c r="Z561">
        <v>3</v>
      </c>
      <c r="AA561">
        <f t="shared" si="168"/>
        <v>0.5</v>
      </c>
      <c r="AB561" t="s">
        <v>46</v>
      </c>
      <c r="AC561">
        <f t="shared" si="169"/>
        <v>0</v>
      </c>
      <c r="AD561">
        <f t="shared" si="170"/>
        <v>0</v>
      </c>
      <c r="AE561" t="s">
        <v>41</v>
      </c>
      <c r="AF561">
        <f>IF(AE561="website",1,0)</f>
        <v>1</v>
      </c>
    </row>
    <row r="562" spans="1:32">
      <c r="A562" t="s">
        <v>1178</v>
      </c>
      <c r="B562" t="s">
        <v>55</v>
      </c>
      <c r="C562" s="3">
        <f t="shared" si="152"/>
        <v>1</v>
      </c>
      <c r="D562">
        <f t="shared" si="153"/>
        <v>0</v>
      </c>
      <c r="E562" t="s">
        <v>1005</v>
      </c>
      <c r="F562" t="s">
        <v>57</v>
      </c>
      <c r="G562" s="1">
        <v>22970</v>
      </c>
      <c r="H562" s="2">
        <f t="shared" ca="1" si="154"/>
        <v>63</v>
      </c>
      <c r="I562" s="2">
        <f t="shared" ca="1" si="155"/>
        <v>0.54285714285714282</v>
      </c>
      <c r="J562" t="s">
        <v>36</v>
      </c>
      <c r="K562" t="s">
        <v>37</v>
      </c>
      <c r="L562">
        <f t="shared" si="156"/>
        <v>1</v>
      </c>
      <c r="M562">
        <f t="shared" si="157"/>
        <v>0</v>
      </c>
      <c r="N562">
        <f t="shared" si="158"/>
        <v>0</v>
      </c>
      <c r="O562" t="s">
        <v>97</v>
      </c>
      <c r="P562">
        <f t="shared" si="159"/>
        <v>0</v>
      </c>
      <c r="Q562">
        <f t="shared" si="160"/>
        <v>0</v>
      </c>
      <c r="R562">
        <f t="shared" si="161"/>
        <v>0</v>
      </c>
      <c r="S562">
        <f t="shared" si="162"/>
        <v>0</v>
      </c>
      <c r="T562">
        <f t="shared" si="163"/>
        <v>1</v>
      </c>
      <c r="U562">
        <f t="shared" si="164"/>
        <v>0</v>
      </c>
      <c r="V562">
        <f t="shared" si="165"/>
        <v>0</v>
      </c>
      <c r="W562" t="s">
        <v>58</v>
      </c>
      <c r="X562">
        <f t="shared" si="166"/>
        <v>0</v>
      </c>
      <c r="Y562">
        <f t="shared" si="167"/>
        <v>1</v>
      </c>
      <c r="Z562">
        <v>3</v>
      </c>
      <c r="AA562">
        <f t="shared" si="168"/>
        <v>0.5</v>
      </c>
      <c r="AB562" t="s">
        <v>46</v>
      </c>
      <c r="AC562">
        <f t="shared" si="169"/>
        <v>0</v>
      </c>
      <c r="AD562">
        <f t="shared" si="170"/>
        <v>0</v>
      </c>
      <c r="AE562" t="s">
        <v>41</v>
      </c>
      <c r="AF562">
        <f>IF(AE562="website",1,0)</f>
        <v>1</v>
      </c>
    </row>
    <row r="563" spans="1:32">
      <c r="A563" t="s">
        <v>1179</v>
      </c>
      <c r="B563" t="s">
        <v>33</v>
      </c>
      <c r="C563" s="3">
        <f t="shared" si="152"/>
        <v>0</v>
      </c>
      <c r="D563">
        <f t="shared" si="153"/>
        <v>1</v>
      </c>
      <c r="E563" t="s">
        <v>782</v>
      </c>
      <c r="F563" t="s">
        <v>591</v>
      </c>
      <c r="G563" s="1">
        <v>14938</v>
      </c>
      <c r="H563" s="2">
        <f t="shared" ca="1" si="154"/>
        <v>85</v>
      </c>
      <c r="I563" s="2">
        <f t="shared" ca="1" si="155"/>
        <v>0.8571428571428571</v>
      </c>
      <c r="J563" t="s">
        <v>36</v>
      </c>
      <c r="K563" t="s">
        <v>37</v>
      </c>
      <c r="L563">
        <f t="shared" si="156"/>
        <v>1</v>
      </c>
      <c r="M563">
        <f t="shared" si="157"/>
        <v>0</v>
      </c>
      <c r="N563">
        <f t="shared" si="158"/>
        <v>0</v>
      </c>
      <c r="O563" t="s">
        <v>183</v>
      </c>
      <c r="P563">
        <f t="shared" si="159"/>
        <v>0</v>
      </c>
      <c r="Q563">
        <f t="shared" si="160"/>
        <v>0</v>
      </c>
      <c r="R563">
        <f t="shared" si="161"/>
        <v>0</v>
      </c>
      <c r="S563">
        <f t="shared" si="162"/>
        <v>0</v>
      </c>
      <c r="T563">
        <f t="shared" si="163"/>
        <v>0</v>
      </c>
      <c r="U563">
        <f t="shared" si="164"/>
        <v>0</v>
      </c>
      <c r="V563">
        <f t="shared" si="165"/>
        <v>0</v>
      </c>
      <c r="W563" t="s">
        <v>58</v>
      </c>
      <c r="X563">
        <f t="shared" si="166"/>
        <v>0</v>
      </c>
      <c r="Y563">
        <f t="shared" si="167"/>
        <v>1</v>
      </c>
      <c r="Z563">
        <v>5</v>
      </c>
      <c r="AA563">
        <f t="shared" si="168"/>
        <v>1</v>
      </c>
      <c r="AB563" t="s">
        <v>40</v>
      </c>
      <c r="AC563">
        <f t="shared" si="169"/>
        <v>0</v>
      </c>
      <c r="AD563">
        <f t="shared" si="170"/>
        <v>0</v>
      </c>
      <c r="AE563" t="s">
        <v>41</v>
      </c>
      <c r="AF563">
        <f>IF(AE563="website",1,0)</f>
        <v>1</v>
      </c>
    </row>
    <row r="564" spans="1:32">
      <c r="A564" t="s">
        <v>1180</v>
      </c>
      <c r="B564" t="s">
        <v>33</v>
      </c>
      <c r="C564" s="3">
        <f t="shared" si="152"/>
        <v>0</v>
      </c>
      <c r="D564">
        <f t="shared" si="153"/>
        <v>1</v>
      </c>
      <c r="E564" t="s">
        <v>683</v>
      </c>
      <c r="F564" t="s">
        <v>339</v>
      </c>
      <c r="G564" s="1">
        <v>33260</v>
      </c>
      <c r="H564" s="2">
        <f t="shared" ca="1" si="154"/>
        <v>35</v>
      </c>
      <c r="I564" s="2">
        <f t="shared" ca="1" si="155"/>
        <v>0.14285714285714285</v>
      </c>
      <c r="J564" t="s">
        <v>45</v>
      </c>
      <c r="K564" t="s">
        <v>37</v>
      </c>
      <c r="L564">
        <f t="shared" si="156"/>
        <v>1</v>
      </c>
      <c r="M564">
        <f t="shared" si="157"/>
        <v>0</v>
      </c>
      <c r="N564">
        <f t="shared" si="158"/>
        <v>0</v>
      </c>
      <c r="O564" t="s">
        <v>38</v>
      </c>
      <c r="P564">
        <f t="shared" si="159"/>
        <v>1</v>
      </c>
      <c r="Q564">
        <f t="shared" si="160"/>
        <v>0</v>
      </c>
      <c r="R564">
        <f t="shared" si="161"/>
        <v>0</v>
      </c>
      <c r="S564">
        <f t="shared" si="162"/>
        <v>0</v>
      </c>
      <c r="T564">
        <f t="shared" si="163"/>
        <v>0</v>
      </c>
      <c r="U564">
        <f t="shared" si="164"/>
        <v>0</v>
      </c>
      <c r="V564">
        <f t="shared" si="165"/>
        <v>0</v>
      </c>
      <c r="W564" t="s">
        <v>39</v>
      </c>
      <c r="X564">
        <f t="shared" si="166"/>
        <v>1</v>
      </c>
      <c r="Y564">
        <f t="shared" si="167"/>
        <v>0</v>
      </c>
      <c r="Z564">
        <v>2</v>
      </c>
      <c r="AA564">
        <f t="shared" si="168"/>
        <v>0.25</v>
      </c>
      <c r="AB564" t="s">
        <v>40</v>
      </c>
      <c r="AC564">
        <f t="shared" si="169"/>
        <v>1</v>
      </c>
      <c r="AD564">
        <f t="shared" si="170"/>
        <v>0</v>
      </c>
      <c r="AE564" t="s">
        <v>50</v>
      </c>
      <c r="AF564">
        <f>IF(AE564="website",1,0)</f>
        <v>0</v>
      </c>
    </row>
    <row r="565" spans="1:32">
      <c r="A565" t="s">
        <v>1181</v>
      </c>
      <c r="B565" t="s">
        <v>33</v>
      </c>
      <c r="C565" s="3">
        <f t="shared" si="152"/>
        <v>0</v>
      </c>
      <c r="D565">
        <f t="shared" si="153"/>
        <v>1</v>
      </c>
      <c r="E565" t="s">
        <v>941</v>
      </c>
      <c r="F565" t="s">
        <v>613</v>
      </c>
      <c r="G565" s="1">
        <v>19239</v>
      </c>
      <c r="H565" s="2">
        <f t="shared" ca="1" si="154"/>
        <v>74</v>
      </c>
      <c r="I565" s="2">
        <f t="shared" ca="1" si="155"/>
        <v>0.7</v>
      </c>
      <c r="J565" t="s">
        <v>45</v>
      </c>
      <c r="K565" t="s">
        <v>37</v>
      </c>
      <c r="L565">
        <f t="shared" si="156"/>
        <v>1</v>
      </c>
      <c r="M565">
        <f t="shared" si="157"/>
        <v>0</v>
      </c>
      <c r="N565">
        <f t="shared" si="158"/>
        <v>0</v>
      </c>
      <c r="O565" t="s">
        <v>592</v>
      </c>
      <c r="P565">
        <f t="shared" si="159"/>
        <v>0</v>
      </c>
      <c r="Q565">
        <f t="shared" si="160"/>
        <v>0</v>
      </c>
      <c r="R565">
        <f t="shared" si="161"/>
        <v>0</v>
      </c>
      <c r="S565">
        <f t="shared" si="162"/>
        <v>0</v>
      </c>
      <c r="T565">
        <f t="shared" si="163"/>
        <v>0</v>
      </c>
      <c r="U565">
        <f t="shared" si="164"/>
        <v>0</v>
      </c>
      <c r="V565">
        <f t="shared" si="165"/>
        <v>0</v>
      </c>
      <c r="W565" t="s">
        <v>39</v>
      </c>
      <c r="X565">
        <f t="shared" si="166"/>
        <v>1</v>
      </c>
      <c r="Y565">
        <f t="shared" si="167"/>
        <v>0</v>
      </c>
      <c r="Z565">
        <v>1</v>
      </c>
      <c r="AA565">
        <f t="shared" si="168"/>
        <v>0</v>
      </c>
      <c r="AB565" t="s">
        <v>46</v>
      </c>
      <c r="AC565">
        <f t="shared" si="169"/>
        <v>1</v>
      </c>
      <c r="AD565">
        <f t="shared" si="170"/>
        <v>0</v>
      </c>
      <c r="AE565" t="s">
        <v>50</v>
      </c>
      <c r="AF565">
        <f>IF(AE565="website",1,0)</f>
        <v>0</v>
      </c>
    </row>
    <row r="566" spans="1:32">
      <c r="A566" t="s">
        <v>1182</v>
      </c>
      <c r="B566" t="s">
        <v>33</v>
      </c>
      <c r="C566" s="3">
        <f t="shared" si="152"/>
        <v>0</v>
      </c>
      <c r="D566">
        <f t="shared" si="153"/>
        <v>1</v>
      </c>
      <c r="E566" t="s">
        <v>1023</v>
      </c>
      <c r="F566" t="s">
        <v>669</v>
      </c>
      <c r="G566" s="1">
        <v>31316</v>
      </c>
      <c r="H566" s="2">
        <f t="shared" ca="1" si="154"/>
        <v>41</v>
      </c>
      <c r="I566" s="2">
        <f t="shared" ca="1" si="155"/>
        <v>0.22857142857142856</v>
      </c>
      <c r="J566" t="s">
        <v>45</v>
      </c>
      <c r="K566" t="s">
        <v>626</v>
      </c>
      <c r="L566">
        <f t="shared" si="156"/>
        <v>0</v>
      </c>
      <c r="M566">
        <f t="shared" si="157"/>
        <v>0</v>
      </c>
      <c r="N566">
        <f t="shared" si="158"/>
        <v>0</v>
      </c>
      <c r="O566" t="s">
        <v>1117</v>
      </c>
      <c r="P566">
        <f t="shared" si="159"/>
        <v>0</v>
      </c>
      <c r="Q566">
        <f t="shared" si="160"/>
        <v>0</v>
      </c>
      <c r="R566">
        <f t="shared" si="161"/>
        <v>0</v>
      </c>
      <c r="S566">
        <f t="shared" si="162"/>
        <v>0</v>
      </c>
      <c r="T566">
        <f t="shared" si="163"/>
        <v>0</v>
      </c>
      <c r="U566">
        <f t="shared" si="164"/>
        <v>0</v>
      </c>
      <c r="V566">
        <f t="shared" si="165"/>
        <v>0</v>
      </c>
      <c r="W566" t="s">
        <v>39</v>
      </c>
      <c r="X566">
        <f t="shared" si="166"/>
        <v>1</v>
      </c>
      <c r="Y566">
        <f t="shared" si="167"/>
        <v>0</v>
      </c>
      <c r="Z566">
        <v>1</v>
      </c>
      <c r="AA566">
        <f t="shared" si="168"/>
        <v>0</v>
      </c>
      <c r="AB566" t="s">
        <v>46</v>
      </c>
      <c r="AC566">
        <f t="shared" si="169"/>
        <v>0</v>
      </c>
      <c r="AD566">
        <f t="shared" si="170"/>
        <v>0</v>
      </c>
      <c r="AE566" t="s">
        <v>41</v>
      </c>
      <c r="AF566">
        <f>IF(AE566="website",1,0)</f>
        <v>1</v>
      </c>
    </row>
    <row r="567" spans="1:32">
      <c r="A567" t="s">
        <v>1183</v>
      </c>
      <c r="B567" t="s">
        <v>33</v>
      </c>
      <c r="C567" s="3">
        <f t="shared" si="152"/>
        <v>0</v>
      </c>
      <c r="D567">
        <f t="shared" si="153"/>
        <v>1</v>
      </c>
      <c r="E567" t="s">
        <v>663</v>
      </c>
      <c r="F567" t="s">
        <v>364</v>
      </c>
      <c r="G567" s="1">
        <v>36869</v>
      </c>
      <c r="H567" s="2">
        <f t="shared" ca="1" si="154"/>
        <v>25</v>
      </c>
      <c r="I567" s="2">
        <f t="shared" ca="1" si="155"/>
        <v>0</v>
      </c>
      <c r="J567" t="s">
        <v>36</v>
      </c>
      <c r="K567" t="s">
        <v>37</v>
      </c>
      <c r="L567">
        <f t="shared" si="156"/>
        <v>1</v>
      </c>
      <c r="M567">
        <f t="shared" si="157"/>
        <v>0</v>
      </c>
      <c r="N567">
        <f t="shared" si="158"/>
        <v>0</v>
      </c>
      <c r="O567" t="s">
        <v>76</v>
      </c>
      <c r="P567">
        <f t="shared" si="159"/>
        <v>0</v>
      </c>
      <c r="Q567">
        <f t="shared" si="160"/>
        <v>1</v>
      </c>
      <c r="R567">
        <f t="shared" si="161"/>
        <v>0</v>
      </c>
      <c r="S567">
        <f t="shared" si="162"/>
        <v>0</v>
      </c>
      <c r="T567">
        <f t="shared" si="163"/>
        <v>0</v>
      </c>
      <c r="U567">
        <f t="shared" si="164"/>
        <v>0</v>
      </c>
      <c r="V567">
        <f t="shared" si="165"/>
        <v>0</v>
      </c>
      <c r="W567" t="s">
        <v>58</v>
      </c>
      <c r="X567">
        <f t="shared" si="166"/>
        <v>0</v>
      </c>
      <c r="Y567">
        <f t="shared" si="167"/>
        <v>1</v>
      </c>
      <c r="Z567">
        <v>4</v>
      </c>
      <c r="AA567">
        <f t="shared" si="168"/>
        <v>0.75</v>
      </c>
      <c r="AB567" t="s">
        <v>40</v>
      </c>
      <c r="AC567">
        <f t="shared" si="169"/>
        <v>1</v>
      </c>
      <c r="AD567">
        <f t="shared" si="170"/>
        <v>0</v>
      </c>
      <c r="AE567" t="s">
        <v>50</v>
      </c>
      <c r="AF567">
        <f>IF(AE567="website",1,0)</f>
        <v>0</v>
      </c>
    </row>
    <row r="568" spans="1:32">
      <c r="A568" t="s">
        <v>1184</v>
      </c>
      <c r="B568" t="s">
        <v>33</v>
      </c>
      <c r="C568" s="3">
        <f t="shared" si="152"/>
        <v>0</v>
      </c>
      <c r="D568">
        <f t="shared" si="153"/>
        <v>1</v>
      </c>
      <c r="E568" t="s">
        <v>712</v>
      </c>
      <c r="F568" t="s">
        <v>585</v>
      </c>
      <c r="G568" s="1">
        <v>19639</v>
      </c>
      <c r="H568" s="2">
        <f t="shared" ca="1" si="154"/>
        <v>72</v>
      </c>
      <c r="I568" s="2">
        <f t="shared" ca="1" si="155"/>
        <v>0.67142857142857137</v>
      </c>
      <c r="J568" t="s">
        <v>36</v>
      </c>
      <c r="K568" t="s">
        <v>172</v>
      </c>
      <c r="L568">
        <f t="shared" si="156"/>
        <v>0</v>
      </c>
      <c r="M568">
        <f t="shared" si="157"/>
        <v>0</v>
      </c>
      <c r="N568">
        <f t="shared" si="158"/>
        <v>0</v>
      </c>
      <c r="O568" t="s">
        <v>355</v>
      </c>
      <c r="P568">
        <f t="shared" si="159"/>
        <v>0</v>
      </c>
      <c r="Q568">
        <f t="shared" si="160"/>
        <v>0</v>
      </c>
      <c r="R568">
        <f t="shared" si="161"/>
        <v>0</v>
      </c>
      <c r="S568">
        <f t="shared" si="162"/>
        <v>0</v>
      </c>
      <c r="T568">
        <f t="shared" si="163"/>
        <v>0</v>
      </c>
      <c r="U568">
        <f t="shared" si="164"/>
        <v>0</v>
      </c>
      <c r="V568">
        <f t="shared" si="165"/>
        <v>0</v>
      </c>
      <c r="W568" t="s">
        <v>58</v>
      </c>
      <c r="X568">
        <f t="shared" si="166"/>
        <v>0</v>
      </c>
      <c r="Y568">
        <f t="shared" si="167"/>
        <v>1</v>
      </c>
      <c r="Z568">
        <v>2</v>
      </c>
      <c r="AA568">
        <f t="shared" si="168"/>
        <v>0.25</v>
      </c>
      <c r="AB568" t="s">
        <v>40</v>
      </c>
      <c r="AC568">
        <f t="shared" si="169"/>
        <v>1</v>
      </c>
      <c r="AD568">
        <f t="shared" si="170"/>
        <v>0</v>
      </c>
      <c r="AE568" t="s">
        <v>50</v>
      </c>
      <c r="AF568">
        <f>IF(AE568="website",1,0)</f>
        <v>0</v>
      </c>
    </row>
    <row r="569" spans="1:32">
      <c r="A569" t="s">
        <v>1185</v>
      </c>
      <c r="B569" t="s">
        <v>33</v>
      </c>
      <c r="C569" s="3">
        <f t="shared" si="152"/>
        <v>0</v>
      </c>
      <c r="D569">
        <f t="shared" si="153"/>
        <v>1</v>
      </c>
      <c r="E569" t="s">
        <v>997</v>
      </c>
      <c r="F569" t="s">
        <v>61</v>
      </c>
      <c r="G569" s="1">
        <v>19606</v>
      </c>
      <c r="H569" s="2">
        <f t="shared" ca="1" si="154"/>
        <v>73</v>
      </c>
      <c r="I569" s="2">
        <f t="shared" ca="1" si="155"/>
        <v>0.68571428571428572</v>
      </c>
      <c r="J569" t="s">
        <v>45</v>
      </c>
      <c r="K569" t="s">
        <v>37</v>
      </c>
      <c r="L569">
        <f t="shared" si="156"/>
        <v>1</v>
      </c>
      <c r="M569">
        <f t="shared" si="157"/>
        <v>0</v>
      </c>
      <c r="N569">
        <f t="shared" si="158"/>
        <v>0</v>
      </c>
      <c r="O569" t="s">
        <v>38</v>
      </c>
      <c r="P569">
        <f t="shared" si="159"/>
        <v>1</v>
      </c>
      <c r="Q569">
        <f t="shared" si="160"/>
        <v>0</v>
      </c>
      <c r="R569">
        <f t="shared" si="161"/>
        <v>0</v>
      </c>
      <c r="S569">
        <f t="shared" si="162"/>
        <v>0</v>
      </c>
      <c r="T569">
        <f t="shared" si="163"/>
        <v>0</v>
      </c>
      <c r="U569">
        <f t="shared" si="164"/>
        <v>0</v>
      </c>
      <c r="V569">
        <f t="shared" si="165"/>
        <v>0</v>
      </c>
      <c r="W569" t="s">
        <v>39</v>
      </c>
      <c r="X569">
        <f t="shared" si="166"/>
        <v>1</v>
      </c>
      <c r="Y569">
        <f t="shared" si="167"/>
        <v>0</v>
      </c>
      <c r="Z569">
        <v>3</v>
      </c>
      <c r="AA569">
        <f t="shared" si="168"/>
        <v>0.5</v>
      </c>
      <c r="AB569" t="s">
        <v>46</v>
      </c>
      <c r="AC569">
        <f t="shared" si="169"/>
        <v>0</v>
      </c>
      <c r="AD569">
        <f t="shared" si="170"/>
        <v>0</v>
      </c>
      <c r="AE569" t="s">
        <v>41</v>
      </c>
      <c r="AF569">
        <f>IF(AE569="website",1,0)</f>
        <v>1</v>
      </c>
    </row>
    <row r="570" spans="1:32">
      <c r="A570" t="s">
        <v>1186</v>
      </c>
      <c r="B570" t="s">
        <v>33</v>
      </c>
      <c r="C570" s="3">
        <f t="shared" si="152"/>
        <v>0</v>
      </c>
      <c r="D570">
        <f t="shared" si="153"/>
        <v>1</v>
      </c>
      <c r="E570" t="s">
        <v>548</v>
      </c>
      <c r="F570" t="s">
        <v>876</v>
      </c>
      <c r="G570" s="1">
        <v>26272</v>
      </c>
      <c r="H570" s="2">
        <f t="shared" ca="1" si="154"/>
        <v>54</v>
      </c>
      <c r="I570" s="2">
        <f t="shared" ca="1" si="155"/>
        <v>0.41428571428571431</v>
      </c>
      <c r="J570" t="s">
        <v>36</v>
      </c>
      <c r="K570" t="s">
        <v>37</v>
      </c>
      <c r="L570">
        <f t="shared" si="156"/>
        <v>1</v>
      </c>
      <c r="M570">
        <f t="shared" si="157"/>
        <v>0</v>
      </c>
      <c r="N570">
        <f t="shared" si="158"/>
        <v>0</v>
      </c>
      <c r="O570" t="s">
        <v>38</v>
      </c>
      <c r="P570">
        <f t="shared" si="159"/>
        <v>1</v>
      </c>
      <c r="Q570">
        <f t="shared" si="160"/>
        <v>0</v>
      </c>
      <c r="R570">
        <f t="shared" si="161"/>
        <v>0</v>
      </c>
      <c r="S570">
        <f t="shared" si="162"/>
        <v>0</v>
      </c>
      <c r="T570">
        <f t="shared" si="163"/>
        <v>0</v>
      </c>
      <c r="U570">
        <f t="shared" si="164"/>
        <v>0</v>
      </c>
      <c r="V570">
        <f t="shared" si="165"/>
        <v>0</v>
      </c>
      <c r="W570" t="s">
        <v>39</v>
      </c>
      <c r="X570">
        <f t="shared" si="166"/>
        <v>1</v>
      </c>
      <c r="Y570">
        <f t="shared" si="167"/>
        <v>0</v>
      </c>
      <c r="Z570">
        <v>5</v>
      </c>
      <c r="AA570">
        <f t="shared" si="168"/>
        <v>1</v>
      </c>
      <c r="AB570" t="s">
        <v>40</v>
      </c>
      <c r="AC570">
        <f t="shared" si="169"/>
        <v>0</v>
      </c>
      <c r="AD570">
        <f t="shared" si="170"/>
        <v>1</v>
      </c>
      <c r="AE570" t="s">
        <v>90</v>
      </c>
      <c r="AF570">
        <f>IF(AE570="website",1,0)</f>
        <v>0</v>
      </c>
    </row>
    <row r="571" spans="1:32">
      <c r="A571" t="s">
        <v>1187</v>
      </c>
      <c r="B571" t="s">
        <v>33</v>
      </c>
      <c r="C571" s="3">
        <f t="shared" si="152"/>
        <v>0</v>
      </c>
      <c r="D571">
        <f t="shared" si="153"/>
        <v>1</v>
      </c>
      <c r="E571" t="s">
        <v>578</v>
      </c>
      <c r="F571" t="s">
        <v>591</v>
      </c>
      <c r="G571" s="1">
        <v>23896</v>
      </c>
      <c r="H571" s="2">
        <f t="shared" ca="1" si="154"/>
        <v>61</v>
      </c>
      <c r="I571" s="2">
        <f t="shared" ca="1" si="155"/>
        <v>0.51428571428571423</v>
      </c>
      <c r="J571" t="s">
        <v>36</v>
      </c>
      <c r="K571" t="s">
        <v>626</v>
      </c>
      <c r="L571">
        <f t="shared" si="156"/>
        <v>0</v>
      </c>
      <c r="M571">
        <f t="shared" si="157"/>
        <v>0</v>
      </c>
      <c r="N571">
        <f t="shared" si="158"/>
        <v>0</v>
      </c>
      <c r="O571" t="s">
        <v>1188</v>
      </c>
      <c r="P571">
        <f t="shared" si="159"/>
        <v>0</v>
      </c>
      <c r="Q571">
        <f t="shared" si="160"/>
        <v>0</v>
      </c>
      <c r="R571">
        <f t="shared" si="161"/>
        <v>0</v>
      </c>
      <c r="S571">
        <f t="shared" si="162"/>
        <v>0</v>
      </c>
      <c r="T571">
        <f t="shared" si="163"/>
        <v>0</v>
      </c>
      <c r="U571">
        <f t="shared" si="164"/>
        <v>0</v>
      </c>
      <c r="V571">
        <f t="shared" si="165"/>
        <v>0</v>
      </c>
      <c r="W571" t="s">
        <v>39</v>
      </c>
      <c r="X571">
        <f t="shared" si="166"/>
        <v>1</v>
      </c>
      <c r="Y571">
        <f t="shared" si="167"/>
        <v>0</v>
      </c>
      <c r="Z571">
        <v>5</v>
      </c>
      <c r="AA571">
        <f t="shared" si="168"/>
        <v>1</v>
      </c>
      <c r="AB571" t="s">
        <v>40</v>
      </c>
      <c r="AC571">
        <f t="shared" si="169"/>
        <v>0</v>
      </c>
      <c r="AD571">
        <f t="shared" si="170"/>
        <v>0</v>
      </c>
      <c r="AE571" t="s">
        <v>41</v>
      </c>
      <c r="AF571">
        <f>IF(AE571="website",1,0)</f>
        <v>1</v>
      </c>
    </row>
    <row r="572" spans="1:32">
      <c r="A572" t="s">
        <v>1189</v>
      </c>
      <c r="B572" t="s">
        <v>33</v>
      </c>
      <c r="C572" s="3">
        <f t="shared" si="152"/>
        <v>0</v>
      </c>
      <c r="D572">
        <f t="shared" si="153"/>
        <v>1</v>
      </c>
      <c r="E572" t="s">
        <v>1070</v>
      </c>
      <c r="F572" t="s">
        <v>585</v>
      </c>
      <c r="G572" s="1">
        <v>24291</v>
      </c>
      <c r="H572" s="2">
        <f t="shared" ca="1" si="154"/>
        <v>60</v>
      </c>
      <c r="I572" s="2">
        <f t="shared" ca="1" si="155"/>
        <v>0.5</v>
      </c>
      <c r="J572" t="s">
        <v>45</v>
      </c>
      <c r="K572" t="s">
        <v>37</v>
      </c>
      <c r="L572">
        <f t="shared" si="156"/>
        <v>1</v>
      </c>
      <c r="M572">
        <f t="shared" si="157"/>
        <v>0</v>
      </c>
      <c r="N572">
        <f t="shared" si="158"/>
        <v>0</v>
      </c>
      <c r="O572" t="s">
        <v>38</v>
      </c>
      <c r="P572">
        <f t="shared" si="159"/>
        <v>1</v>
      </c>
      <c r="Q572">
        <f t="shared" si="160"/>
        <v>0</v>
      </c>
      <c r="R572">
        <f t="shared" si="161"/>
        <v>0</v>
      </c>
      <c r="S572">
        <f t="shared" si="162"/>
        <v>0</v>
      </c>
      <c r="T572">
        <f t="shared" si="163"/>
        <v>0</v>
      </c>
      <c r="U572">
        <f t="shared" si="164"/>
        <v>0</v>
      </c>
      <c r="V572">
        <f t="shared" si="165"/>
        <v>0</v>
      </c>
      <c r="W572" t="s">
        <v>39</v>
      </c>
      <c r="X572">
        <f t="shared" si="166"/>
        <v>1</v>
      </c>
      <c r="Y572">
        <f t="shared" si="167"/>
        <v>0</v>
      </c>
      <c r="Z572">
        <v>3</v>
      </c>
      <c r="AA572">
        <f t="shared" si="168"/>
        <v>0.5</v>
      </c>
      <c r="AB572" t="s">
        <v>46</v>
      </c>
      <c r="AC572">
        <f t="shared" si="169"/>
        <v>0</v>
      </c>
      <c r="AD572">
        <f t="shared" si="170"/>
        <v>0</v>
      </c>
      <c r="AE572" t="s">
        <v>41</v>
      </c>
      <c r="AF572">
        <f>IF(AE572="website",1,0)</f>
        <v>1</v>
      </c>
    </row>
    <row r="573" spans="1:32">
      <c r="A573" t="s">
        <v>1190</v>
      </c>
      <c r="B573" t="s">
        <v>33</v>
      </c>
      <c r="C573" s="3">
        <f t="shared" si="152"/>
        <v>0</v>
      </c>
      <c r="D573">
        <f t="shared" si="153"/>
        <v>1</v>
      </c>
      <c r="E573" t="s">
        <v>894</v>
      </c>
      <c r="F573" t="s">
        <v>616</v>
      </c>
      <c r="G573" s="1">
        <v>34285</v>
      </c>
      <c r="H573" s="2">
        <f t="shared" ca="1" si="154"/>
        <v>32</v>
      </c>
      <c r="I573" s="2">
        <f t="shared" ca="1" si="155"/>
        <v>0.1</v>
      </c>
      <c r="J573" t="s">
        <v>36</v>
      </c>
      <c r="K573" t="s">
        <v>37</v>
      </c>
      <c r="L573">
        <f t="shared" si="156"/>
        <v>1</v>
      </c>
      <c r="M573">
        <f t="shared" si="157"/>
        <v>0</v>
      </c>
      <c r="N573">
        <f t="shared" si="158"/>
        <v>0</v>
      </c>
      <c r="O573" t="s">
        <v>38</v>
      </c>
      <c r="P573">
        <f t="shared" si="159"/>
        <v>1</v>
      </c>
      <c r="Q573">
        <f t="shared" si="160"/>
        <v>0</v>
      </c>
      <c r="R573">
        <f t="shared" si="161"/>
        <v>0</v>
      </c>
      <c r="S573">
        <f t="shared" si="162"/>
        <v>0</v>
      </c>
      <c r="T573">
        <f t="shared" si="163"/>
        <v>0</v>
      </c>
      <c r="U573">
        <f t="shared" si="164"/>
        <v>0</v>
      </c>
      <c r="V573">
        <f t="shared" si="165"/>
        <v>0</v>
      </c>
      <c r="W573" t="s">
        <v>58</v>
      </c>
      <c r="X573">
        <f t="shared" si="166"/>
        <v>0</v>
      </c>
      <c r="Y573">
        <f t="shared" si="167"/>
        <v>1</v>
      </c>
      <c r="Z573">
        <v>5</v>
      </c>
      <c r="AA573">
        <f t="shared" si="168"/>
        <v>1</v>
      </c>
      <c r="AB573" t="s">
        <v>46</v>
      </c>
      <c r="AC573">
        <f t="shared" si="169"/>
        <v>0</v>
      </c>
      <c r="AD573">
        <f t="shared" si="170"/>
        <v>0</v>
      </c>
      <c r="AE573" t="s">
        <v>41</v>
      </c>
      <c r="AF573">
        <f>IF(AE573="website",1,0)</f>
        <v>1</v>
      </c>
    </row>
    <row r="574" spans="1:32">
      <c r="A574" t="s">
        <v>1191</v>
      </c>
      <c r="B574" t="s">
        <v>55</v>
      </c>
      <c r="C574" s="3">
        <f t="shared" si="152"/>
        <v>1</v>
      </c>
      <c r="D574">
        <f t="shared" si="153"/>
        <v>0</v>
      </c>
      <c r="E574" t="s">
        <v>1051</v>
      </c>
      <c r="F574" t="s">
        <v>57</v>
      </c>
      <c r="G574" s="1">
        <v>28239</v>
      </c>
      <c r="H574" s="2">
        <f t="shared" ca="1" si="154"/>
        <v>49</v>
      </c>
      <c r="I574" s="2">
        <f t="shared" ca="1" si="155"/>
        <v>0.34285714285714286</v>
      </c>
      <c r="J574" t="s">
        <v>45</v>
      </c>
      <c r="K574" t="s">
        <v>37</v>
      </c>
      <c r="L574">
        <f t="shared" si="156"/>
        <v>1</v>
      </c>
      <c r="M574">
        <f t="shared" si="157"/>
        <v>0</v>
      </c>
      <c r="N574">
        <f t="shared" si="158"/>
        <v>0</v>
      </c>
      <c r="O574" t="s">
        <v>785</v>
      </c>
      <c r="P574">
        <f t="shared" si="159"/>
        <v>0</v>
      </c>
      <c r="Q574">
        <f t="shared" si="160"/>
        <v>0</v>
      </c>
      <c r="R574">
        <f t="shared" si="161"/>
        <v>0</v>
      </c>
      <c r="S574">
        <f t="shared" si="162"/>
        <v>0</v>
      </c>
      <c r="T574">
        <f t="shared" si="163"/>
        <v>0</v>
      </c>
      <c r="U574">
        <f t="shared" si="164"/>
        <v>0</v>
      </c>
      <c r="V574">
        <f t="shared" si="165"/>
        <v>0</v>
      </c>
      <c r="W574" t="s">
        <v>39</v>
      </c>
      <c r="X574">
        <f t="shared" si="166"/>
        <v>1</v>
      </c>
      <c r="Y574">
        <f t="shared" si="167"/>
        <v>0</v>
      </c>
      <c r="Z574">
        <v>4</v>
      </c>
      <c r="AA574">
        <f t="shared" si="168"/>
        <v>0.75</v>
      </c>
      <c r="AB574" t="s">
        <v>40</v>
      </c>
      <c r="AC574">
        <f t="shared" si="169"/>
        <v>1</v>
      </c>
      <c r="AD574">
        <f t="shared" si="170"/>
        <v>0</v>
      </c>
      <c r="AE574" t="s">
        <v>50</v>
      </c>
      <c r="AF574">
        <f>IF(AE574="website",1,0)</f>
        <v>0</v>
      </c>
    </row>
    <row r="575" spans="1:32">
      <c r="A575" t="s">
        <v>1192</v>
      </c>
      <c r="B575" t="s">
        <v>33</v>
      </c>
      <c r="C575" s="3">
        <f t="shared" si="152"/>
        <v>0</v>
      </c>
      <c r="D575">
        <f t="shared" si="153"/>
        <v>1</v>
      </c>
      <c r="E575" t="s">
        <v>722</v>
      </c>
      <c r="F575" t="s">
        <v>856</v>
      </c>
      <c r="G575" s="1">
        <v>25096</v>
      </c>
      <c r="H575" s="2">
        <f t="shared" ca="1" si="154"/>
        <v>58</v>
      </c>
      <c r="I575" s="2">
        <f t="shared" ca="1" si="155"/>
        <v>0.47142857142857142</v>
      </c>
      <c r="J575" t="s">
        <v>45</v>
      </c>
      <c r="K575" t="s">
        <v>37</v>
      </c>
      <c r="L575">
        <f t="shared" si="156"/>
        <v>1</v>
      </c>
      <c r="M575">
        <f t="shared" si="157"/>
        <v>0</v>
      </c>
      <c r="N575">
        <f t="shared" si="158"/>
        <v>0</v>
      </c>
      <c r="O575" t="s">
        <v>38</v>
      </c>
      <c r="P575">
        <f t="shared" si="159"/>
        <v>1</v>
      </c>
      <c r="Q575">
        <f t="shared" si="160"/>
        <v>0</v>
      </c>
      <c r="R575">
        <f t="shared" si="161"/>
        <v>0</v>
      </c>
      <c r="S575">
        <f t="shared" si="162"/>
        <v>0</v>
      </c>
      <c r="T575">
        <f t="shared" si="163"/>
        <v>0</v>
      </c>
      <c r="U575">
        <f t="shared" si="164"/>
        <v>0</v>
      </c>
      <c r="V575">
        <f t="shared" si="165"/>
        <v>0</v>
      </c>
      <c r="W575" t="s">
        <v>39</v>
      </c>
      <c r="X575">
        <f t="shared" si="166"/>
        <v>1</v>
      </c>
      <c r="Y575">
        <f t="shared" si="167"/>
        <v>0</v>
      </c>
      <c r="Z575">
        <v>2</v>
      </c>
      <c r="AA575">
        <f t="shared" si="168"/>
        <v>0.25</v>
      </c>
      <c r="AB575" t="s">
        <v>46</v>
      </c>
      <c r="AC575">
        <f t="shared" si="169"/>
        <v>1</v>
      </c>
      <c r="AD575">
        <f t="shared" si="170"/>
        <v>0</v>
      </c>
      <c r="AE575" t="s">
        <v>50</v>
      </c>
      <c r="AF575">
        <f>IF(AE575="website",1,0)</f>
        <v>0</v>
      </c>
    </row>
    <row r="576" spans="1:32">
      <c r="A576" t="s">
        <v>1193</v>
      </c>
      <c r="B576" t="s">
        <v>33</v>
      </c>
      <c r="C576" s="3">
        <f t="shared" si="152"/>
        <v>0</v>
      </c>
      <c r="D576">
        <f t="shared" si="153"/>
        <v>1</v>
      </c>
      <c r="E576" t="s">
        <v>986</v>
      </c>
      <c r="F576" t="s">
        <v>513</v>
      </c>
      <c r="G576" s="1">
        <v>24128</v>
      </c>
      <c r="H576" s="2">
        <f t="shared" ca="1" si="154"/>
        <v>60</v>
      </c>
      <c r="I576" s="2">
        <f t="shared" ca="1" si="155"/>
        <v>0.5</v>
      </c>
      <c r="J576" t="s">
        <v>45</v>
      </c>
      <c r="K576" t="s">
        <v>37</v>
      </c>
      <c r="L576">
        <f t="shared" si="156"/>
        <v>1</v>
      </c>
      <c r="M576">
        <f t="shared" si="157"/>
        <v>0</v>
      </c>
      <c r="N576">
        <f t="shared" si="158"/>
        <v>0</v>
      </c>
      <c r="O576" t="s">
        <v>38</v>
      </c>
      <c r="P576">
        <f t="shared" si="159"/>
        <v>1</v>
      </c>
      <c r="Q576">
        <f t="shared" si="160"/>
        <v>0</v>
      </c>
      <c r="R576">
        <f t="shared" si="161"/>
        <v>0</v>
      </c>
      <c r="S576">
        <f t="shared" si="162"/>
        <v>0</v>
      </c>
      <c r="T576">
        <f t="shared" si="163"/>
        <v>0</v>
      </c>
      <c r="U576">
        <f t="shared" si="164"/>
        <v>0</v>
      </c>
      <c r="V576">
        <f t="shared" si="165"/>
        <v>0</v>
      </c>
      <c r="W576" t="s">
        <v>58</v>
      </c>
      <c r="X576">
        <f t="shared" si="166"/>
        <v>0</v>
      </c>
      <c r="Y576">
        <f t="shared" si="167"/>
        <v>1</v>
      </c>
      <c r="Z576">
        <v>2</v>
      </c>
      <c r="AA576">
        <f t="shared" si="168"/>
        <v>0.25</v>
      </c>
      <c r="AB576" t="s">
        <v>46</v>
      </c>
      <c r="AC576">
        <f t="shared" si="169"/>
        <v>0</v>
      </c>
      <c r="AD576">
        <f t="shared" si="170"/>
        <v>0</v>
      </c>
      <c r="AE576" t="s">
        <v>41</v>
      </c>
      <c r="AF576">
        <f>IF(AE576="website",1,0)</f>
        <v>1</v>
      </c>
    </row>
    <row r="577" spans="1:32">
      <c r="A577" t="s">
        <v>1194</v>
      </c>
      <c r="B577" t="s">
        <v>33</v>
      </c>
      <c r="C577" s="3">
        <f t="shared" si="152"/>
        <v>0</v>
      </c>
      <c r="D577">
        <f t="shared" si="153"/>
        <v>1</v>
      </c>
      <c r="E577" t="s">
        <v>329</v>
      </c>
      <c r="F577" t="s">
        <v>641</v>
      </c>
      <c r="G577" s="1">
        <v>21605</v>
      </c>
      <c r="H577" s="2">
        <f t="shared" ca="1" si="154"/>
        <v>67</v>
      </c>
      <c r="I577" s="2">
        <f t="shared" ca="1" si="155"/>
        <v>0.6</v>
      </c>
      <c r="J577" t="s">
        <v>45</v>
      </c>
      <c r="K577" t="s">
        <v>113</v>
      </c>
      <c r="L577">
        <f t="shared" si="156"/>
        <v>0</v>
      </c>
      <c r="M577">
        <f t="shared" si="157"/>
        <v>0</v>
      </c>
      <c r="N577">
        <f t="shared" si="158"/>
        <v>1</v>
      </c>
      <c r="O577" t="s">
        <v>675</v>
      </c>
      <c r="P577">
        <f t="shared" si="159"/>
        <v>0</v>
      </c>
      <c r="Q577">
        <f t="shared" si="160"/>
        <v>0</v>
      </c>
      <c r="R577">
        <f t="shared" si="161"/>
        <v>0</v>
      </c>
      <c r="S577">
        <f t="shared" si="162"/>
        <v>0</v>
      </c>
      <c r="T577">
        <f t="shared" si="163"/>
        <v>0</v>
      </c>
      <c r="U577">
        <f t="shared" si="164"/>
        <v>0</v>
      </c>
      <c r="V577">
        <f t="shared" si="165"/>
        <v>0</v>
      </c>
      <c r="W577" t="s">
        <v>39</v>
      </c>
      <c r="X577">
        <f t="shared" si="166"/>
        <v>1</v>
      </c>
      <c r="Y577">
        <f t="shared" si="167"/>
        <v>0</v>
      </c>
      <c r="Z577">
        <v>1</v>
      </c>
      <c r="AA577">
        <f t="shared" si="168"/>
        <v>0</v>
      </c>
      <c r="AB577" t="s">
        <v>46</v>
      </c>
      <c r="AC577">
        <f t="shared" si="169"/>
        <v>0</v>
      </c>
      <c r="AD577">
        <f t="shared" si="170"/>
        <v>1</v>
      </c>
      <c r="AE577" t="s">
        <v>90</v>
      </c>
      <c r="AF577">
        <f>IF(AE577="website",1,0)</f>
        <v>0</v>
      </c>
    </row>
    <row r="578" spans="1:32">
      <c r="A578" t="s">
        <v>1195</v>
      </c>
      <c r="B578" t="s">
        <v>33</v>
      </c>
      <c r="C578" s="3">
        <f t="shared" ref="C578:C641" si="171">IF(B578="company",1,0)</f>
        <v>0</v>
      </c>
      <c r="D578">
        <f t="shared" ref="D578:D641" si="172">IF(B578="individual",1,0)</f>
        <v>1</v>
      </c>
      <c r="E578" t="s">
        <v>690</v>
      </c>
      <c r="F578" t="s">
        <v>364</v>
      </c>
      <c r="G578" s="1">
        <v>32646</v>
      </c>
      <c r="H578" s="2">
        <f t="shared" ref="H578:H641" ca="1" si="173">DATEDIF(G578,TODAY(),"Y")</f>
        <v>37</v>
      </c>
      <c r="I578" s="2">
        <f t="shared" ref="I578:I641" ca="1" si="174">(H578-MIN(H:H))/(MAX(H:H)-MIN(H:H))</f>
        <v>0.17142857142857143</v>
      </c>
      <c r="J578" t="s">
        <v>45</v>
      </c>
      <c r="K578" t="s">
        <v>37</v>
      </c>
      <c r="L578">
        <f t="shared" ref="L578:L641" si="175">IF(K578="usa",1,0)</f>
        <v>1</v>
      </c>
      <c r="M578">
        <f t="shared" ref="M578:M641" si="176">IF(K578="canada",1,0)</f>
        <v>0</v>
      </c>
      <c r="N578">
        <f t="shared" ref="N578:N641" si="177">IF(K578="germany",1,0)</f>
        <v>0</v>
      </c>
      <c r="O578" t="s">
        <v>97</v>
      </c>
      <c r="P578">
        <f t="shared" ref="P578:P641" si="178">IF(O578="california",1,0)</f>
        <v>0</v>
      </c>
      <c r="Q578">
        <f t="shared" ref="Q578:Q641" si="179">IF(O578="oregon",1,0)</f>
        <v>0</v>
      </c>
      <c r="R578">
        <f t="shared" ref="R578:R641" si="180">IF(O578="quebec",1,0)</f>
        <v>0</v>
      </c>
      <c r="S578">
        <f t="shared" ref="S578:S641" si="181">IF(O578="berlin",1,0)</f>
        <v>0</v>
      </c>
      <c r="T578">
        <f t="shared" ref="T578:T641" si="182">IF(O578="arizona",1,0)</f>
        <v>1</v>
      </c>
      <c r="U578">
        <f t="shared" ref="U578:U641" si="183">IF(O578="nevada",1,0)</f>
        <v>0</v>
      </c>
      <c r="V578">
        <f t="shared" ref="V578:V641" si="184">IF(O578="colardo",1,0)</f>
        <v>0</v>
      </c>
      <c r="W578" t="s">
        <v>39</v>
      </c>
      <c r="X578">
        <f t="shared" ref="X578:X641" si="185">IF(W578="home",1,0)</f>
        <v>1</v>
      </c>
      <c r="Y578">
        <f t="shared" ref="Y578:Y641" si="186">IF(W578="investment",1,0)</f>
        <v>0</v>
      </c>
      <c r="Z578">
        <v>3</v>
      </c>
      <c r="AA578">
        <f t="shared" ref="AA578:AA641" si="187">(Z578-1)/4</f>
        <v>0.5</v>
      </c>
      <c r="AB578" t="s">
        <v>46</v>
      </c>
      <c r="AC578">
        <f t="shared" ref="AC578:AC641" si="188">IF(AE578="agency",1,0)</f>
        <v>0</v>
      </c>
      <c r="AD578">
        <f t="shared" ref="AD578:AD641" si="189">IF(AE578="client",1,0)</f>
        <v>0</v>
      </c>
      <c r="AE578" t="s">
        <v>41</v>
      </c>
      <c r="AF578">
        <f>IF(AE578="website",1,0)</f>
        <v>1</v>
      </c>
    </row>
    <row r="579" spans="1:32">
      <c r="A579" t="s">
        <v>1196</v>
      </c>
      <c r="B579" t="s">
        <v>33</v>
      </c>
      <c r="C579" s="3">
        <f t="shared" si="171"/>
        <v>0</v>
      </c>
      <c r="D579">
        <f t="shared" si="172"/>
        <v>1</v>
      </c>
      <c r="E579" t="s">
        <v>639</v>
      </c>
      <c r="F579" t="s">
        <v>709</v>
      </c>
      <c r="G579" s="1">
        <v>36363</v>
      </c>
      <c r="H579" s="2">
        <f t="shared" ca="1" si="173"/>
        <v>27</v>
      </c>
      <c r="I579" s="2">
        <f t="shared" ca="1" si="174"/>
        <v>2.8571428571428571E-2</v>
      </c>
      <c r="J579" t="s">
        <v>36</v>
      </c>
      <c r="K579" t="s">
        <v>37</v>
      </c>
      <c r="L579">
        <f t="shared" si="175"/>
        <v>1</v>
      </c>
      <c r="M579">
        <f t="shared" si="176"/>
        <v>0</v>
      </c>
      <c r="N579">
        <f t="shared" si="177"/>
        <v>0</v>
      </c>
      <c r="O579" t="s">
        <v>97</v>
      </c>
      <c r="P579">
        <f t="shared" si="178"/>
        <v>0</v>
      </c>
      <c r="Q579">
        <f t="shared" si="179"/>
        <v>0</v>
      </c>
      <c r="R579">
        <f t="shared" si="180"/>
        <v>0</v>
      </c>
      <c r="S579">
        <f t="shared" si="181"/>
        <v>0</v>
      </c>
      <c r="T579">
        <f t="shared" si="182"/>
        <v>1</v>
      </c>
      <c r="U579">
        <f t="shared" si="183"/>
        <v>0</v>
      </c>
      <c r="V579">
        <f t="shared" si="184"/>
        <v>0</v>
      </c>
      <c r="W579" t="s">
        <v>39</v>
      </c>
      <c r="X579">
        <f t="shared" si="185"/>
        <v>1</v>
      </c>
      <c r="Y579">
        <f t="shared" si="186"/>
        <v>0</v>
      </c>
      <c r="Z579">
        <v>5</v>
      </c>
      <c r="AA579">
        <f t="shared" si="187"/>
        <v>1</v>
      </c>
      <c r="AB579" t="s">
        <v>40</v>
      </c>
      <c r="AC579">
        <f t="shared" si="188"/>
        <v>0</v>
      </c>
      <c r="AD579">
        <f t="shared" si="189"/>
        <v>1</v>
      </c>
      <c r="AE579" t="s">
        <v>90</v>
      </c>
      <c r="AF579">
        <f>IF(AE579="website",1,0)</f>
        <v>0</v>
      </c>
    </row>
    <row r="580" spans="1:32">
      <c r="A580" t="s">
        <v>1197</v>
      </c>
      <c r="B580" t="s">
        <v>33</v>
      </c>
      <c r="C580" s="3">
        <f t="shared" si="171"/>
        <v>0</v>
      </c>
      <c r="D580">
        <f t="shared" si="172"/>
        <v>1</v>
      </c>
      <c r="E580" t="s">
        <v>690</v>
      </c>
      <c r="F580" t="s">
        <v>887</v>
      </c>
      <c r="G580" s="1">
        <v>15223</v>
      </c>
      <c r="H580" s="2">
        <f t="shared" ca="1" si="173"/>
        <v>85</v>
      </c>
      <c r="I580" s="2">
        <f t="shared" ca="1" si="174"/>
        <v>0.8571428571428571</v>
      </c>
      <c r="J580" t="s">
        <v>45</v>
      </c>
      <c r="K580" t="s">
        <v>37</v>
      </c>
      <c r="L580">
        <f t="shared" si="175"/>
        <v>1</v>
      </c>
      <c r="M580">
        <f t="shared" si="176"/>
        <v>0</v>
      </c>
      <c r="N580">
        <f t="shared" si="177"/>
        <v>0</v>
      </c>
      <c r="O580" t="s">
        <v>592</v>
      </c>
      <c r="P580">
        <f t="shared" si="178"/>
        <v>0</v>
      </c>
      <c r="Q580">
        <f t="shared" si="179"/>
        <v>0</v>
      </c>
      <c r="R580">
        <f t="shared" si="180"/>
        <v>0</v>
      </c>
      <c r="S580">
        <f t="shared" si="181"/>
        <v>0</v>
      </c>
      <c r="T580">
        <f t="shared" si="182"/>
        <v>0</v>
      </c>
      <c r="U580">
        <f t="shared" si="183"/>
        <v>0</v>
      </c>
      <c r="V580">
        <f t="shared" si="184"/>
        <v>0</v>
      </c>
      <c r="W580" t="s">
        <v>58</v>
      </c>
      <c r="X580">
        <f t="shared" si="185"/>
        <v>0</v>
      </c>
      <c r="Y580">
        <f t="shared" si="186"/>
        <v>1</v>
      </c>
      <c r="Z580">
        <v>3</v>
      </c>
      <c r="AA580">
        <f t="shared" si="187"/>
        <v>0.5</v>
      </c>
      <c r="AB580" t="s">
        <v>46</v>
      </c>
      <c r="AC580">
        <f t="shared" si="188"/>
        <v>0</v>
      </c>
      <c r="AD580">
        <f t="shared" si="189"/>
        <v>0</v>
      </c>
      <c r="AE580" t="s">
        <v>41</v>
      </c>
      <c r="AF580">
        <f>IF(AE580="website",1,0)</f>
        <v>1</v>
      </c>
    </row>
    <row r="581" spans="1:32">
      <c r="A581" t="s">
        <v>1198</v>
      </c>
      <c r="B581" t="s">
        <v>33</v>
      </c>
      <c r="C581" s="3">
        <f t="shared" si="171"/>
        <v>0</v>
      </c>
      <c r="D581">
        <f t="shared" si="172"/>
        <v>1</v>
      </c>
      <c r="E581" t="s">
        <v>804</v>
      </c>
      <c r="F581" t="s">
        <v>825</v>
      </c>
      <c r="G581" s="1">
        <v>17838</v>
      </c>
      <c r="H581" s="2">
        <f t="shared" ca="1" si="173"/>
        <v>77</v>
      </c>
      <c r="I581" s="2">
        <f t="shared" ca="1" si="174"/>
        <v>0.74285714285714288</v>
      </c>
      <c r="J581" t="s">
        <v>36</v>
      </c>
      <c r="K581" t="s">
        <v>37</v>
      </c>
      <c r="L581">
        <f t="shared" si="175"/>
        <v>1</v>
      </c>
      <c r="M581">
        <f t="shared" si="176"/>
        <v>0</v>
      </c>
      <c r="N581">
        <f t="shared" si="177"/>
        <v>0</v>
      </c>
      <c r="O581" t="s">
        <v>38</v>
      </c>
      <c r="P581">
        <f t="shared" si="178"/>
        <v>1</v>
      </c>
      <c r="Q581">
        <f t="shared" si="179"/>
        <v>0</v>
      </c>
      <c r="R581">
        <f t="shared" si="180"/>
        <v>0</v>
      </c>
      <c r="S581">
        <f t="shared" si="181"/>
        <v>0</v>
      </c>
      <c r="T581">
        <f t="shared" si="182"/>
        <v>0</v>
      </c>
      <c r="U581">
        <f t="shared" si="183"/>
        <v>0</v>
      </c>
      <c r="V581">
        <f t="shared" si="184"/>
        <v>0</v>
      </c>
      <c r="W581" t="s">
        <v>39</v>
      </c>
      <c r="X581">
        <f t="shared" si="185"/>
        <v>1</v>
      </c>
      <c r="Y581">
        <f t="shared" si="186"/>
        <v>0</v>
      </c>
      <c r="Z581">
        <v>2</v>
      </c>
      <c r="AA581">
        <f t="shared" si="187"/>
        <v>0.25</v>
      </c>
      <c r="AB581" t="s">
        <v>40</v>
      </c>
      <c r="AC581">
        <f t="shared" si="188"/>
        <v>0</v>
      </c>
      <c r="AD581">
        <f t="shared" si="189"/>
        <v>1</v>
      </c>
      <c r="AE581" t="s">
        <v>90</v>
      </c>
      <c r="AF581">
        <f>IF(AE581="website",1,0)</f>
        <v>0</v>
      </c>
    </row>
    <row r="582" spans="1:32">
      <c r="A582" t="s">
        <v>1199</v>
      </c>
      <c r="B582" t="s">
        <v>33</v>
      </c>
      <c r="C582" s="3">
        <f t="shared" si="171"/>
        <v>0</v>
      </c>
      <c r="D582">
        <f t="shared" si="172"/>
        <v>1</v>
      </c>
      <c r="E582" t="s">
        <v>924</v>
      </c>
      <c r="F582" t="s">
        <v>372</v>
      </c>
      <c r="G582" s="1">
        <v>21175</v>
      </c>
      <c r="H582" s="2">
        <f t="shared" ca="1" si="173"/>
        <v>68</v>
      </c>
      <c r="I582" s="2">
        <f t="shared" ca="1" si="174"/>
        <v>0.61428571428571432</v>
      </c>
      <c r="J582" t="s">
        <v>36</v>
      </c>
      <c r="K582" t="s">
        <v>37</v>
      </c>
      <c r="L582">
        <f t="shared" si="175"/>
        <v>1</v>
      </c>
      <c r="M582">
        <f t="shared" si="176"/>
        <v>0</v>
      </c>
      <c r="N582">
        <f t="shared" si="177"/>
        <v>0</v>
      </c>
      <c r="O582" t="s">
        <v>38</v>
      </c>
      <c r="P582">
        <f t="shared" si="178"/>
        <v>1</v>
      </c>
      <c r="Q582">
        <f t="shared" si="179"/>
        <v>0</v>
      </c>
      <c r="R582">
        <f t="shared" si="180"/>
        <v>0</v>
      </c>
      <c r="S582">
        <f t="shared" si="181"/>
        <v>0</v>
      </c>
      <c r="T582">
        <f t="shared" si="182"/>
        <v>0</v>
      </c>
      <c r="U582">
        <f t="shared" si="183"/>
        <v>0</v>
      </c>
      <c r="V582">
        <f t="shared" si="184"/>
        <v>0</v>
      </c>
      <c r="W582" t="s">
        <v>58</v>
      </c>
      <c r="X582">
        <f t="shared" si="185"/>
        <v>0</v>
      </c>
      <c r="Y582">
        <f t="shared" si="186"/>
        <v>1</v>
      </c>
      <c r="Z582">
        <v>5</v>
      </c>
      <c r="AA582">
        <f t="shared" si="187"/>
        <v>1</v>
      </c>
      <c r="AB582" t="s">
        <v>40</v>
      </c>
      <c r="AC582">
        <f t="shared" si="188"/>
        <v>0</v>
      </c>
      <c r="AD582">
        <f t="shared" si="189"/>
        <v>0</v>
      </c>
      <c r="AE582" t="s">
        <v>41</v>
      </c>
      <c r="AF582">
        <f>IF(AE582="website",1,0)</f>
        <v>1</v>
      </c>
    </row>
    <row r="583" spans="1:32">
      <c r="A583" t="s">
        <v>1200</v>
      </c>
      <c r="B583" t="s">
        <v>33</v>
      </c>
      <c r="C583" s="3">
        <f t="shared" si="171"/>
        <v>0</v>
      </c>
      <c r="D583">
        <f t="shared" si="172"/>
        <v>1</v>
      </c>
      <c r="E583" t="s">
        <v>947</v>
      </c>
      <c r="F583" t="s">
        <v>599</v>
      </c>
      <c r="G583" s="1">
        <v>14651</v>
      </c>
      <c r="H583" s="2">
        <f t="shared" ca="1" si="173"/>
        <v>86</v>
      </c>
      <c r="I583" s="2">
        <f t="shared" ca="1" si="174"/>
        <v>0.87142857142857144</v>
      </c>
      <c r="J583" t="s">
        <v>36</v>
      </c>
      <c r="K583" t="s">
        <v>37</v>
      </c>
      <c r="L583">
        <f t="shared" si="175"/>
        <v>1</v>
      </c>
      <c r="M583">
        <f t="shared" si="176"/>
        <v>0</v>
      </c>
      <c r="N583">
        <f t="shared" si="177"/>
        <v>0</v>
      </c>
      <c r="O583" t="s">
        <v>565</v>
      </c>
      <c r="P583">
        <f t="shared" si="178"/>
        <v>0</v>
      </c>
      <c r="Q583">
        <f t="shared" si="179"/>
        <v>0</v>
      </c>
      <c r="R583">
        <f t="shared" si="180"/>
        <v>0</v>
      </c>
      <c r="S583">
        <f t="shared" si="181"/>
        <v>0</v>
      </c>
      <c r="T583">
        <f t="shared" si="182"/>
        <v>0</v>
      </c>
      <c r="U583">
        <f t="shared" si="183"/>
        <v>0</v>
      </c>
      <c r="V583">
        <f t="shared" si="184"/>
        <v>0</v>
      </c>
      <c r="W583" t="s">
        <v>58</v>
      </c>
      <c r="X583">
        <f t="shared" si="185"/>
        <v>0</v>
      </c>
      <c r="Y583">
        <f t="shared" si="186"/>
        <v>1</v>
      </c>
      <c r="Z583">
        <v>3</v>
      </c>
      <c r="AA583">
        <f t="shared" si="187"/>
        <v>0.5</v>
      </c>
      <c r="AB583" t="s">
        <v>40</v>
      </c>
      <c r="AC583">
        <f t="shared" si="188"/>
        <v>0</v>
      </c>
      <c r="AD583">
        <f t="shared" si="189"/>
        <v>0</v>
      </c>
      <c r="AE583" t="s">
        <v>41</v>
      </c>
      <c r="AF583">
        <f>IF(AE583="website",1,0)</f>
        <v>1</v>
      </c>
    </row>
    <row r="584" spans="1:32">
      <c r="A584" t="s">
        <v>1201</v>
      </c>
      <c r="B584" t="s">
        <v>33</v>
      </c>
      <c r="C584" s="3">
        <f t="shared" si="171"/>
        <v>0</v>
      </c>
      <c r="D584">
        <f t="shared" si="172"/>
        <v>1</v>
      </c>
      <c r="E584" t="s">
        <v>191</v>
      </c>
      <c r="F584" t="s">
        <v>941</v>
      </c>
      <c r="G584" s="1">
        <v>31712</v>
      </c>
      <c r="H584" s="2">
        <f t="shared" ca="1" si="173"/>
        <v>39</v>
      </c>
      <c r="I584" s="2">
        <f t="shared" ca="1" si="174"/>
        <v>0.2</v>
      </c>
      <c r="J584" t="s">
        <v>45</v>
      </c>
      <c r="K584" t="s">
        <v>37</v>
      </c>
      <c r="L584">
        <f t="shared" si="175"/>
        <v>1</v>
      </c>
      <c r="M584">
        <f t="shared" si="176"/>
        <v>0</v>
      </c>
      <c r="N584">
        <f t="shared" si="177"/>
        <v>0</v>
      </c>
      <c r="O584" t="s">
        <v>38</v>
      </c>
      <c r="P584">
        <f t="shared" si="178"/>
        <v>1</v>
      </c>
      <c r="Q584">
        <f t="shared" si="179"/>
        <v>0</v>
      </c>
      <c r="R584">
        <f t="shared" si="180"/>
        <v>0</v>
      </c>
      <c r="S584">
        <f t="shared" si="181"/>
        <v>0</v>
      </c>
      <c r="T584">
        <f t="shared" si="182"/>
        <v>0</v>
      </c>
      <c r="U584">
        <f t="shared" si="183"/>
        <v>0</v>
      </c>
      <c r="V584">
        <f t="shared" si="184"/>
        <v>0</v>
      </c>
      <c r="W584" t="s">
        <v>39</v>
      </c>
      <c r="X584">
        <f t="shared" si="185"/>
        <v>1</v>
      </c>
      <c r="Y584">
        <f t="shared" si="186"/>
        <v>0</v>
      </c>
      <c r="Z584">
        <v>2</v>
      </c>
      <c r="AA584">
        <f t="shared" si="187"/>
        <v>0.25</v>
      </c>
      <c r="AB584" t="s">
        <v>46</v>
      </c>
      <c r="AC584">
        <f t="shared" si="188"/>
        <v>1</v>
      </c>
      <c r="AD584">
        <f t="shared" si="189"/>
        <v>0</v>
      </c>
      <c r="AE584" t="s">
        <v>50</v>
      </c>
      <c r="AF584">
        <f>IF(AE584="website",1,0)</f>
        <v>0</v>
      </c>
    </row>
    <row r="585" spans="1:32">
      <c r="A585" t="s">
        <v>1202</v>
      </c>
      <c r="B585" t="s">
        <v>33</v>
      </c>
      <c r="C585" s="3">
        <f t="shared" si="171"/>
        <v>0</v>
      </c>
      <c r="D585">
        <f t="shared" si="172"/>
        <v>1</v>
      </c>
      <c r="E585" t="s">
        <v>663</v>
      </c>
      <c r="F585" t="s">
        <v>117</v>
      </c>
      <c r="G585" s="1">
        <v>30258</v>
      </c>
      <c r="H585" s="2">
        <f t="shared" ca="1" si="173"/>
        <v>43</v>
      </c>
      <c r="I585" s="2">
        <f t="shared" ca="1" si="174"/>
        <v>0.25714285714285712</v>
      </c>
      <c r="J585" t="s">
        <v>36</v>
      </c>
      <c r="K585" t="s">
        <v>37</v>
      </c>
      <c r="L585">
        <f t="shared" si="175"/>
        <v>1</v>
      </c>
      <c r="M585">
        <f t="shared" si="176"/>
        <v>0</v>
      </c>
      <c r="N585">
        <f t="shared" si="177"/>
        <v>0</v>
      </c>
      <c r="O585" t="s">
        <v>38</v>
      </c>
      <c r="P585">
        <f t="shared" si="178"/>
        <v>1</v>
      </c>
      <c r="Q585">
        <f t="shared" si="179"/>
        <v>0</v>
      </c>
      <c r="R585">
        <f t="shared" si="180"/>
        <v>0</v>
      </c>
      <c r="S585">
        <f t="shared" si="181"/>
        <v>0</v>
      </c>
      <c r="T585">
        <f t="shared" si="182"/>
        <v>0</v>
      </c>
      <c r="U585">
        <f t="shared" si="183"/>
        <v>0</v>
      </c>
      <c r="V585">
        <f t="shared" si="184"/>
        <v>0</v>
      </c>
      <c r="W585" t="s">
        <v>39</v>
      </c>
      <c r="X585">
        <f t="shared" si="185"/>
        <v>1</v>
      </c>
      <c r="Y585">
        <f t="shared" si="186"/>
        <v>0</v>
      </c>
      <c r="Z585">
        <v>5</v>
      </c>
      <c r="AA585">
        <f t="shared" si="187"/>
        <v>1</v>
      </c>
      <c r="AB585" t="s">
        <v>46</v>
      </c>
      <c r="AC585">
        <f t="shared" si="188"/>
        <v>0</v>
      </c>
      <c r="AD585">
        <f t="shared" si="189"/>
        <v>0</v>
      </c>
      <c r="AE585" t="s">
        <v>41</v>
      </c>
      <c r="AF585">
        <f>IF(AE585="website",1,0)</f>
        <v>1</v>
      </c>
    </row>
    <row r="586" spans="1:32">
      <c r="A586" t="s">
        <v>1203</v>
      </c>
      <c r="B586" t="s">
        <v>33</v>
      </c>
      <c r="C586" s="3">
        <f t="shared" si="171"/>
        <v>0</v>
      </c>
      <c r="D586">
        <f t="shared" si="172"/>
        <v>1</v>
      </c>
      <c r="E586" t="s">
        <v>761</v>
      </c>
      <c r="F586" t="s">
        <v>308</v>
      </c>
      <c r="G586" s="1">
        <v>22319</v>
      </c>
      <c r="H586" s="2">
        <f t="shared" ca="1" si="173"/>
        <v>65</v>
      </c>
      <c r="I586" s="2">
        <f t="shared" ca="1" si="174"/>
        <v>0.5714285714285714</v>
      </c>
      <c r="J586" t="s">
        <v>45</v>
      </c>
      <c r="K586" t="s">
        <v>37</v>
      </c>
      <c r="L586">
        <f t="shared" si="175"/>
        <v>1</v>
      </c>
      <c r="M586">
        <f t="shared" si="176"/>
        <v>0</v>
      </c>
      <c r="N586">
        <f t="shared" si="177"/>
        <v>0</v>
      </c>
      <c r="O586" t="s">
        <v>137</v>
      </c>
      <c r="P586">
        <f t="shared" si="178"/>
        <v>0</v>
      </c>
      <c r="Q586">
        <f t="shared" si="179"/>
        <v>0</v>
      </c>
      <c r="R586">
        <f t="shared" si="180"/>
        <v>0</v>
      </c>
      <c r="S586">
        <f t="shared" si="181"/>
        <v>0</v>
      </c>
      <c r="T586">
        <f t="shared" si="182"/>
        <v>0</v>
      </c>
      <c r="U586">
        <f t="shared" si="183"/>
        <v>0</v>
      </c>
      <c r="V586">
        <f t="shared" si="184"/>
        <v>0</v>
      </c>
      <c r="W586" t="s">
        <v>39</v>
      </c>
      <c r="X586">
        <f t="shared" si="185"/>
        <v>1</v>
      </c>
      <c r="Y586">
        <f t="shared" si="186"/>
        <v>0</v>
      </c>
      <c r="Z586">
        <v>3</v>
      </c>
      <c r="AA586">
        <f t="shared" si="187"/>
        <v>0.5</v>
      </c>
      <c r="AB586" t="s">
        <v>46</v>
      </c>
      <c r="AC586">
        <f t="shared" si="188"/>
        <v>1</v>
      </c>
      <c r="AD586">
        <f t="shared" si="189"/>
        <v>0</v>
      </c>
      <c r="AE586" t="s">
        <v>50</v>
      </c>
      <c r="AF586">
        <f>IF(AE586="website",1,0)</f>
        <v>0</v>
      </c>
    </row>
    <row r="587" spans="1:32">
      <c r="A587" t="s">
        <v>1204</v>
      </c>
      <c r="B587" t="s">
        <v>33</v>
      </c>
      <c r="C587" s="3">
        <f t="shared" si="171"/>
        <v>0</v>
      </c>
      <c r="D587">
        <f t="shared" si="172"/>
        <v>1</v>
      </c>
      <c r="E587" t="s">
        <v>815</v>
      </c>
      <c r="F587" t="s">
        <v>730</v>
      </c>
      <c r="G587" s="1">
        <v>28290</v>
      </c>
      <c r="H587" s="2">
        <f t="shared" ca="1" si="173"/>
        <v>49</v>
      </c>
      <c r="I587" s="2">
        <f t="shared" ca="1" si="174"/>
        <v>0.34285714285714286</v>
      </c>
      <c r="J587" t="s">
        <v>45</v>
      </c>
      <c r="K587" t="s">
        <v>37</v>
      </c>
      <c r="L587">
        <f t="shared" si="175"/>
        <v>1</v>
      </c>
      <c r="M587">
        <f t="shared" si="176"/>
        <v>0</v>
      </c>
      <c r="N587">
        <f t="shared" si="177"/>
        <v>0</v>
      </c>
      <c r="O587" t="s">
        <v>38</v>
      </c>
      <c r="P587">
        <f t="shared" si="178"/>
        <v>1</v>
      </c>
      <c r="Q587">
        <f t="shared" si="179"/>
        <v>0</v>
      </c>
      <c r="R587">
        <f t="shared" si="180"/>
        <v>0</v>
      </c>
      <c r="S587">
        <f t="shared" si="181"/>
        <v>0</v>
      </c>
      <c r="T587">
        <f t="shared" si="182"/>
        <v>0</v>
      </c>
      <c r="U587">
        <f t="shared" si="183"/>
        <v>0</v>
      </c>
      <c r="V587">
        <f t="shared" si="184"/>
        <v>0</v>
      </c>
      <c r="W587" t="s">
        <v>39</v>
      </c>
      <c r="X587">
        <f t="shared" si="185"/>
        <v>1</v>
      </c>
      <c r="Y587">
        <f t="shared" si="186"/>
        <v>0</v>
      </c>
      <c r="Z587">
        <v>2</v>
      </c>
      <c r="AA587">
        <f t="shared" si="187"/>
        <v>0.25</v>
      </c>
      <c r="AB587" t="s">
        <v>40</v>
      </c>
      <c r="AC587">
        <f t="shared" si="188"/>
        <v>0</v>
      </c>
      <c r="AD587">
        <f t="shared" si="189"/>
        <v>1</v>
      </c>
      <c r="AE587" t="s">
        <v>90</v>
      </c>
      <c r="AF587">
        <f>IF(AE587="website",1,0)</f>
        <v>0</v>
      </c>
    </row>
    <row r="588" spans="1:32">
      <c r="A588" t="s">
        <v>1205</v>
      </c>
      <c r="B588" t="s">
        <v>33</v>
      </c>
      <c r="C588" s="3">
        <f t="shared" si="171"/>
        <v>0</v>
      </c>
      <c r="D588">
        <f t="shared" si="172"/>
        <v>1</v>
      </c>
      <c r="E588" t="s">
        <v>556</v>
      </c>
      <c r="F588" t="s">
        <v>695</v>
      </c>
      <c r="G588" s="1">
        <v>33932</v>
      </c>
      <c r="H588" s="2">
        <f t="shared" ca="1" si="173"/>
        <v>33</v>
      </c>
      <c r="I588" s="2">
        <f t="shared" ca="1" si="174"/>
        <v>0.11428571428571428</v>
      </c>
      <c r="J588" t="s">
        <v>36</v>
      </c>
      <c r="K588" t="s">
        <v>37</v>
      </c>
      <c r="L588">
        <f t="shared" si="175"/>
        <v>1</v>
      </c>
      <c r="M588">
        <f t="shared" si="176"/>
        <v>0</v>
      </c>
      <c r="N588">
        <f t="shared" si="177"/>
        <v>0</v>
      </c>
      <c r="O588" t="s">
        <v>717</v>
      </c>
      <c r="P588">
        <f t="shared" si="178"/>
        <v>0</v>
      </c>
      <c r="Q588">
        <f t="shared" si="179"/>
        <v>0</v>
      </c>
      <c r="R588">
        <f t="shared" si="180"/>
        <v>0</v>
      </c>
      <c r="S588">
        <f t="shared" si="181"/>
        <v>0</v>
      </c>
      <c r="T588">
        <f t="shared" si="182"/>
        <v>0</v>
      </c>
      <c r="U588">
        <f t="shared" si="183"/>
        <v>0</v>
      </c>
      <c r="V588">
        <f t="shared" si="184"/>
        <v>0</v>
      </c>
      <c r="W588" t="s">
        <v>39</v>
      </c>
      <c r="X588">
        <f t="shared" si="185"/>
        <v>1</v>
      </c>
      <c r="Y588">
        <f t="shared" si="186"/>
        <v>0</v>
      </c>
      <c r="Z588">
        <v>4</v>
      </c>
      <c r="AA588">
        <f t="shared" si="187"/>
        <v>0.75</v>
      </c>
      <c r="AB588" t="s">
        <v>46</v>
      </c>
      <c r="AC588">
        <f t="shared" si="188"/>
        <v>0</v>
      </c>
      <c r="AD588">
        <f t="shared" si="189"/>
        <v>0</v>
      </c>
      <c r="AE588" t="s">
        <v>41</v>
      </c>
      <c r="AF588">
        <f>IF(AE588="website",1,0)</f>
        <v>1</v>
      </c>
    </row>
    <row r="589" spans="1:32">
      <c r="A589" t="s">
        <v>1206</v>
      </c>
      <c r="B589" t="s">
        <v>33</v>
      </c>
      <c r="C589" s="3">
        <f t="shared" si="171"/>
        <v>0</v>
      </c>
      <c r="D589">
        <f t="shared" si="172"/>
        <v>1</v>
      </c>
      <c r="E589" t="s">
        <v>663</v>
      </c>
      <c r="F589" t="s">
        <v>633</v>
      </c>
      <c r="G589" s="1">
        <v>32832</v>
      </c>
      <c r="H589" s="2">
        <f t="shared" ca="1" si="173"/>
        <v>36</v>
      </c>
      <c r="I589" s="2">
        <f t="shared" ca="1" si="174"/>
        <v>0.15714285714285714</v>
      </c>
      <c r="J589" t="s">
        <v>36</v>
      </c>
      <c r="K589" t="s">
        <v>37</v>
      </c>
      <c r="L589">
        <f t="shared" si="175"/>
        <v>1</v>
      </c>
      <c r="M589">
        <f t="shared" si="176"/>
        <v>0</v>
      </c>
      <c r="N589">
        <f t="shared" si="177"/>
        <v>0</v>
      </c>
      <c r="O589" t="s">
        <v>600</v>
      </c>
      <c r="P589">
        <f t="shared" si="178"/>
        <v>0</v>
      </c>
      <c r="Q589">
        <f t="shared" si="179"/>
        <v>0</v>
      </c>
      <c r="R589">
        <f t="shared" si="180"/>
        <v>0</v>
      </c>
      <c r="S589">
        <f t="shared" si="181"/>
        <v>0</v>
      </c>
      <c r="T589">
        <f t="shared" si="182"/>
        <v>0</v>
      </c>
      <c r="U589">
        <f t="shared" si="183"/>
        <v>0</v>
      </c>
      <c r="V589">
        <f t="shared" si="184"/>
        <v>0</v>
      </c>
      <c r="W589" t="s">
        <v>39</v>
      </c>
      <c r="X589">
        <f t="shared" si="185"/>
        <v>1</v>
      </c>
      <c r="Y589">
        <f t="shared" si="186"/>
        <v>0</v>
      </c>
      <c r="Z589">
        <v>2</v>
      </c>
      <c r="AA589">
        <f t="shared" si="187"/>
        <v>0.25</v>
      </c>
      <c r="AB589" t="s">
        <v>46</v>
      </c>
      <c r="AC589">
        <f t="shared" si="188"/>
        <v>0</v>
      </c>
      <c r="AD589">
        <f t="shared" si="189"/>
        <v>0</v>
      </c>
      <c r="AE589" t="s">
        <v>41</v>
      </c>
      <c r="AF589">
        <f>IF(AE589="website",1,0)</f>
        <v>1</v>
      </c>
    </row>
    <row r="590" spans="1:32">
      <c r="A590" t="s">
        <v>1207</v>
      </c>
      <c r="B590" t="s">
        <v>33</v>
      </c>
      <c r="C590" s="3">
        <f t="shared" si="171"/>
        <v>0</v>
      </c>
      <c r="D590">
        <f t="shared" si="172"/>
        <v>1</v>
      </c>
      <c r="E590" t="s">
        <v>690</v>
      </c>
      <c r="F590" t="s">
        <v>579</v>
      </c>
      <c r="G590" s="1">
        <v>17066</v>
      </c>
      <c r="H590" s="2">
        <f t="shared" ca="1" si="173"/>
        <v>80</v>
      </c>
      <c r="I590" s="2">
        <f t="shared" ca="1" si="174"/>
        <v>0.7857142857142857</v>
      </c>
      <c r="J590" t="s">
        <v>45</v>
      </c>
      <c r="K590" t="s">
        <v>37</v>
      </c>
      <c r="L590">
        <f t="shared" si="175"/>
        <v>1</v>
      </c>
      <c r="M590">
        <f t="shared" si="176"/>
        <v>0</v>
      </c>
      <c r="N590">
        <f t="shared" si="177"/>
        <v>0</v>
      </c>
      <c r="O590" t="s">
        <v>592</v>
      </c>
      <c r="P590">
        <f t="shared" si="178"/>
        <v>0</v>
      </c>
      <c r="Q590">
        <f t="shared" si="179"/>
        <v>0</v>
      </c>
      <c r="R590">
        <f t="shared" si="180"/>
        <v>0</v>
      </c>
      <c r="S590">
        <f t="shared" si="181"/>
        <v>0</v>
      </c>
      <c r="T590">
        <f t="shared" si="182"/>
        <v>0</v>
      </c>
      <c r="U590">
        <f t="shared" si="183"/>
        <v>0</v>
      </c>
      <c r="V590">
        <f t="shared" si="184"/>
        <v>0</v>
      </c>
      <c r="W590" t="s">
        <v>58</v>
      </c>
      <c r="X590">
        <f t="shared" si="185"/>
        <v>0</v>
      </c>
      <c r="Y590">
        <f t="shared" si="186"/>
        <v>1</v>
      </c>
      <c r="Z590">
        <v>5</v>
      </c>
      <c r="AA590">
        <f t="shared" si="187"/>
        <v>1</v>
      </c>
      <c r="AB590" t="s">
        <v>46</v>
      </c>
      <c r="AC590">
        <f t="shared" si="188"/>
        <v>0</v>
      </c>
      <c r="AD590">
        <f t="shared" si="189"/>
        <v>1</v>
      </c>
      <c r="AE590" t="s">
        <v>90</v>
      </c>
      <c r="AF590">
        <f>IF(AE590="website",1,0)</f>
        <v>0</v>
      </c>
    </row>
    <row r="591" spans="1:32">
      <c r="A591" t="s">
        <v>1208</v>
      </c>
      <c r="B591" t="s">
        <v>33</v>
      </c>
      <c r="C591" s="3">
        <f t="shared" si="171"/>
        <v>0</v>
      </c>
      <c r="D591">
        <f t="shared" si="172"/>
        <v>1</v>
      </c>
      <c r="E591" t="s">
        <v>398</v>
      </c>
      <c r="F591" t="s">
        <v>623</v>
      </c>
      <c r="G591" s="1">
        <v>24366</v>
      </c>
      <c r="H591" s="2">
        <f t="shared" ca="1" si="173"/>
        <v>60</v>
      </c>
      <c r="I591" s="2">
        <f t="shared" ca="1" si="174"/>
        <v>0.5</v>
      </c>
      <c r="J591" t="s">
        <v>45</v>
      </c>
      <c r="K591" t="s">
        <v>248</v>
      </c>
      <c r="L591">
        <f t="shared" si="175"/>
        <v>0</v>
      </c>
      <c r="M591">
        <f t="shared" si="176"/>
        <v>0</v>
      </c>
      <c r="N591">
        <f t="shared" si="177"/>
        <v>0</v>
      </c>
      <c r="O591" t="s">
        <v>411</v>
      </c>
      <c r="P591">
        <f t="shared" si="178"/>
        <v>0</v>
      </c>
      <c r="Q591">
        <f t="shared" si="179"/>
        <v>0</v>
      </c>
      <c r="R591">
        <f t="shared" si="180"/>
        <v>0</v>
      </c>
      <c r="S591">
        <f t="shared" si="181"/>
        <v>0</v>
      </c>
      <c r="T591">
        <f t="shared" si="182"/>
        <v>0</v>
      </c>
      <c r="U591">
        <f t="shared" si="183"/>
        <v>0</v>
      </c>
      <c r="V591">
        <f t="shared" si="184"/>
        <v>0</v>
      </c>
      <c r="W591" t="s">
        <v>58</v>
      </c>
      <c r="X591">
        <f t="shared" si="185"/>
        <v>0</v>
      </c>
      <c r="Y591">
        <f t="shared" si="186"/>
        <v>1</v>
      </c>
      <c r="Z591">
        <v>2</v>
      </c>
      <c r="AA591">
        <f t="shared" si="187"/>
        <v>0.25</v>
      </c>
      <c r="AB591" t="s">
        <v>46</v>
      </c>
      <c r="AC591">
        <f t="shared" si="188"/>
        <v>0</v>
      </c>
      <c r="AD591">
        <f t="shared" si="189"/>
        <v>0</v>
      </c>
      <c r="AE591" t="s">
        <v>41</v>
      </c>
      <c r="AF591">
        <f>IF(AE591="website",1,0)</f>
        <v>1</v>
      </c>
    </row>
    <row r="592" spans="1:32">
      <c r="A592" t="s">
        <v>1209</v>
      </c>
      <c r="B592" t="s">
        <v>33</v>
      </c>
      <c r="C592" s="3">
        <f t="shared" si="171"/>
        <v>0</v>
      </c>
      <c r="D592">
        <f t="shared" si="172"/>
        <v>1</v>
      </c>
      <c r="E592" t="s">
        <v>1210</v>
      </c>
      <c r="F592" t="s">
        <v>738</v>
      </c>
      <c r="G592" s="1">
        <v>25084</v>
      </c>
      <c r="H592" s="2">
        <f t="shared" ca="1" si="173"/>
        <v>58</v>
      </c>
      <c r="I592" s="2">
        <f t="shared" ca="1" si="174"/>
        <v>0.47142857142857142</v>
      </c>
      <c r="J592" t="s">
        <v>36</v>
      </c>
      <c r="K592" t="s">
        <v>37</v>
      </c>
      <c r="L592">
        <f t="shared" si="175"/>
        <v>1</v>
      </c>
      <c r="M592">
        <f t="shared" si="176"/>
        <v>0</v>
      </c>
      <c r="N592">
        <f t="shared" si="177"/>
        <v>0</v>
      </c>
      <c r="O592" t="s">
        <v>124</v>
      </c>
      <c r="P592">
        <f t="shared" si="178"/>
        <v>0</v>
      </c>
      <c r="Q592">
        <f t="shared" si="179"/>
        <v>0</v>
      </c>
      <c r="R592">
        <f t="shared" si="180"/>
        <v>0</v>
      </c>
      <c r="S592">
        <f t="shared" si="181"/>
        <v>0</v>
      </c>
      <c r="T592">
        <f t="shared" si="182"/>
        <v>0</v>
      </c>
      <c r="U592">
        <f t="shared" si="183"/>
        <v>1</v>
      </c>
      <c r="V592">
        <f t="shared" si="184"/>
        <v>0</v>
      </c>
      <c r="W592" t="s">
        <v>39</v>
      </c>
      <c r="X592">
        <f t="shared" si="185"/>
        <v>1</v>
      </c>
      <c r="Y592">
        <f t="shared" si="186"/>
        <v>0</v>
      </c>
      <c r="Z592">
        <v>1</v>
      </c>
      <c r="AA592">
        <f t="shared" si="187"/>
        <v>0</v>
      </c>
      <c r="AB592" t="s">
        <v>46</v>
      </c>
      <c r="AC592">
        <f t="shared" si="188"/>
        <v>0</v>
      </c>
      <c r="AD592">
        <f t="shared" si="189"/>
        <v>0</v>
      </c>
      <c r="AE592" t="s">
        <v>41</v>
      </c>
      <c r="AF592">
        <f>IF(AE592="website",1,0)</f>
        <v>1</v>
      </c>
    </row>
    <row r="593" spans="1:32">
      <c r="A593" t="s">
        <v>1211</v>
      </c>
      <c r="B593" t="s">
        <v>33</v>
      </c>
      <c r="C593" s="3">
        <f t="shared" si="171"/>
        <v>0</v>
      </c>
      <c r="D593">
        <f t="shared" si="172"/>
        <v>1</v>
      </c>
      <c r="E593" t="s">
        <v>832</v>
      </c>
      <c r="F593" t="s">
        <v>620</v>
      </c>
      <c r="G593" s="1">
        <v>26364</v>
      </c>
      <c r="H593" s="2">
        <f t="shared" ca="1" si="173"/>
        <v>54</v>
      </c>
      <c r="I593" s="2">
        <f t="shared" ca="1" si="174"/>
        <v>0.41428571428571431</v>
      </c>
      <c r="J593" t="s">
        <v>45</v>
      </c>
      <c r="K593" t="s">
        <v>37</v>
      </c>
      <c r="L593">
        <f t="shared" si="175"/>
        <v>1</v>
      </c>
      <c r="M593">
        <f t="shared" si="176"/>
        <v>0</v>
      </c>
      <c r="N593">
        <f t="shared" si="177"/>
        <v>0</v>
      </c>
      <c r="O593" t="s">
        <v>97</v>
      </c>
      <c r="P593">
        <f t="shared" si="178"/>
        <v>0</v>
      </c>
      <c r="Q593">
        <f t="shared" si="179"/>
        <v>0</v>
      </c>
      <c r="R593">
        <f t="shared" si="180"/>
        <v>0</v>
      </c>
      <c r="S593">
        <f t="shared" si="181"/>
        <v>0</v>
      </c>
      <c r="T593">
        <f t="shared" si="182"/>
        <v>1</v>
      </c>
      <c r="U593">
        <f t="shared" si="183"/>
        <v>0</v>
      </c>
      <c r="V593">
        <f t="shared" si="184"/>
        <v>0</v>
      </c>
      <c r="W593" t="s">
        <v>58</v>
      </c>
      <c r="X593">
        <f t="shared" si="185"/>
        <v>0</v>
      </c>
      <c r="Y593">
        <f t="shared" si="186"/>
        <v>1</v>
      </c>
      <c r="Z593">
        <v>2</v>
      </c>
      <c r="AA593">
        <f t="shared" si="187"/>
        <v>0.25</v>
      </c>
      <c r="AB593" t="s">
        <v>46</v>
      </c>
      <c r="AC593">
        <f t="shared" si="188"/>
        <v>0</v>
      </c>
      <c r="AD593">
        <f t="shared" si="189"/>
        <v>1</v>
      </c>
      <c r="AE593" t="s">
        <v>90</v>
      </c>
      <c r="AF593">
        <f>IF(AE593="website",1,0)</f>
        <v>0</v>
      </c>
    </row>
    <row r="594" spans="1:32">
      <c r="A594" t="s">
        <v>1212</v>
      </c>
      <c r="B594" t="s">
        <v>33</v>
      </c>
      <c r="C594" s="3">
        <f t="shared" si="171"/>
        <v>0</v>
      </c>
      <c r="D594">
        <f t="shared" si="172"/>
        <v>1</v>
      </c>
      <c r="E594" t="s">
        <v>753</v>
      </c>
      <c r="F594" t="s">
        <v>568</v>
      </c>
      <c r="G594" s="1">
        <v>19214</v>
      </c>
      <c r="H594" s="2">
        <f t="shared" ca="1" si="173"/>
        <v>74</v>
      </c>
      <c r="I594" s="2">
        <f t="shared" ca="1" si="174"/>
        <v>0.7</v>
      </c>
      <c r="J594" t="s">
        <v>36</v>
      </c>
      <c r="K594" t="s">
        <v>37</v>
      </c>
      <c r="L594">
        <f t="shared" si="175"/>
        <v>1</v>
      </c>
      <c r="M594">
        <f t="shared" si="176"/>
        <v>0</v>
      </c>
      <c r="N594">
        <f t="shared" si="177"/>
        <v>0</v>
      </c>
      <c r="O594" t="s">
        <v>38</v>
      </c>
      <c r="P594">
        <f t="shared" si="178"/>
        <v>1</v>
      </c>
      <c r="Q594">
        <f t="shared" si="179"/>
        <v>0</v>
      </c>
      <c r="R594">
        <f t="shared" si="180"/>
        <v>0</v>
      </c>
      <c r="S594">
        <f t="shared" si="181"/>
        <v>0</v>
      </c>
      <c r="T594">
        <f t="shared" si="182"/>
        <v>0</v>
      </c>
      <c r="U594">
        <f t="shared" si="183"/>
        <v>0</v>
      </c>
      <c r="V594">
        <f t="shared" si="184"/>
        <v>0</v>
      </c>
      <c r="W594" t="s">
        <v>39</v>
      </c>
      <c r="X594">
        <f t="shared" si="185"/>
        <v>1</v>
      </c>
      <c r="Y594">
        <f t="shared" si="186"/>
        <v>0</v>
      </c>
      <c r="Z594">
        <v>2</v>
      </c>
      <c r="AA594">
        <f t="shared" si="187"/>
        <v>0.25</v>
      </c>
      <c r="AB594" t="s">
        <v>40</v>
      </c>
      <c r="AC594">
        <f t="shared" si="188"/>
        <v>1</v>
      </c>
      <c r="AD594">
        <f t="shared" si="189"/>
        <v>0</v>
      </c>
      <c r="AE594" t="s">
        <v>50</v>
      </c>
      <c r="AF594">
        <f>IF(AE594="website",1,0)</f>
        <v>0</v>
      </c>
    </row>
    <row r="595" spans="1:32">
      <c r="A595" t="s">
        <v>1213</v>
      </c>
      <c r="B595" t="s">
        <v>33</v>
      </c>
      <c r="C595" s="3">
        <f t="shared" si="171"/>
        <v>0</v>
      </c>
      <c r="D595">
        <f t="shared" si="172"/>
        <v>1</v>
      </c>
      <c r="E595" t="s">
        <v>890</v>
      </c>
      <c r="F595" t="s">
        <v>726</v>
      </c>
      <c r="G595" s="1">
        <v>15555</v>
      </c>
      <c r="H595" s="2">
        <f t="shared" ca="1" si="173"/>
        <v>84</v>
      </c>
      <c r="I595" s="2">
        <f t="shared" ca="1" si="174"/>
        <v>0.84285714285714286</v>
      </c>
      <c r="J595" t="s">
        <v>36</v>
      </c>
      <c r="K595" t="s">
        <v>37</v>
      </c>
      <c r="L595">
        <f t="shared" si="175"/>
        <v>1</v>
      </c>
      <c r="M595">
        <f t="shared" si="176"/>
        <v>0</v>
      </c>
      <c r="N595">
        <f t="shared" si="177"/>
        <v>0</v>
      </c>
      <c r="O595" t="s">
        <v>183</v>
      </c>
      <c r="P595">
        <f t="shared" si="178"/>
        <v>0</v>
      </c>
      <c r="Q595">
        <f t="shared" si="179"/>
        <v>0</v>
      </c>
      <c r="R595">
        <f t="shared" si="180"/>
        <v>0</v>
      </c>
      <c r="S595">
        <f t="shared" si="181"/>
        <v>0</v>
      </c>
      <c r="T595">
        <f t="shared" si="182"/>
        <v>0</v>
      </c>
      <c r="U595">
        <f t="shared" si="183"/>
        <v>0</v>
      </c>
      <c r="V595">
        <f t="shared" si="184"/>
        <v>0</v>
      </c>
      <c r="W595" t="s">
        <v>39</v>
      </c>
      <c r="X595">
        <f t="shared" si="185"/>
        <v>1</v>
      </c>
      <c r="Y595">
        <f t="shared" si="186"/>
        <v>0</v>
      </c>
      <c r="Z595">
        <v>1</v>
      </c>
      <c r="AA595">
        <f t="shared" si="187"/>
        <v>0</v>
      </c>
      <c r="AB595" t="s">
        <v>46</v>
      </c>
      <c r="AC595">
        <f t="shared" si="188"/>
        <v>1</v>
      </c>
      <c r="AD595">
        <f t="shared" si="189"/>
        <v>0</v>
      </c>
      <c r="AE595" t="s">
        <v>50</v>
      </c>
      <c r="AF595">
        <f>IF(AE595="website",1,0)</f>
        <v>0</v>
      </c>
    </row>
    <row r="596" spans="1:32">
      <c r="A596" t="s">
        <v>1214</v>
      </c>
      <c r="B596" t="s">
        <v>33</v>
      </c>
      <c r="C596" s="3">
        <f t="shared" si="171"/>
        <v>0</v>
      </c>
      <c r="D596">
        <f t="shared" si="172"/>
        <v>1</v>
      </c>
      <c r="E596" t="s">
        <v>612</v>
      </c>
      <c r="F596" t="s">
        <v>764</v>
      </c>
      <c r="G596" s="1">
        <v>24386</v>
      </c>
      <c r="H596" s="2">
        <f t="shared" ca="1" si="173"/>
        <v>59</v>
      </c>
      <c r="I596" s="2">
        <f t="shared" ca="1" si="174"/>
        <v>0.48571428571428571</v>
      </c>
      <c r="J596" t="s">
        <v>36</v>
      </c>
      <c r="K596" t="s">
        <v>37</v>
      </c>
      <c r="L596">
        <f t="shared" si="175"/>
        <v>1</v>
      </c>
      <c r="M596">
        <f t="shared" si="176"/>
        <v>0</v>
      </c>
      <c r="N596">
        <f t="shared" si="177"/>
        <v>0</v>
      </c>
      <c r="O596" t="s">
        <v>183</v>
      </c>
      <c r="P596">
        <f t="shared" si="178"/>
        <v>0</v>
      </c>
      <c r="Q596">
        <f t="shared" si="179"/>
        <v>0</v>
      </c>
      <c r="R596">
        <f t="shared" si="180"/>
        <v>0</v>
      </c>
      <c r="S596">
        <f t="shared" si="181"/>
        <v>0</v>
      </c>
      <c r="T596">
        <f t="shared" si="182"/>
        <v>0</v>
      </c>
      <c r="U596">
        <f t="shared" si="183"/>
        <v>0</v>
      </c>
      <c r="V596">
        <f t="shared" si="184"/>
        <v>0</v>
      </c>
      <c r="W596" t="s">
        <v>39</v>
      </c>
      <c r="X596">
        <f t="shared" si="185"/>
        <v>1</v>
      </c>
      <c r="Y596">
        <f t="shared" si="186"/>
        <v>0</v>
      </c>
      <c r="Z596">
        <v>3</v>
      </c>
      <c r="AA596">
        <f t="shared" si="187"/>
        <v>0.5</v>
      </c>
      <c r="AB596" t="s">
        <v>46</v>
      </c>
      <c r="AC596">
        <f t="shared" si="188"/>
        <v>1</v>
      </c>
      <c r="AD596">
        <f t="shared" si="189"/>
        <v>0</v>
      </c>
      <c r="AE596" t="s">
        <v>50</v>
      </c>
      <c r="AF596">
        <f>IF(AE596="website",1,0)</f>
        <v>0</v>
      </c>
    </row>
    <row r="597" spans="1:32">
      <c r="A597" t="s">
        <v>1215</v>
      </c>
      <c r="B597" t="s">
        <v>33</v>
      </c>
      <c r="C597" s="3">
        <f t="shared" si="171"/>
        <v>0</v>
      </c>
      <c r="D597">
        <f t="shared" si="172"/>
        <v>1</v>
      </c>
      <c r="E597" t="s">
        <v>722</v>
      </c>
      <c r="F597" t="s">
        <v>685</v>
      </c>
      <c r="G597" s="1">
        <v>27867</v>
      </c>
      <c r="H597" s="2">
        <f t="shared" ca="1" si="173"/>
        <v>50</v>
      </c>
      <c r="I597" s="2">
        <f t="shared" ca="1" si="174"/>
        <v>0.35714285714285715</v>
      </c>
      <c r="J597" t="s">
        <v>45</v>
      </c>
      <c r="K597" t="s">
        <v>37</v>
      </c>
      <c r="L597">
        <f t="shared" si="175"/>
        <v>1</v>
      </c>
      <c r="M597">
        <f t="shared" si="176"/>
        <v>0</v>
      </c>
      <c r="N597">
        <f t="shared" si="177"/>
        <v>0</v>
      </c>
      <c r="O597" t="s">
        <v>124</v>
      </c>
      <c r="P597">
        <f t="shared" si="178"/>
        <v>0</v>
      </c>
      <c r="Q597">
        <f t="shared" si="179"/>
        <v>0</v>
      </c>
      <c r="R597">
        <f t="shared" si="180"/>
        <v>0</v>
      </c>
      <c r="S597">
        <f t="shared" si="181"/>
        <v>0</v>
      </c>
      <c r="T597">
        <f t="shared" si="182"/>
        <v>0</v>
      </c>
      <c r="U597">
        <f t="shared" si="183"/>
        <v>1</v>
      </c>
      <c r="V597">
        <f t="shared" si="184"/>
        <v>0</v>
      </c>
      <c r="W597" t="s">
        <v>39</v>
      </c>
      <c r="X597">
        <f t="shared" si="185"/>
        <v>1</v>
      </c>
      <c r="Y597">
        <f t="shared" si="186"/>
        <v>0</v>
      </c>
      <c r="Z597">
        <v>4</v>
      </c>
      <c r="AA597">
        <f t="shared" si="187"/>
        <v>0.75</v>
      </c>
      <c r="AB597" t="s">
        <v>46</v>
      </c>
      <c r="AC597">
        <f t="shared" si="188"/>
        <v>1</v>
      </c>
      <c r="AD597">
        <f t="shared" si="189"/>
        <v>0</v>
      </c>
      <c r="AE597" t="s">
        <v>50</v>
      </c>
      <c r="AF597">
        <f>IF(AE597="website",1,0)</f>
        <v>0</v>
      </c>
    </row>
    <row r="598" spans="1:32">
      <c r="A598" t="s">
        <v>1216</v>
      </c>
      <c r="B598" t="s">
        <v>33</v>
      </c>
      <c r="C598" s="3">
        <f t="shared" si="171"/>
        <v>0</v>
      </c>
      <c r="D598">
        <f t="shared" si="172"/>
        <v>1</v>
      </c>
      <c r="E598" t="s">
        <v>598</v>
      </c>
      <c r="F598" t="s">
        <v>904</v>
      </c>
      <c r="G598" s="1">
        <v>31460</v>
      </c>
      <c r="H598" s="2">
        <f t="shared" ca="1" si="173"/>
        <v>40</v>
      </c>
      <c r="I598" s="2">
        <f t="shared" ca="1" si="174"/>
        <v>0.21428571428571427</v>
      </c>
      <c r="J598" t="s">
        <v>45</v>
      </c>
      <c r="K598" t="s">
        <v>248</v>
      </c>
      <c r="L598">
        <f t="shared" si="175"/>
        <v>0</v>
      </c>
      <c r="M598">
        <f t="shared" si="176"/>
        <v>0</v>
      </c>
      <c r="N598">
        <f t="shared" si="177"/>
        <v>0</v>
      </c>
      <c r="O598" t="s">
        <v>249</v>
      </c>
      <c r="P598">
        <f t="shared" si="178"/>
        <v>0</v>
      </c>
      <c r="Q598">
        <f t="shared" si="179"/>
        <v>0</v>
      </c>
      <c r="R598">
        <f t="shared" si="180"/>
        <v>0</v>
      </c>
      <c r="S598">
        <f t="shared" si="181"/>
        <v>0</v>
      </c>
      <c r="T598">
        <f t="shared" si="182"/>
        <v>0</v>
      </c>
      <c r="U598">
        <f t="shared" si="183"/>
        <v>0</v>
      </c>
      <c r="V598">
        <f t="shared" si="184"/>
        <v>0</v>
      </c>
      <c r="W598" t="s">
        <v>39</v>
      </c>
      <c r="X598">
        <f t="shared" si="185"/>
        <v>1</v>
      </c>
      <c r="Y598">
        <f t="shared" si="186"/>
        <v>0</v>
      </c>
      <c r="Z598">
        <v>2</v>
      </c>
      <c r="AA598">
        <f t="shared" si="187"/>
        <v>0.25</v>
      </c>
      <c r="AB598" t="s">
        <v>40</v>
      </c>
      <c r="AC598">
        <f t="shared" si="188"/>
        <v>0</v>
      </c>
      <c r="AD598">
        <f t="shared" si="189"/>
        <v>0</v>
      </c>
      <c r="AE598" t="s">
        <v>41</v>
      </c>
      <c r="AF598">
        <f>IF(AE598="website",1,0)</f>
        <v>1</v>
      </c>
    </row>
    <row r="599" spans="1:32">
      <c r="A599" t="s">
        <v>1217</v>
      </c>
      <c r="B599" t="s">
        <v>33</v>
      </c>
      <c r="C599" s="3">
        <f t="shared" si="171"/>
        <v>0</v>
      </c>
      <c r="D599">
        <f t="shared" si="172"/>
        <v>1</v>
      </c>
      <c r="E599" t="s">
        <v>561</v>
      </c>
      <c r="F599" t="s">
        <v>656</v>
      </c>
      <c r="G599" s="1">
        <v>18073</v>
      </c>
      <c r="H599" s="2">
        <f t="shared" ca="1" si="173"/>
        <v>77</v>
      </c>
      <c r="I599" s="2">
        <f t="shared" ca="1" si="174"/>
        <v>0.74285714285714288</v>
      </c>
      <c r="J599" t="s">
        <v>45</v>
      </c>
      <c r="K599" t="s">
        <v>37</v>
      </c>
      <c r="L599">
        <f t="shared" si="175"/>
        <v>1</v>
      </c>
      <c r="M599">
        <f t="shared" si="176"/>
        <v>0</v>
      </c>
      <c r="N599">
        <f t="shared" si="177"/>
        <v>0</v>
      </c>
      <c r="O599" t="s">
        <v>137</v>
      </c>
      <c r="P599">
        <f t="shared" si="178"/>
        <v>0</v>
      </c>
      <c r="Q599">
        <f t="shared" si="179"/>
        <v>0</v>
      </c>
      <c r="R599">
        <f t="shared" si="180"/>
        <v>0</v>
      </c>
      <c r="S599">
        <f t="shared" si="181"/>
        <v>0</v>
      </c>
      <c r="T599">
        <f t="shared" si="182"/>
        <v>0</v>
      </c>
      <c r="U599">
        <f t="shared" si="183"/>
        <v>0</v>
      </c>
      <c r="V599">
        <f t="shared" si="184"/>
        <v>0</v>
      </c>
      <c r="W599" t="s">
        <v>58</v>
      </c>
      <c r="X599">
        <f t="shared" si="185"/>
        <v>0</v>
      </c>
      <c r="Y599">
        <f t="shared" si="186"/>
        <v>1</v>
      </c>
      <c r="Z599">
        <v>4</v>
      </c>
      <c r="AA599">
        <f t="shared" si="187"/>
        <v>0.75</v>
      </c>
      <c r="AB599" t="s">
        <v>46</v>
      </c>
      <c r="AC599">
        <f t="shared" si="188"/>
        <v>0</v>
      </c>
      <c r="AD599">
        <f t="shared" si="189"/>
        <v>0</v>
      </c>
      <c r="AE599" t="s">
        <v>41</v>
      </c>
      <c r="AF599">
        <f>IF(AE599="website",1,0)</f>
        <v>1</v>
      </c>
    </row>
    <row r="600" spans="1:32">
      <c r="A600" t="s">
        <v>1218</v>
      </c>
      <c r="B600" t="s">
        <v>33</v>
      </c>
      <c r="C600" s="3">
        <f t="shared" si="171"/>
        <v>0</v>
      </c>
      <c r="D600">
        <f t="shared" si="172"/>
        <v>1</v>
      </c>
      <c r="E600" t="s">
        <v>982</v>
      </c>
      <c r="F600" t="s">
        <v>430</v>
      </c>
      <c r="G600" s="1">
        <v>35873</v>
      </c>
      <c r="H600" s="2">
        <f t="shared" ca="1" si="173"/>
        <v>28</v>
      </c>
      <c r="I600" s="2">
        <f t="shared" ca="1" si="174"/>
        <v>4.2857142857142858E-2</v>
      </c>
      <c r="J600" t="s">
        <v>36</v>
      </c>
      <c r="K600" t="s">
        <v>65</v>
      </c>
      <c r="L600">
        <f t="shared" si="175"/>
        <v>0</v>
      </c>
      <c r="M600">
        <f t="shared" si="176"/>
        <v>1</v>
      </c>
      <c r="N600">
        <f t="shared" si="177"/>
        <v>0</v>
      </c>
      <c r="O600" t="s">
        <v>843</v>
      </c>
      <c r="P600">
        <f t="shared" si="178"/>
        <v>0</v>
      </c>
      <c r="Q600">
        <f t="shared" si="179"/>
        <v>0</v>
      </c>
      <c r="R600">
        <f t="shared" si="180"/>
        <v>0</v>
      </c>
      <c r="S600">
        <f t="shared" si="181"/>
        <v>0</v>
      </c>
      <c r="T600">
        <f t="shared" si="182"/>
        <v>0</v>
      </c>
      <c r="U600">
        <f t="shared" si="183"/>
        <v>0</v>
      </c>
      <c r="V600">
        <f t="shared" si="184"/>
        <v>0</v>
      </c>
      <c r="W600" t="s">
        <v>39</v>
      </c>
      <c r="X600">
        <f t="shared" si="185"/>
        <v>1</v>
      </c>
      <c r="Y600">
        <f t="shared" si="186"/>
        <v>0</v>
      </c>
      <c r="Z600">
        <v>2</v>
      </c>
      <c r="AA600">
        <f t="shared" si="187"/>
        <v>0.25</v>
      </c>
      <c r="AB600" t="s">
        <v>46</v>
      </c>
      <c r="AC600">
        <f t="shared" si="188"/>
        <v>1</v>
      </c>
      <c r="AD600">
        <f t="shared" si="189"/>
        <v>0</v>
      </c>
      <c r="AE600" t="s">
        <v>50</v>
      </c>
      <c r="AF600">
        <f>IF(AE600="website",1,0)</f>
        <v>0</v>
      </c>
    </row>
    <row r="601" spans="1:32">
      <c r="A601" t="s">
        <v>1219</v>
      </c>
      <c r="B601" t="s">
        <v>33</v>
      </c>
      <c r="C601" s="3">
        <f t="shared" si="171"/>
        <v>0</v>
      </c>
      <c r="D601">
        <f t="shared" si="172"/>
        <v>1</v>
      </c>
      <c r="E601" t="s">
        <v>1041</v>
      </c>
      <c r="F601" t="s">
        <v>904</v>
      </c>
      <c r="G601" s="1">
        <v>30758</v>
      </c>
      <c r="H601" s="2">
        <f t="shared" ca="1" si="173"/>
        <v>42</v>
      </c>
      <c r="I601" s="2">
        <f t="shared" ca="1" si="174"/>
        <v>0.24285714285714285</v>
      </c>
      <c r="J601" t="s">
        <v>45</v>
      </c>
      <c r="K601" t="s">
        <v>37</v>
      </c>
      <c r="L601">
        <f t="shared" si="175"/>
        <v>1</v>
      </c>
      <c r="M601">
        <f t="shared" si="176"/>
        <v>0</v>
      </c>
      <c r="N601">
        <f t="shared" si="177"/>
        <v>0</v>
      </c>
      <c r="O601" t="s">
        <v>76</v>
      </c>
      <c r="P601">
        <f t="shared" si="178"/>
        <v>0</v>
      </c>
      <c r="Q601">
        <f t="shared" si="179"/>
        <v>1</v>
      </c>
      <c r="R601">
        <f t="shared" si="180"/>
        <v>0</v>
      </c>
      <c r="S601">
        <f t="shared" si="181"/>
        <v>0</v>
      </c>
      <c r="T601">
        <f t="shared" si="182"/>
        <v>0</v>
      </c>
      <c r="U601">
        <f t="shared" si="183"/>
        <v>0</v>
      </c>
      <c r="V601">
        <f t="shared" si="184"/>
        <v>0</v>
      </c>
      <c r="W601" t="s">
        <v>58</v>
      </c>
      <c r="X601">
        <f t="shared" si="185"/>
        <v>0</v>
      </c>
      <c r="Y601">
        <f t="shared" si="186"/>
        <v>1</v>
      </c>
      <c r="Z601">
        <v>1</v>
      </c>
      <c r="AA601">
        <f t="shared" si="187"/>
        <v>0</v>
      </c>
      <c r="AB601" t="s">
        <v>46</v>
      </c>
      <c r="AC601">
        <f t="shared" si="188"/>
        <v>0</v>
      </c>
      <c r="AD601">
        <f t="shared" si="189"/>
        <v>1</v>
      </c>
      <c r="AE601" t="s">
        <v>90</v>
      </c>
      <c r="AF601">
        <f>IF(AE601="website",1,0)</f>
        <v>0</v>
      </c>
    </row>
    <row r="602" spans="1:32">
      <c r="A602" t="s">
        <v>1220</v>
      </c>
      <c r="B602" t="s">
        <v>33</v>
      </c>
      <c r="C602" s="3">
        <f t="shared" si="171"/>
        <v>0</v>
      </c>
      <c r="D602">
        <f t="shared" si="172"/>
        <v>1</v>
      </c>
      <c r="E602" t="s">
        <v>845</v>
      </c>
      <c r="F602" t="s">
        <v>112</v>
      </c>
      <c r="G602" s="1">
        <v>26588</v>
      </c>
      <c r="H602" s="2">
        <f t="shared" ca="1" si="173"/>
        <v>53</v>
      </c>
      <c r="I602" s="2">
        <f t="shared" ca="1" si="174"/>
        <v>0.4</v>
      </c>
      <c r="J602" t="s">
        <v>36</v>
      </c>
      <c r="K602" t="s">
        <v>37</v>
      </c>
      <c r="L602">
        <f t="shared" si="175"/>
        <v>1</v>
      </c>
      <c r="M602">
        <f t="shared" si="176"/>
        <v>0</v>
      </c>
      <c r="N602">
        <f t="shared" si="177"/>
        <v>0</v>
      </c>
      <c r="O602" t="s">
        <v>38</v>
      </c>
      <c r="P602">
        <f t="shared" si="178"/>
        <v>1</v>
      </c>
      <c r="Q602">
        <f t="shared" si="179"/>
        <v>0</v>
      </c>
      <c r="R602">
        <f t="shared" si="180"/>
        <v>0</v>
      </c>
      <c r="S602">
        <f t="shared" si="181"/>
        <v>0</v>
      </c>
      <c r="T602">
        <f t="shared" si="182"/>
        <v>0</v>
      </c>
      <c r="U602">
        <f t="shared" si="183"/>
        <v>0</v>
      </c>
      <c r="V602">
        <f t="shared" si="184"/>
        <v>0</v>
      </c>
      <c r="W602" t="s">
        <v>39</v>
      </c>
      <c r="X602">
        <f t="shared" si="185"/>
        <v>1</v>
      </c>
      <c r="Y602">
        <f t="shared" si="186"/>
        <v>0</v>
      </c>
      <c r="Z602">
        <v>4</v>
      </c>
      <c r="AA602">
        <f t="shared" si="187"/>
        <v>0.75</v>
      </c>
      <c r="AB602" t="s">
        <v>46</v>
      </c>
      <c r="AC602">
        <f t="shared" si="188"/>
        <v>0</v>
      </c>
      <c r="AD602">
        <f t="shared" si="189"/>
        <v>0</v>
      </c>
      <c r="AE602" t="s">
        <v>41</v>
      </c>
      <c r="AF602">
        <f>IF(AE602="website",1,0)</f>
        <v>1</v>
      </c>
    </row>
    <row r="603" spans="1:32">
      <c r="A603" t="s">
        <v>1221</v>
      </c>
      <c r="B603" t="s">
        <v>33</v>
      </c>
      <c r="C603" s="3">
        <f t="shared" si="171"/>
        <v>0</v>
      </c>
      <c r="D603">
        <f t="shared" si="172"/>
        <v>1</v>
      </c>
      <c r="E603" t="s">
        <v>677</v>
      </c>
      <c r="F603" t="s">
        <v>823</v>
      </c>
      <c r="G603" s="1">
        <v>30765</v>
      </c>
      <c r="H603" s="2">
        <f t="shared" ca="1" si="173"/>
        <v>42</v>
      </c>
      <c r="I603" s="2">
        <f t="shared" ca="1" si="174"/>
        <v>0.24285714285714285</v>
      </c>
      <c r="J603" t="s">
        <v>45</v>
      </c>
      <c r="K603" t="s">
        <v>113</v>
      </c>
      <c r="L603">
        <f t="shared" si="175"/>
        <v>0</v>
      </c>
      <c r="M603">
        <f t="shared" si="176"/>
        <v>0</v>
      </c>
      <c r="N603">
        <f t="shared" si="177"/>
        <v>1</v>
      </c>
      <c r="O603" t="s">
        <v>1137</v>
      </c>
      <c r="P603">
        <f t="shared" si="178"/>
        <v>0</v>
      </c>
      <c r="Q603">
        <f t="shared" si="179"/>
        <v>0</v>
      </c>
      <c r="R603">
        <f t="shared" si="180"/>
        <v>0</v>
      </c>
      <c r="S603">
        <f t="shared" si="181"/>
        <v>0</v>
      </c>
      <c r="T603">
        <f t="shared" si="182"/>
        <v>0</v>
      </c>
      <c r="U603">
        <f t="shared" si="183"/>
        <v>0</v>
      </c>
      <c r="V603">
        <f t="shared" si="184"/>
        <v>0</v>
      </c>
      <c r="W603" t="s">
        <v>39</v>
      </c>
      <c r="X603">
        <f t="shared" si="185"/>
        <v>1</v>
      </c>
      <c r="Y603">
        <f t="shared" si="186"/>
        <v>0</v>
      </c>
      <c r="Z603">
        <v>4</v>
      </c>
      <c r="AA603">
        <f t="shared" si="187"/>
        <v>0.75</v>
      </c>
      <c r="AB603" t="s">
        <v>46</v>
      </c>
      <c r="AC603">
        <f t="shared" si="188"/>
        <v>1</v>
      </c>
      <c r="AD603">
        <f t="shared" si="189"/>
        <v>0</v>
      </c>
      <c r="AE603" t="s">
        <v>50</v>
      </c>
      <c r="AF603">
        <f>IF(AE603="website",1,0)</f>
        <v>0</v>
      </c>
    </row>
    <row r="604" spans="1:32">
      <c r="A604" t="s">
        <v>1222</v>
      </c>
      <c r="B604" t="s">
        <v>33</v>
      </c>
      <c r="C604" s="3">
        <f t="shared" si="171"/>
        <v>0</v>
      </c>
      <c r="D604">
        <f t="shared" si="172"/>
        <v>1</v>
      </c>
      <c r="E604" t="s">
        <v>890</v>
      </c>
      <c r="F604" t="s">
        <v>798</v>
      </c>
      <c r="G604" s="1">
        <v>34341</v>
      </c>
      <c r="H604" s="2">
        <f t="shared" ca="1" si="173"/>
        <v>32</v>
      </c>
      <c r="I604" s="2">
        <f t="shared" ca="1" si="174"/>
        <v>0.1</v>
      </c>
      <c r="J604" t="s">
        <v>36</v>
      </c>
      <c r="K604" t="s">
        <v>37</v>
      </c>
      <c r="L604">
        <f t="shared" si="175"/>
        <v>1</v>
      </c>
      <c r="M604">
        <f t="shared" si="176"/>
        <v>0</v>
      </c>
      <c r="N604">
        <f t="shared" si="177"/>
        <v>0</v>
      </c>
      <c r="O604" t="s">
        <v>717</v>
      </c>
      <c r="P604">
        <f t="shared" si="178"/>
        <v>0</v>
      </c>
      <c r="Q604">
        <f t="shared" si="179"/>
        <v>0</v>
      </c>
      <c r="R604">
        <f t="shared" si="180"/>
        <v>0</v>
      </c>
      <c r="S604">
        <f t="shared" si="181"/>
        <v>0</v>
      </c>
      <c r="T604">
        <f t="shared" si="182"/>
        <v>0</v>
      </c>
      <c r="U604">
        <f t="shared" si="183"/>
        <v>0</v>
      </c>
      <c r="V604">
        <f t="shared" si="184"/>
        <v>0</v>
      </c>
      <c r="W604" t="s">
        <v>39</v>
      </c>
      <c r="X604">
        <f t="shared" si="185"/>
        <v>1</v>
      </c>
      <c r="Y604">
        <f t="shared" si="186"/>
        <v>0</v>
      </c>
      <c r="Z604">
        <v>4</v>
      </c>
      <c r="AA604">
        <f t="shared" si="187"/>
        <v>0.75</v>
      </c>
      <c r="AB604" t="s">
        <v>40</v>
      </c>
      <c r="AC604">
        <f t="shared" si="188"/>
        <v>1</v>
      </c>
      <c r="AD604">
        <f t="shared" si="189"/>
        <v>0</v>
      </c>
      <c r="AE604" t="s">
        <v>50</v>
      </c>
      <c r="AF604">
        <f>IF(AE604="website",1,0)</f>
        <v>0</v>
      </c>
    </row>
    <row r="605" spans="1:32">
      <c r="A605" t="s">
        <v>1223</v>
      </c>
      <c r="B605" t="s">
        <v>33</v>
      </c>
      <c r="C605" s="3">
        <f t="shared" si="171"/>
        <v>0</v>
      </c>
      <c r="D605">
        <f t="shared" si="172"/>
        <v>1</v>
      </c>
      <c r="E605" t="s">
        <v>784</v>
      </c>
      <c r="F605" t="s">
        <v>748</v>
      </c>
      <c r="G605" s="1">
        <v>36055</v>
      </c>
      <c r="H605" s="2">
        <f t="shared" ca="1" si="173"/>
        <v>28</v>
      </c>
      <c r="I605" s="2">
        <f t="shared" ca="1" si="174"/>
        <v>4.2857142857142858E-2</v>
      </c>
      <c r="J605" t="s">
        <v>36</v>
      </c>
      <c r="K605" t="s">
        <v>153</v>
      </c>
      <c r="L605">
        <f t="shared" si="175"/>
        <v>0</v>
      </c>
      <c r="M605">
        <f t="shared" si="176"/>
        <v>0</v>
      </c>
      <c r="N605">
        <f t="shared" si="177"/>
        <v>0</v>
      </c>
      <c r="O605" t="s">
        <v>945</v>
      </c>
      <c r="P605">
        <f t="shared" si="178"/>
        <v>0</v>
      </c>
      <c r="Q605">
        <f t="shared" si="179"/>
        <v>0</v>
      </c>
      <c r="R605">
        <f t="shared" si="180"/>
        <v>0</v>
      </c>
      <c r="S605">
        <f t="shared" si="181"/>
        <v>0</v>
      </c>
      <c r="T605">
        <f t="shared" si="182"/>
        <v>0</v>
      </c>
      <c r="U605">
        <f t="shared" si="183"/>
        <v>0</v>
      </c>
      <c r="V605">
        <f t="shared" si="184"/>
        <v>0</v>
      </c>
      <c r="W605" t="s">
        <v>39</v>
      </c>
      <c r="X605">
        <f t="shared" si="185"/>
        <v>1</v>
      </c>
      <c r="Y605">
        <f t="shared" si="186"/>
        <v>0</v>
      </c>
      <c r="Z605">
        <v>1</v>
      </c>
      <c r="AA605">
        <f t="shared" si="187"/>
        <v>0</v>
      </c>
      <c r="AB605" t="s">
        <v>46</v>
      </c>
      <c r="AC605">
        <f t="shared" si="188"/>
        <v>1</v>
      </c>
      <c r="AD605">
        <f t="shared" si="189"/>
        <v>0</v>
      </c>
      <c r="AE605" t="s">
        <v>50</v>
      </c>
      <c r="AF605">
        <f>IF(AE605="website",1,0)</f>
        <v>0</v>
      </c>
    </row>
    <row r="606" spans="1:32">
      <c r="A606" t="s">
        <v>1224</v>
      </c>
      <c r="B606" t="s">
        <v>33</v>
      </c>
      <c r="C606" s="3">
        <f t="shared" si="171"/>
        <v>0</v>
      </c>
      <c r="D606">
        <f t="shared" si="172"/>
        <v>1</v>
      </c>
      <c r="E606" t="s">
        <v>694</v>
      </c>
      <c r="F606" t="s">
        <v>882</v>
      </c>
      <c r="G606" s="1">
        <v>27208</v>
      </c>
      <c r="H606" s="2">
        <f t="shared" ca="1" si="173"/>
        <v>52</v>
      </c>
      <c r="I606" s="2">
        <f t="shared" ca="1" si="174"/>
        <v>0.38571428571428573</v>
      </c>
      <c r="J606" t="s">
        <v>45</v>
      </c>
      <c r="K606" t="s">
        <v>37</v>
      </c>
      <c r="L606">
        <f t="shared" si="175"/>
        <v>1</v>
      </c>
      <c r="M606">
        <f t="shared" si="176"/>
        <v>0</v>
      </c>
      <c r="N606">
        <f t="shared" si="177"/>
        <v>0</v>
      </c>
      <c r="O606" t="s">
        <v>183</v>
      </c>
      <c r="P606">
        <f t="shared" si="178"/>
        <v>0</v>
      </c>
      <c r="Q606">
        <f t="shared" si="179"/>
        <v>0</v>
      </c>
      <c r="R606">
        <f t="shared" si="180"/>
        <v>0</v>
      </c>
      <c r="S606">
        <f t="shared" si="181"/>
        <v>0</v>
      </c>
      <c r="T606">
        <f t="shared" si="182"/>
        <v>0</v>
      </c>
      <c r="U606">
        <f t="shared" si="183"/>
        <v>0</v>
      </c>
      <c r="V606">
        <f t="shared" si="184"/>
        <v>0</v>
      </c>
      <c r="W606" t="s">
        <v>39</v>
      </c>
      <c r="X606">
        <f t="shared" si="185"/>
        <v>1</v>
      </c>
      <c r="Y606">
        <f t="shared" si="186"/>
        <v>0</v>
      </c>
      <c r="Z606">
        <v>4</v>
      </c>
      <c r="AA606">
        <f t="shared" si="187"/>
        <v>0.75</v>
      </c>
      <c r="AB606" t="s">
        <v>40</v>
      </c>
      <c r="AC606">
        <f t="shared" si="188"/>
        <v>1</v>
      </c>
      <c r="AD606">
        <f t="shared" si="189"/>
        <v>0</v>
      </c>
      <c r="AE606" t="s">
        <v>50</v>
      </c>
      <c r="AF606">
        <f>IF(AE606="website",1,0)</f>
        <v>0</v>
      </c>
    </row>
    <row r="607" spans="1:32">
      <c r="A607" t="s">
        <v>1225</v>
      </c>
      <c r="B607" t="s">
        <v>33</v>
      </c>
      <c r="C607" s="3">
        <f t="shared" si="171"/>
        <v>0</v>
      </c>
      <c r="D607">
        <f t="shared" si="172"/>
        <v>1</v>
      </c>
      <c r="E607" t="s">
        <v>551</v>
      </c>
      <c r="F607" t="s">
        <v>691</v>
      </c>
      <c r="G607" s="1">
        <v>18257</v>
      </c>
      <c r="H607" s="2">
        <f t="shared" ca="1" si="173"/>
        <v>76</v>
      </c>
      <c r="I607" s="2">
        <f t="shared" ca="1" si="174"/>
        <v>0.72857142857142854</v>
      </c>
      <c r="J607" t="s">
        <v>36</v>
      </c>
      <c r="K607" t="s">
        <v>626</v>
      </c>
      <c r="L607">
        <f t="shared" si="175"/>
        <v>0</v>
      </c>
      <c r="M607">
        <f t="shared" si="176"/>
        <v>0</v>
      </c>
      <c r="N607">
        <f t="shared" si="177"/>
        <v>0</v>
      </c>
      <c r="O607" t="s">
        <v>627</v>
      </c>
      <c r="P607">
        <f t="shared" si="178"/>
        <v>0</v>
      </c>
      <c r="Q607">
        <f t="shared" si="179"/>
        <v>0</v>
      </c>
      <c r="R607">
        <f t="shared" si="180"/>
        <v>0</v>
      </c>
      <c r="S607">
        <f t="shared" si="181"/>
        <v>0</v>
      </c>
      <c r="T607">
        <f t="shared" si="182"/>
        <v>0</v>
      </c>
      <c r="U607">
        <f t="shared" si="183"/>
        <v>0</v>
      </c>
      <c r="V607">
        <f t="shared" si="184"/>
        <v>0</v>
      </c>
      <c r="W607" t="s">
        <v>58</v>
      </c>
      <c r="X607">
        <f t="shared" si="185"/>
        <v>0</v>
      </c>
      <c r="Y607">
        <f t="shared" si="186"/>
        <v>1</v>
      </c>
      <c r="Z607">
        <v>1</v>
      </c>
      <c r="AA607">
        <f t="shared" si="187"/>
        <v>0</v>
      </c>
      <c r="AB607" t="s">
        <v>46</v>
      </c>
      <c r="AC607">
        <f t="shared" si="188"/>
        <v>0</v>
      </c>
      <c r="AD607">
        <f t="shared" si="189"/>
        <v>0</v>
      </c>
      <c r="AE607" t="s">
        <v>41</v>
      </c>
      <c r="AF607">
        <f>IF(AE607="website",1,0)</f>
        <v>1</v>
      </c>
    </row>
    <row r="608" spans="1:32">
      <c r="A608" t="s">
        <v>1226</v>
      </c>
      <c r="B608" t="s">
        <v>33</v>
      </c>
      <c r="C608" s="3">
        <f t="shared" si="171"/>
        <v>0</v>
      </c>
      <c r="D608">
        <f t="shared" si="172"/>
        <v>1</v>
      </c>
      <c r="E608" t="s">
        <v>884</v>
      </c>
      <c r="F608" t="s">
        <v>308</v>
      </c>
      <c r="G608" s="1">
        <v>22903</v>
      </c>
      <c r="H608" s="2">
        <f t="shared" ca="1" si="173"/>
        <v>64</v>
      </c>
      <c r="I608" s="2">
        <f t="shared" ca="1" si="174"/>
        <v>0.55714285714285716</v>
      </c>
      <c r="J608" t="s">
        <v>45</v>
      </c>
      <c r="K608" t="s">
        <v>37</v>
      </c>
      <c r="L608">
        <f t="shared" si="175"/>
        <v>1</v>
      </c>
      <c r="M608">
        <f t="shared" si="176"/>
        <v>0</v>
      </c>
      <c r="N608">
        <f t="shared" si="177"/>
        <v>0</v>
      </c>
      <c r="O608" t="s">
        <v>38</v>
      </c>
      <c r="P608">
        <f t="shared" si="178"/>
        <v>1</v>
      </c>
      <c r="Q608">
        <f t="shared" si="179"/>
        <v>0</v>
      </c>
      <c r="R608">
        <f t="shared" si="180"/>
        <v>0</v>
      </c>
      <c r="S608">
        <f t="shared" si="181"/>
        <v>0</v>
      </c>
      <c r="T608">
        <f t="shared" si="182"/>
        <v>0</v>
      </c>
      <c r="U608">
        <f t="shared" si="183"/>
        <v>0</v>
      </c>
      <c r="V608">
        <f t="shared" si="184"/>
        <v>0</v>
      </c>
      <c r="W608" t="s">
        <v>39</v>
      </c>
      <c r="X608">
        <f t="shared" si="185"/>
        <v>1</v>
      </c>
      <c r="Y608">
        <f t="shared" si="186"/>
        <v>0</v>
      </c>
      <c r="Z608">
        <v>1</v>
      </c>
      <c r="AA608">
        <f t="shared" si="187"/>
        <v>0</v>
      </c>
      <c r="AB608" t="s">
        <v>46</v>
      </c>
      <c r="AC608">
        <f t="shared" si="188"/>
        <v>1</v>
      </c>
      <c r="AD608">
        <f t="shared" si="189"/>
        <v>0</v>
      </c>
      <c r="AE608" t="s">
        <v>50</v>
      </c>
      <c r="AF608">
        <f>IF(AE608="website",1,0)</f>
        <v>0</v>
      </c>
    </row>
    <row r="609" spans="1:32">
      <c r="A609" t="s">
        <v>1227</v>
      </c>
      <c r="B609" t="s">
        <v>33</v>
      </c>
      <c r="C609" s="3">
        <f t="shared" si="171"/>
        <v>0</v>
      </c>
      <c r="D609">
        <f t="shared" si="172"/>
        <v>1</v>
      </c>
      <c r="E609" t="s">
        <v>1099</v>
      </c>
      <c r="F609" t="s">
        <v>613</v>
      </c>
      <c r="G609" s="1">
        <v>20620</v>
      </c>
      <c r="H609" s="2">
        <f t="shared" ca="1" si="173"/>
        <v>70</v>
      </c>
      <c r="I609" s="2">
        <f t="shared" ca="1" si="174"/>
        <v>0.6428571428571429</v>
      </c>
      <c r="J609" t="s">
        <v>45</v>
      </c>
      <c r="K609" t="s">
        <v>37</v>
      </c>
      <c r="L609">
        <f t="shared" si="175"/>
        <v>1</v>
      </c>
      <c r="M609">
        <f t="shared" si="176"/>
        <v>0</v>
      </c>
      <c r="N609">
        <f t="shared" si="177"/>
        <v>0</v>
      </c>
      <c r="O609" t="s">
        <v>38</v>
      </c>
      <c r="P609">
        <f t="shared" si="178"/>
        <v>1</v>
      </c>
      <c r="Q609">
        <f t="shared" si="179"/>
        <v>0</v>
      </c>
      <c r="R609">
        <f t="shared" si="180"/>
        <v>0</v>
      </c>
      <c r="S609">
        <f t="shared" si="181"/>
        <v>0</v>
      </c>
      <c r="T609">
        <f t="shared" si="182"/>
        <v>0</v>
      </c>
      <c r="U609">
        <f t="shared" si="183"/>
        <v>0</v>
      </c>
      <c r="V609">
        <f t="shared" si="184"/>
        <v>0</v>
      </c>
      <c r="W609" t="s">
        <v>39</v>
      </c>
      <c r="X609">
        <f t="shared" si="185"/>
        <v>1</v>
      </c>
      <c r="Y609">
        <f t="shared" si="186"/>
        <v>0</v>
      </c>
      <c r="Z609">
        <v>4</v>
      </c>
      <c r="AA609">
        <f t="shared" si="187"/>
        <v>0.75</v>
      </c>
      <c r="AB609" t="s">
        <v>46</v>
      </c>
      <c r="AC609">
        <f t="shared" si="188"/>
        <v>1</v>
      </c>
      <c r="AD609">
        <f t="shared" si="189"/>
        <v>0</v>
      </c>
      <c r="AE609" t="s">
        <v>50</v>
      </c>
      <c r="AF609">
        <f>IF(AE609="website",1,0)</f>
        <v>0</v>
      </c>
    </row>
    <row r="610" spans="1:32">
      <c r="A610" t="s">
        <v>1228</v>
      </c>
      <c r="B610" t="s">
        <v>33</v>
      </c>
      <c r="C610" s="3">
        <f t="shared" si="171"/>
        <v>0</v>
      </c>
      <c r="D610">
        <f t="shared" si="172"/>
        <v>1</v>
      </c>
      <c r="E610" t="s">
        <v>699</v>
      </c>
      <c r="F610" t="s">
        <v>695</v>
      </c>
      <c r="G610" s="1">
        <v>22423</v>
      </c>
      <c r="H610" s="2">
        <f t="shared" ca="1" si="173"/>
        <v>65</v>
      </c>
      <c r="I610" s="2">
        <f t="shared" ca="1" si="174"/>
        <v>0.5714285714285714</v>
      </c>
      <c r="J610" t="s">
        <v>36</v>
      </c>
      <c r="K610" t="s">
        <v>37</v>
      </c>
      <c r="L610">
        <f t="shared" si="175"/>
        <v>1</v>
      </c>
      <c r="M610">
        <f t="shared" si="176"/>
        <v>0</v>
      </c>
      <c r="N610">
        <f t="shared" si="177"/>
        <v>0</v>
      </c>
      <c r="O610" t="s">
        <v>565</v>
      </c>
      <c r="P610">
        <f t="shared" si="178"/>
        <v>0</v>
      </c>
      <c r="Q610">
        <f t="shared" si="179"/>
        <v>0</v>
      </c>
      <c r="R610">
        <f t="shared" si="180"/>
        <v>0</v>
      </c>
      <c r="S610">
        <f t="shared" si="181"/>
        <v>0</v>
      </c>
      <c r="T610">
        <f t="shared" si="182"/>
        <v>0</v>
      </c>
      <c r="U610">
        <f t="shared" si="183"/>
        <v>0</v>
      </c>
      <c r="V610">
        <f t="shared" si="184"/>
        <v>0</v>
      </c>
      <c r="W610" t="s">
        <v>39</v>
      </c>
      <c r="X610">
        <f t="shared" si="185"/>
        <v>1</v>
      </c>
      <c r="Y610">
        <f t="shared" si="186"/>
        <v>0</v>
      </c>
      <c r="Z610">
        <v>4</v>
      </c>
      <c r="AA610">
        <f t="shared" si="187"/>
        <v>0.75</v>
      </c>
      <c r="AB610" t="s">
        <v>46</v>
      </c>
      <c r="AC610">
        <f t="shared" si="188"/>
        <v>1</v>
      </c>
      <c r="AD610">
        <f t="shared" si="189"/>
        <v>0</v>
      </c>
      <c r="AE610" t="s">
        <v>50</v>
      </c>
      <c r="AF610">
        <f>IF(AE610="website",1,0)</f>
        <v>0</v>
      </c>
    </row>
    <row r="611" spans="1:32">
      <c r="A611" t="s">
        <v>1229</v>
      </c>
      <c r="B611" t="s">
        <v>33</v>
      </c>
      <c r="C611" s="3">
        <f t="shared" si="171"/>
        <v>0</v>
      </c>
      <c r="D611">
        <f t="shared" si="172"/>
        <v>1</v>
      </c>
      <c r="E611" t="s">
        <v>894</v>
      </c>
      <c r="F611" t="s">
        <v>703</v>
      </c>
      <c r="G611" s="1">
        <v>25698</v>
      </c>
      <c r="H611" s="2">
        <f t="shared" ca="1" si="173"/>
        <v>56</v>
      </c>
      <c r="I611" s="2">
        <f t="shared" ca="1" si="174"/>
        <v>0.44285714285714284</v>
      </c>
      <c r="J611" t="s">
        <v>36</v>
      </c>
      <c r="K611" t="s">
        <v>37</v>
      </c>
      <c r="L611">
        <f t="shared" si="175"/>
        <v>1</v>
      </c>
      <c r="M611">
        <f t="shared" si="176"/>
        <v>0</v>
      </c>
      <c r="N611">
        <f t="shared" si="177"/>
        <v>0</v>
      </c>
      <c r="O611" t="s">
        <v>38</v>
      </c>
      <c r="P611">
        <f t="shared" si="178"/>
        <v>1</v>
      </c>
      <c r="Q611">
        <f t="shared" si="179"/>
        <v>0</v>
      </c>
      <c r="R611">
        <f t="shared" si="180"/>
        <v>0</v>
      </c>
      <c r="S611">
        <f t="shared" si="181"/>
        <v>0</v>
      </c>
      <c r="T611">
        <f t="shared" si="182"/>
        <v>0</v>
      </c>
      <c r="U611">
        <f t="shared" si="183"/>
        <v>0</v>
      </c>
      <c r="V611">
        <f t="shared" si="184"/>
        <v>0</v>
      </c>
      <c r="W611" t="s">
        <v>58</v>
      </c>
      <c r="X611">
        <f t="shared" si="185"/>
        <v>0</v>
      </c>
      <c r="Y611">
        <f t="shared" si="186"/>
        <v>1</v>
      </c>
      <c r="Z611">
        <v>4</v>
      </c>
      <c r="AA611">
        <f t="shared" si="187"/>
        <v>0.75</v>
      </c>
      <c r="AB611" t="s">
        <v>46</v>
      </c>
      <c r="AC611">
        <f t="shared" si="188"/>
        <v>0</v>
      </c>
      <c r="AD611">
        <f t="shared" si="189"/>
        <v>0</v>
      </c>
      <c r="AE611" t="s">
        <v>41</v>
      </c>
      <c r="AF611">
        <f>IF(AE611="website",1,0)</f>
        <v>1</v>
      </c>
    </row>
    <row r="612" spans="1:32">
      <c r="A612" t="s">
        <v>1230</v>
      </c>
      <c r="B612" t="s">
        <v>33</v>
      </c>
      <c r="C612" s="3">
        <f t="shared" si="171"/>
        <v>0</v>
      </c>
      <c r="D612">
        <f t="shared" si="172"/>
        <v>1</v>
      </c>
      <c r="E612" t="s">
        <v>561</v>
      </c>
      <c r="F612" t="s">
        <v>664</v>
      </c>
      <c r="G612" s="1">
        <v>18603</v>
      </c>
      <c r="H612" s="2">
        <f t="shared" ca="1" si="173"/>
        <v>75</v>
      </c>
      <c r="I612" s="2">
        <f t="shared" ca="1" si="174"/>
        <v>0.7142857142857143</v>
      </c>
      <c r="J612" t="s">
        <v>45</v>
      </c>
      <c r="K612" t="s">
        <v>37</v>
      </c>
      <c r="L612">
        <f t="shared" si="175"/>
        <v>1</v>
      </c>
      <c r="M612">
        <f t="shared" si="176"/>
        <v>0</v>
      </c>
      <c r="N612">
        <f t="shared" si="177"/>
        <v>0</v>
      </c>
      <c r="O612" t="s">
        <v>38</v>
      </c>
      <c r="P612">
        <f t="shared" si="178"/>
        <v>1</v>
      </c>
      <c r="Q612">
        <f t="shared" si="179"/>
        <v>0</v>
      </c>
      <c r="R612">
        <f t="shared" si="180"/>
        <v>0</v>
      </c>
      <c r="S612">
        <f t="shared" si="181"/>
        <v>0</v>
      </c>
      <c r="T612">
        <f t="shared" si="182"/>
        <v>0</v>
      </c>
      <c r="U612">
        <f t="shared" si="183"/>
        <v>0</v>
      </c>
      <c r="V612">
        <f t="shared" si="184"/>
        <v>0</v>
      </c>
      <c r="W612" t="s">
        <v>39</v>
      </c>
      <c r="X612">
        <f t="shared" si="185"/>
        <v>1</v>
      </c>
      <c r="Y612">
        <f t="shared" si="186"/>
        <v>0</v>
      </c>
      <c r="Z612">
        <v>4</v>
      </c>
      <c r="AA612">
        <f t="shared" si="187"/>
        <v>0.75</v>
      </c>
      <c r="AB612" t="s">
        <v>46</v>
      </c>
      <c r="AC612">
        <f t="shared" si="188"/>
        <v>1</v>
      </c>
      <c r="AD612">
        <f t="shared" si="189"/>
        <v>0</v>
      </c>
      <c r="AE612" t="s">
        <v>50</v>
      </c>
      <c r="AF612">
        <f>IF(AE612="website",1,0)</f>
        <v>0</v>
      </c>
    </row>
    <row r="613" spans="1:32">
      <c r="A613" t="s">
        <v>1231</v>
      </c>
      <c r="B613" t="s">
        <v>33</v>
      </c>
      <c r="C613" s="3">
        <f t="shared" si="171"/>
        <v>0</v>
      </c>
      <c r="D613">
        <f t="shared" si="172"/>
        <v>1</v>
      </c>
      <c r="E613" t="s">
        <v>191</v>
      </c>
      <c r="F613" t="s">
        <v>669</v>
      </c>
      <c r="G613" s="1">
        <v>21941</v>
      </c>
      <c r="H613" s="2">
        <f t="shared" ca="1" si="173"/>
        <v>66</v>
      </c>
      <c r="I613" s="2">
        <f t="shared" ca="1" si="174"/>
        <v>0.58571428571428574</v>
      </c>
      <c r="J613" t="s">
        <v>45</v>
      </c>
      <c r="K613" t="s">
        <v>37</v>
      </c>
      <c r="L613">
        <f t="shared" si="175"/>
        <v>1</v>
      </c>
      <c r="M613">
        <f t="shared" si="176"/>
        <v>0</v>
      </c>
      <c r="N613">
        <f t="shared" si="177"/>
        <v>0</v>
      </c>
      <c r="O613" t="s">
        <v>600</v>
      </c>
      <c r="P613">
        <f t="shared" si="178"/>
        <v>0</v>
      </c>
      <c r="Q613">
        <f t="shared" si="179"/>
        <v>0</v>
      </c>
      <c r="R613">
        <f t="shared" si="180"/>
        <v>0</v>
      </c>
      <c r="S613">
        <f t="shared" si="181"/>
        <v>0</v>
      </c>
      <c r="T613">
        <f t="shared" si="182"/>
        <v>0</v>
      </c>
      <c r="U613">
        <f t="shared" si="183"/>
        <v>0</v>
      </c>
      <c r="V613">
        <f t="shared" si="184"/>
        <v>0</v>
      </c>
      <c r="W613" t="s">
        <v>39</v>
      </c>
      <c r="X613">
        <f t="shared" si="185"/>
        <v>1</v>
      </c>
      <c r="Y613">
        <f t="shared" si="186"/>
        <v>0</v>
      </c>
      <c r="Z613">
        <v>4</v>
      </c>
      <c r="AA613">
        <f t="shared" si="187"/>
        <v>0.75</v>
      </c>
      <c r="AB613" t="s">
        <v>46</v>
      </c>
      <c r="AC613">
        <f t="shared" si="188"/>
        <v>1</v>
      </c>
      <c r="AD613">
        <f t="shared" si="189"/>
        <v>0</v>
      </c>
      <c r="AE613" t="s">
        <v>50</v>
      </c>
      <c r="AF613">
        <f>IF(AE613="website",1,0)</f>
        <v>0</v>
      </c>
    </row>
    <row r="614" spans="1:32">
      <c r="A614" t="s">
        <v>1232</v>
      </c>
      <c r="B614" t="s">
        <v>33</v>
      </c>
      <c r="C614" s="3">
        <f t="shared" si="171"/>
        <v>0</v>
      </c>
      <c r="D614">
        <f t="shared" si="172"/>
        <v>1</v>
      </c>
      <c r="E614" t="s">
        <v>1133</v>
      </c>
      <c r="F614" t="s">
        <v>856</v>
      </c>
      <c r="G614" s="1">
        <v>34974</v>
      </c>
      <c r="H614" s="2">
        <f t="shared" ca="1" si="173"/>
        <v>31</v>
      </c>
      <c r="I614" s="2">
        <f t="shared" ca="1" si="174"/>
        <v>8.5714285714285715E-2</v>
      </c>
      <c r="J614" t="s">
        <v>36</v>
      </c>
      <c r="K614" t="s">
        <v>819</v>
      </c>
      <c r="L614">
        <f t="shared" si="175"/>
        <v>0</v>
      </c>
      <c r="M614">
        <f t="shared" si="176"/>
        <v>0</v>
      </c>
      <c r="N614">
        <f t="shared" si="177"/>
        <v>0</v>
      </c>
      <c r="O614" t="s">
        <v>1061</v>
      </c>
      <c r="P614">
        <f t="shared" si="178"/>
        <v>0</v>
      </c>
      <c r="Q614">
        <f t="shared" si="179"/>
        <v>0</v>
      </c>
      <c r="R614">
        <f t="shared" si="180"/>
        <v>0</v>
      </c>
      <c r="S614">
        <f t="shared" si="181"/>
        <v>0</v>
      </c>
      <c r="T614">
        <f t="shared" si="182"/>
        <v>0</v>
      </c>
      <c r="U614">
        <f t="shared" si="183"/>
        <v>0</v>
      </c>
      <c r="V614">
        <f t="shared" si="184"/>
        <v>0</v>
      </c>
      <c r="W614" t="s">
        <v>39</v>
      </c>
      <c r="X614">
        <f t="shared" si="185"/>
        <v>1</v>
      </c>
      <c r="Y614">
        <f t="shared" si="186"/>
        <v>0</v>
      </c>
      <c r="Z614">
        <v>4</v>
      </c>
      <c r="AA614">
        <f t="shared" si="187"/>
        <v>0.75</v>
      </c>
      <c r="AB614" t="s">
        <v>46</v>
      </c>
      <c r="AC614">
        <f t="shared" si="188"/>
        <v>1</v>
      </c>
      <c r="AD614">
        <f t="shared" si="189"/>
        <v>0</v>
      </c>
      <c r="AE614" t="s">
        <v>50</v>
      </c>
      <c r="AF614">
        <f>IF(AE614="website",1,0)</f>
        <v>0</v>
      </c>
    </row>
    <row r="615" spans="1:32">
      <c r="A615" t="s">
        <v>1233</v>
      </c>
      <c r="B615" t="s">
        <v>33</v>
      </c>
      <c r="C615" s="3">
        <f t="shared" si="171"/>
        <v>0</v>
      </c>
      <c r="D615">
        <f t="shared" si="172"/>
        <v>1</v>
      </c>
      <c r="E615" t="s">
        <v>936</v>
      </c>
      <c r="F615" t="s">
        <v>773</v>
      </c>
      <c r="G615" s="1">
        <v>26305</v>
      </c>
      <c r="H615" s="2">
        <f t="shared" ca="1" si="173"/>
        <v>54</v>
      </c>
      <c r="I615" s="2">
        <f t="shared" ca="1" si="174"/>
        <v>0.41428571428571431</v>
      </c>
      <c r="J615" t="s">
        <v>45</v>
      </c>
      <c r="K615" t="s">
        <v>248</v>
      </c>
      <c r="L615">
        <f t="shared" si="175"/>
        <v>0</v>
      </c>
      <c r="M615">
        <f t="shared" si="176"/>
        <v>0</v>
      </c>
      <c r="N615">
        <f t="shared" si="177"/>
        <v>0</v>
      </c>
      <c r="O615" t="s">
        <v>836</v>
      </c>
      <c r="P615">
        <f t="shared" si="178"/>
        <v>0</v>
      </c>
      <c r="Q615">
        <f t="shared" si="179"/>
        <v>0</v>
      </c>
      <c r="R615">
        <f t="shared" si="180"/>
        <v>0</v>
      </c>
      <c r="S615">
        <f t="shared" si="181"/>
        <v>0</v>
      </c>
      <c r="T615">
        <f t="shared" si="182"/>
        <v>0</v>
      </c>
      <c r="U615">
        <f t="shared" si="183"/>
        <v>0</v>
      </c>
      <c r="V615">
        <f t="shared" si="184"/>
        <v>0</v>
      </c>
      <c r="W615" t="s">
        <v>39</v>
      </c>
      <c r="X615">
        <f t="shared" si="185"/>
        <v>1</v>
      </c>
      <c r="Y615">
        <f t="shared" si="186"/>
        <v>0</v>
      </c>
      <c r="Z615">
        <v>3</v>
      </c>
      <c r="AA615">
        <f t="shared" si="187"/>
        <v>0.5</v>
      </c>
      <c r="AB615" t="s">
        <v>40</v>
      </c>
      <c r="AC615">
        <f t="shared" si="188"/>
        <v>0</v>
      </c>
      <c r="AD615">
        <f t="shared" si="189"/>
        <v>0</v>
      </c>
      <c r="AE615" t="s">
        <v>41</v>
      </c>
      <c r="AF615">
        <f>IF(AE615="website",1,0)</f>
        <v>1</v>
      </c>
    </row>
    <row r="616" spans="1:32">
      <c r="A616" t="s">
        <v>1234</v>
      </c>
      <c r="B616" t="s">
        <v>33</v>
      </c>
      <c r="C616" s="3">
        <f t="shared" si="171"/>
        <v>0</v>
      </c>
      <c r="D616">
        <f t="shared" si="172"/>
        <v>1</v>
      </c>
      <c r="E616" t="s">
        <v>700</v>
      </c>
      <c r="F616" t="s">
        <v>904</v>
      </c>
      <c r="G616" s="1">
        <v>20832</v>
      </c>
      <c r="H616" s="2">
        <f t="shared" ca="1" si="173"/>
        <v>69</v>
      </c>
      <c r="I616" s="2">
        <f t="shared" ca="1" si="174"/>
        <v>0.62857142857142856</v>
      </c>
      <c r="J616" t="s">
        <v>45</v>
      </c>
      <c r="K616" t="s">
        <v>37</v>
      </c>
      <c r="L616">
        <f t="shared" si="175"/>
        <v>1</v>
      </c>
      <c r="M616">
        <f t="shared" si="176"/>
        <v>0</v>
      </c>
      <c r="N616">
        <f t="shared" si="177"/>
        <v>0</v>
      </c>
      <c r="O616" t="s">
        <v>183</v>
      </c>
      <c r="P616">
        <f t="shared" si="178"/>
        <v>0</v>
      </c>
      <c r="Q616">
        <f t="shared" si="179"/>
        <v>0</v>
      </c>
      <c r="R616">
        <f t="shared" si="180"/>
        <v>0</v>
      </c>
      <c r="S616">
        <f t="shared" si="181"/>
        <v>0</v>
      </c>
      <c r="T616">
        <f t="shared" si="182"/>
        <v>0</v>
      </c>
      <c r="U616">
        <f t="shared" si="183"/>
        <v>0</v>
      </c>
      <c r="V616">
        <f t="shared" si="184"/>
        <v>0</v>
      </c>
      <c r="W616" t="s">
        <v>39</v>
      </c>
      <c r="X616">
        <f t="shared" si="185"/>
        <v>1</v>
      </c>
      <c r="Y616">
        <f t="shared" si="186"/>
        <v>0</v>
      </c>
      <c r="Z616">
        <v>2</v>
      </c>
      <c r="AA616">
        <f t="shared" si="187"/>
        <v>0.25</v>
      </c>
      <c r="AB616" t="s">
        <v>40</v>
      </c>
      <c r="AC616">
        <f t="shared" si="188"/>
        <v>0</v>
      </c>
      <c r="AD616">
        <f t="shared" si="189"/>
        <v>0</v>
      </c>
      <c r="AE616" t="s">
        <v>41</v>
      </c>
      <c r="AF616">
        <f>IF(AE616="website",1,0)</f>
        <v>1</v>
      </c>
    </row>
    <row r="617" spans="1:32">
      <c r="A617" t="s">
        <v>1235</v>
      </c>
      <c r="B617" t="s">
        <v>33</v>
      </c>
      <c r="C617" s="3">
        <f t="shared" si="171"/>
        <v>0</v>
      </c>
      <c r="D617">
        <f t="shared" si="172"/>
        <v>1</v>
      </c>
      <c r="E617" t="s">
        <v>564</v>
      </c>
      <c r="F617" t="s">
        <v>645</v>
      </c>
      <c r="G617" s="1">
        <v>23118</v>
      </c>
      <c r="H617" s="2">
        <f t="shared" ca="1" si="173"/>
        <v>63</v>
      </c>
      <c r="I617" s="2">
        <f t="shared" ca="1" si="174"/>
        <v>0.54285714285714282</v>
      </c>
      <c r="J617" t="s">
        <v>36</v>
      </c>
      <c r="K617" t="s">
        <v>37</v>
      </c>
      <c r="L617">
        <f t="shared" si="175"/>
        <v>1</v>
      </c>
      <c r="M617">
        <f t="shared" si="176"/>
        <v>0</v>
      </c>
      <c r="N617">
        <f t="shared" si="177"/>
        <v>0</v>
      </c>
      <c r="O617" t="s">
        <v>305</v>
      </c>
      <c r="P617">
        <f t="shared" si="178"/>
        <v>0</v>
      </c>
      <c r="Q617">
        <f t="shared" si="179"/>
        <v>0</v>
      </c>
      <c r="R617">
        <f t="shared" si="180"/>
        <v>0</v>
      </c>
      <c r="S617">
        <f t="shared" si="181"/>
        <v>0</v>
      </c>
      <c r="T617">
        <f t="shared" si="182"/>
        <v>0</v>
      </c>
      <c r="U617">
        <f t="shared" si="183"/>
        <v>0</v>
      </c>
      <c r="V617">
        <f t="shared" si="184"/>
        <v>0</v>
      </c>
      <c r="W617" t="s">
        <v>58</v>
      </c>
      <c r="X617">
        <f t="shared" si="185"/>
        <v>0</v>
      </c>
      <c r="Y617">
        <f t="shared" si="186"/>
        <v>1</v>
      </c>
      <c r="Z617">
        <v>1</v>
      </c>
      <c r="AA617">
        <f t="shared" si="187"/>
        <v>0</v>
      </c>
      <c r="AB617" t="s">
        <v>40</v>
      </c>
      <c r="AC617">
        <f t="shared" si="188"/>
        <v>1</v>
      </c>
      <c r="AD617">
        <f t="shared" si="189"/>
        <v>0</v>
      </c>
      <c r="AE617" t="s">
        <v>50</v>
      </c>
      <c r="AF617">
        <f>IF(AE617="website",1,0)</f>
        <v>0</v>
      </c>
    </row>
    <row r="618" spans="1:32">
      <c r="A618" t="s">
        <v>1236</v>
      </c>
      <c r="B618" t="s">
        <v>33</v>
      </c>
      <c r="C618" s="3">
        <f t="shared" si="171"/>
        <v>0</v>
      </c>
      <c r="D618">
        <f t="shared" si="172"/>
        <v>1</v>
      </c>
      <c r="E618" t="s">
        <v>551</v>
      </c>
      <c r="F618" t="s">
        <v>667</v>
      </c>
      <c r="G618" s="1">
        <v>31692</v>
      </c>
      <c r="H618" s="2">
        <f t="shared" ca="1" si="173"/>
        <v>39</v>
      </c>
      <c r="I618" s="2">
        <f t="shared" ca="1" si="174"/>
        <v>0.2</v>
      </c>
      <c r="J618" t="s">
        <v>36</v>
      </c>
      <c r="K618" t="s">
        <v>37</v>
      </c>
      <c r="L618">
        <f t="shared" si="175"/>
        <v>1</v>
      </c>
      <c r="M618">
        <f t="shared" si="176"/>
        <v>0</v>
      </c>
      <c r="N618">
        <f t="shared" si="177"/>
        <v>0</v>
      </c>
      <c r="O618" t="s">
        <v>559</v>
      </c>
      <c r="P618">
        <f t="shared" si="178"/>
        <v>0</v>
      </c>
      <c r="Q618">
        <f t="shared" si="179"/>
        <v>0</v>
      </c>
      <c r="R618">
        <f t="shared" si="180"/>
        <v>0</v>
      </c>
      <c r="S618">
        <f t="shared" si="181"/>
        <v>0</v>
      </c>
      <c r="T618">
        <f t="shared" si="182"/>
        <v>0</v>
      </c>
      <c r="U618">
        <f t="shared" si="183"/>
        <v>0</v>
      </c>
      <c r="V618">
        <f t="shared" si="184"/>
        <v>0</v>
      </c>
      <c r="W618" t="s">
        <v>39</v>
      </c>
      <c r="X618">
        <f t="shared" si="185"/>
        <v>1</v>
      </c>
      <c r="Y618">
        <f t="shared" si="186"/>
        <v>0</v>
      </c>
      <c r="Z618">
        <v>5</v>
      </c>
      <c r="AA618">
        <f t="shared" si="187"/>
        <v>1</v>
      </c>
      <c r="AB618" t="s">
        <v>40</v>
      </c>
      <c r="AC618">
        <f t="shared" si="188"/>
        <v>0</v>
      </c>
      <c r="AD618">
        <f t="shared" si="189"/>
        <v>0</v>
      </c>
      <c r="AE618" t="s">
        <v>41</v>
      </c>
      <c r="AF618">
        <f>IF(AE618="website",1,0)</f>
        <v>1</v>
      </c>
    </row>
    <row r="619" spans="1:32">
      <c r="A619" t="s">
        <v>1237</v>
      </c>
      <c r="B619" t="s">
        <v>33</v>
      </c>
      <c r="C619" s="3">
        <f t="shared" si="171"/>
        <v>0</v>
      </c>
      <c r="D619">
        <f t="shared" si="172"/>
        <v>1</v>
      </c>
      <c r="E619" t="s">
        <v>1023</v>
      </c>
      <c r="F619" t="s">
        <v>117</v>
      </c>
      <c r="G619" s="1">
        <v>24969</v>
      </c>
      <c r="H619" s="2">
        <f t="shared" ca="1" si="173"/>
        <v>58</v>
      </c>
      <c r="I619" s="2">
        <f t="shared" ca="1" si="174"/>
        <v>0.47142857142857142</v>
      </c>
      <c r="J619" t="s">
        <v>45</v>
      </c>
      <c r="K619" t="s">
        <v>37</v>
      </c>
      <c r="L619">
        <f t="shared" si="175"/>
        <v>1</v>
      </c>
      <c r="M619">
        <f t="shared" si="176"/>
        <v>0</v>
      </c>
      <c r="N619">
        <f t="shared" si="177"/>
        <v>0</v>
      </c>
      <c r="O619" t="s">
        <v>592</v>
      </c>
      <c r="P619">
        <f t="shared" si="178"/>
        <v>0</v>
      </c>
      <c r="Q619">
        <f t="shared" si="179"/>
        <v>0</v>
      </c>
      <c r="R619">
        <f t="shared" si="180"/>
        <v>0</v>
      </c>
      <c r="S619">
        <f t="shared" si="181"/>
        <v>0</v>
      </c>
      <c r="T619">
        <f t="shared" si="182"/>
        <v>0</v>
      </c>
      <c r="U619">
        <f t="shared" si="183"/>
        <v>0</v>
      </c>
      <c r="V619">
        <f t="shared" si="184"/>
        <v>0</v>
      </c>
      <c r="W619" t="s">
        <v>39</v>
      </c>
      <c r="X619">
        <f t="shared" si="185"/>
        <v>1</v>
      </c>
      <c r="Y619">
        <f t="shared" si="186"/>
        <v>0</v>
      </c>
      <c r="Z619">
        <v>3</v>
      </c>
      <c r="AA619">
        <f t="shared" si="187"/>
        <v>0.5</v>
      </c>
      <c r="AB619" t="s">
        <v>46</v>
      </c>
      <c r="AC619">
        <f t="shared" si="188"/>
        <v>1</v>
      </c>
      <c r="AD619">
        <f t="shared" si="189"/>
        <v>0</v>
      </c>
      <c r="AE619" t="s">
        <v>50</v>
      </c>
      <c r="AF619">
        <f>IF(AE619="website",1,0)</f>
        <v>0</v>
      </c>
    </row>
    <row r="620" spans="1:32">
      <c r="A620" t="s">
        <v>1238</v>
      </c>
      <c r="B620" t="s">
        <v>33</v>
      </c>
      <c r="C620" s="3">
        <f t="shared" si="171"/>
        <v>0</v>
      </c>
      <c r="D620">
        <f t="shared" si="172"/>
        <v>1</v>
      </c>
      <c r="E620" t="s">
        <v>804</v>
      </c>
      <c r="F620" t="s">
        <v>730</v>
      </c>
      <c r="G620" s="1">
        <v>25683</v>
      </c>
      <c r="H620" s="2">
        <f t="shared" ca="1" si="173"/>
        <v>56</v>
      </c>
      <c r="I620" s="2">
        <f t="shared" ca="1" si="174"/>
        <v>0.44285714285714284</v>
      </c>
      <c r="J620" t="s">
        <v>36</v>
      </c>
      <c r="K620" t="s">
        <v>37</v>
      </c>
      <c r="L620">
        <f t="shared" si="175"/>
        <v>1</v>
      </c>
      <c r="M620">
        <f t="shared" si="176"/>
        <v>0</v>
      </c>
      <c r="N620">
        <f t="shared" si="177"/>
        <v>0</v>
      </c>
      <c r="O620" t="s">
        <v>565</v>
      </c>
      <c r="P620">
        <f t="shared" si="178"/>
        <v>0</v>
      </c>
      <c r="Q620">
        <f t="shared" si="179"/>
        <v>0</v>
      </c>
      <c r="R620">
        <f t="shared" si="180"/>
        <v>0</v>
      </c>
      <c r="S620">
        <f t="shared" si="181"/>
        <v>0</v>
      </c>
      <c r="T620">
        <f t="shared" si="182"/>
        <v>0</v>
      </c>
      <c r="U620">
        <f t="shared" si="183"/>
        <v>0</v>
      </c>
      <c r="V620">
        <f t="shared" si="184"/>
        <v>0</v>
      </c>
      <c r="W620" t="s">
        <v>39</v>
      </c>
      <c r="X620">
        <f t="shared" si="185"/>
        <v>1</v>
      </c>
      <c r="Y620">
        <f t="shared" si="186"/>
        <v>0</v>
      </c>
      <c r="Z620">
        <v>4</v>
      </c>
      <c r="AA620">
        <f t="shared" si="187"/>
        <v>0.75</v>
      </c>
      <c r="AB620" t="s">
        <v>46</v>
      </c>
      <c r="AC620">
        <f t="shared" si="188"/>
        <v>0</v>
      </c>
      <c r="AD620">
        <f t="shared" si="189"/>
        <v>0</v>
      </c>
      <c r="AE620" t="s">
        <v>41</v>
      </c>
      <c r="AF620">
        <f>IF(AE620="website",1,0)</f>
        <v>1</v>
      </c>
    </row>
    <row r="621" spans="1:32">
      <c r="A621" t="s">
        <v>1239</v>
      </c>
      <c r="B621" t="s">
        <v>33</v>
      </c>
      <c r="C621" s="3">
        <f t="shared" si="171"/>
        <v>0</v>
      </c>
      <c r="D621">
        <f t="shared" si="172"/>
        <v>1</v>
      </c>
      <c r="E621" t="s">
        <v>581</v>
      </c>
      <c r="F621" t="s">
        <v>339</v>
      </c>
      <c r="G621" s="1">
        <v>22028</v>
      </c>
      <c r="H621" s="2">
        <f t="shared" ca="1" si="173"/>
        <v>66</v>
      </c>
      <c r="I621" s="2">
        <f t="shared" ca="1" si="174"/>
        <v>0.58571428571428574</v>
      </c>
      <c r="J621" t="s">
        <v>36</v>
      </c>
      <c r="K621" t="s">
        <v>626</v>
      </c>
      <c r="L621">
        <f t="shared" si="175"/>
        <v>0</v>
      </c>
      <c r="M621">
        <f t="shared" si="176"/>
        <v>0</v>
      </c>
      <c r="N621">
        <f t="shared" si="177"/>
        <v>0</v>
      </c>
      <c r="O621" t="s">
        <v>1117</v>
      </c>
      <c r="P621">
        <f t="shared" si="178"/>
        <v>0</v>
      </c>
      <c r="Q621">
        <f t="shared" si="179"/>
        <v>0</v>
      </c>
      <c r="R621">
        <f t="shared" si="180"/>
        <v>0</v>
      </c>
      <c r="S621">
        <f t="shared" si="181"/>
        <v>0</v>
      </c>
      <c r="T621">
        <f t="shared" si="182"/>
        <v>0</v>
      </c>
      <c r="U621">
        <f t="shared" si="183"/>
        <v>0</v>
      </c>
      <c r="V621">
        <f t="shared" si="184"/>
        <v>0</v>
      </c>
      <c r="W621" t="s">
        <v>39</v>
      </c>
      <c r="X621">
        <f t="shared" si="185"/>
        <v>1</v>
      </c>
      <c r="Y621">
        <f t="shared" si="186"/>
        <v>0</v>
      </c>
      <c r="Z621">
        <v>3</v>
      </c>
      <c r="AA621">
        <f t="shared" si="187"/>
        <v>0.5</v>
      </c>
      <c r="AB621" t="s">
        <v>46</v>
      </c>
      <c r="AC621">
        <f t="shared" si="188"/>
        <v>0</v>
      </c>
      <c r="AD621">
        <f t="shared" si="189"/>
        <v>0</v>
      </c>
      <c r="AE621" t="s">
        <v>41</v>
      </c>
      <c r="AF621">
        <f>IF(AE621="website",1,0)</f>
        <v>1</v>
      </c>
    </row>
    <row r="622" spans="1:32">
      <c r="A622" t="s">
        <v>1240</v>
      </c>
      <c r="B622" t="s">
        <v>33</v>
      </c>
      <c r="C622" s="3">
        <f t="shared" si="171"/>
        <v>0</v>
      </c>
      <c r="D622">
        <f t="shared" si="172"/>
        <v>1</v>
      </c>
      <c r="E622" t="s">
        <v>625</v>
      </c>
      <c r="F622" t="s">
        <v>430</v>
      </c>
      <c r="G622" s="1">
        <v>29995</v>
      </c>
      <c r="H622" s="2">
        <f t="shared" ca="1" si="173"/>
        <v>44</v>
      </c>
      <c r="I622" s="2">
        <f t="shared" ca="1" si="174"/>
        <v>0.27142857142857141</v>
      </c>
      <c r="J622" t="s">
        <v>45</v>
      </c>
      <c r="K622" t="s">
        <v>113</v>
      </c>
      <c r="L622">
        <f t="shared" si="175"/>
        <v>0</v>
      </c>
      <c r="M622">
        <f t="shared" si="176"/>
        <v>0</v>
      </c>
      <c r="N622">
        <f t="shared" si="177"/>
        <v>1</v>
      </c>
      <c r="O622" t="s">
        <v>1137</v>
      </c>
      <c r="P622">
        <f t="shared" si="178"/>
        <v>0</v>
      </c>
      <c r="Q622">
        <f t="shared" si="179"/>
        <v>0</v>
      </c>
      <c r="R622">
        <f t="shared" si="180"/>
        <v>0</v>
      </c>
      <c r="S622">
        <f t="shared" si="181"/>
        <v>0</v>
      </c>
      <c r="T622">
        <f t="shared" si="182"/>
        <v>0</v>
      </c>
      <c r="U622">
        <f t="shared" si="183"/>
        <v>0</v>
      </c>
      <c r="V622">
        <f t="shared" si="184"/>
        <v>0</v>
      </c>
      <c r="W622" t="s">
        <v>58</v>
      </c>
      <c r="X622">
        <f t="shared" si="185"/>
        <v>0</v>
      </c>
      <c r="Y622">
        <f t="shared" si="186"/>
        <v>1</v>
      </c>
      <c r="Z622">
        <v>3</v>
      </c>
      <c r="AA622">
        <f t="shared" si="187"/>
        <v>0.5</v>
      </c>
      <c r="AB622" t="s">
        <v>40</v>
      </c>
      <c r="AC622">
        <f t="shared" si="188"/>
        <v>1</v>
      </c>
      <c r="AD622">
        <f t="shared" si="189"/>
        <v>0</v>
      </c>
      <c r="AE622" t="s">
        <v>50</v>
      </c>
      <c r="AF622">
        <f>IF(AE622="website",1,0)</f>
        <v>0</v>
      </c>
    </row>
    <row r="623" spans="1:32">
      <c r="A623" t="s">
        <v>1241</v>
      </c>
      <c r="B623" t="s">
        <v>33</v>
      </c>
      <c r="C623" s="3">
        <f t="shared" si="171"/>
        <v>0</v>
      </c>
      <c r="D623">
        <f t="shared" si="172"/>
        <v>1</v>
      </c>
      <c r="E623" t="s">
        <v>807</v>
      </c>
      <c r="F623" t="s">
        <v>887</v>
      </c>
      <c r="G623" s="1">
        <v>32059</v>
      </c>
      <c r="H623" s="2">
        <f t="shared" ca="1" si="173"/>
        <v>38</v>
      </c>
      <c r="I623" s="2">
        <f t="shared" ca="1" si="174"/>
        <v>0.18571428571428572</v>
      </c>
      <c r="J623" t="s">
        <v>36</v>
      </c>
      <c r="K623" t="s">
        <v>37</v>
      </c>
      <c r="L623">
        <f t="shared" si="175"/>
        <v>1</v>
      </c>
      <c r="M623">
        <f t="shared" si="176"/>
        <v>0</v>
      </c>
      <c r="N623">
        <f t="shared" si="177"/>
        <v>0</v>
      </c>
      <c r="O623" t="s">
        <v>565</v>
      </c>
      <c r="P623">
        <f t="shared" si="178"/>
        <v>0</v>
      </c>
      <c r="Q623">
        <f t="shared" si="179"/>
        <v>0</v>
      </c>
      <c r="R623">
        <f t="shared" si="180"/>
        <v>0</v>
      </c>
      <c r="S623">
        <f t="shared" si="181"/>
        <v>0</v>
      </c>
      <c r="T623">
        <f t="shared" si="182"/>
        <v>0</v>
      </c>
      <c r="U623">
        <f t="shared" si="183"/>
        <v>0</v>
      </c>
      <c r="V623">
        <f t="shared" si="184"/>
        <v>0</v>
      </c>
      <c r="W623" t="s">
        <v>58</v>
      </c>
      <c r="X623">
        <f t="shared" si="185"/>
        <v>0</v>
      </c>
      <c r="Y623">
        <f t="shared" si="186"/>
        <v>1</v>
      </c>
      <c r="Z623">
        <v>2</v>
      </c>
      <c r="AA623">
        <f t="shared" si="187"/>
        <v>0.25</v>
      </c>
      <c r="AB623" t="s">
        <v>46</v>
      </c>
      <c r="AC623">
        <f t="shared" si="188"/>
        <v>0</v>
      </c>
      <c r="AD623">
        <f t="shared" si="189"/>
        <v>1</v>
      </c>
      <c r="AE623" t="s">
        <v>90</v>
      </c>
      <c r="AF623">
        <f>IF(AE623="website",1,0)</f>
        <v>0</v>
      </c>
    </row>
    <row r="624" spans="1:32">
      <c r="A624" t="s">
        <v>1242</v>
      </c>
      <c r="B624" t="s">
        <v>33</v>
      </c>
      <c r="C624" s="3">
        <f t="shared" si="171"/>
        <v>0</v>
      </c>
      <c r="D624">
        <f t="shared" si="172"/>
        <v>1</v>
      </c>
      <c r="E624" t="s">
        <v>625</v>
      </c>
      <c r="F624" t="s">
        <v>613</v>
      </c>
      <c r="G624" s="1">
        <v>31529</v>
      </c>
      <c r="H624" s="2">
        <f t="shared" ca="1" si="173"/>
        <v>40</v>
      </c>
      <c r="I624" s="2">
        <f t="shared" ca="1" si="174"/>
        <v>0.21428571428571427</v>
      </c>
      <c r="J624" t="s">
        <v>45</v>
      </c>
      <c r="K624" t="s">
        <v>37</v>
      </c>
      <c r="L624">
        <f t="shared" si="175"/>
        <v>1</v>
      </c>
      <c r="M624">
        <f t="shared" si="176"/>
        <v>0</v>
      </c>
      <c r="N624">
        <f t="shared" si="177"/>
        <v>0</v>
      </c>
      <c r="O624" t="s">
        <v>600</v>
      </c>
      <c r="P624">
        <f t="shared" si="178"/>
        <v>0</v>
      </c>
      <c r="Q624">
        <f t="shared" si="179"/>
        <v>0</v>
      </c>
      <c r="R624">
        <f t="shared" si="180"/>
        <v>0</v>
      </c>
      <c r="S624">
        <f t="shared" si="181"/>
        <v>0</v>
      </c>
      <c r="T624">
        <f t="shared" si="182"/>
        <v>0</v>
      </c>
      <c r="U624">
        <f t="shared" si="183"/>
        <v>0</v>
      </c>
      <c r="V624">
        <f t="shared" si="184"/>
        <v>0</v>
      </c>
      <c r="W624" t="s">
        <v>58</v>
      </c>
      <c r="X624">
        <f t="shared" si="185"/>
        <v>0</v>
      </c>
      <c r="Y624">
        <f t="shared" si="186"/>
        <v>1</v>
      </c>
      <c r="Z624">
        <v>3</v>
      </c>
      <c r="AA624">
        <f t="shared" si="187"/>
        <v>0.5</v>
      </c>
      <c r="AB624" t="s">
        <v>40</v>
      </c>
      <c r="AC624">
        <f t="shared" si="188"/>
        <v>0</v>
      </c>
      <c r="AD624">
        <f t="shared" si="189"/>
        <v>1</v>
      </c>
      <c r="AE624" t="s">
        <v>90</v>
      </c>
      <c r="AF624">
        <f>IF(AE624="website",1,0)</f>
        <v>0</v>
      </c>
    </row>
    <row r="625" spans="1:32">
      <c r="A625" t="s">
        <v>1243</v>
      </c>
      <c r="B625" t="s">
        <v>33</v>
      </c>
      <c r="C625" s="3">
        <f t="shared" si="171"/>
        <v>0</v>
      </c>
      <c r="D625">
        <f t="shared" si="172"/>
        <v>1</v>
      </c>
      <c r="E625" t="s">
        <v>744</v>
      </c>
      <c r="F625" t="s">
        <v>700</v>
      </c>
      <c r="G625" s="1">
        <v>36771</v>
      </c>
      <c r="H625" s="2">
        <f t="shared" ca="1" si="173"/>
        <v>26</v>
      </c>
      <c r="I625" s="2">
        <f t="shared" ca="1" si="174"/>
        <v>1.4285714285714285E-2</v>
      </c>
      <c r="J625" t="s">
        <v>45</v>
      </c>
      <c r="K625" t="s">
        <v>37</v>
      </c>
      <c r="L625">
        <f t="shared" si="175"/>
        <v>1</v>
      </c>
      <c r="M625">
        <f t="shared" si="176"/>
        <v>0</v>
      </c>
      <c r="N625">
        <f t="shared" si="177"/>
        <v>0</v>
      </c>
      <c r="O625" t="s">
        <v>124</v>
      </c>
      <c r="P625">
        <f t="shared" si="178"/>
        <v>0</v>
      </c>
      <c r="Q625">
        <f t="shared" si="179"/>
        <v>0</v>
      </c>
      <c r="R625">
        <f t="shared" si="180"/>
        <v>0</v>
      </c>
      <c r="S625">
        <f t="shared" si="181"/>
        <v>0</v>
      </c>
      <c r="T625">
        <f t="shared" si="182"/>
        <v>0</v>
      </c>
      <c r="U625">
        <f t="shared" si="183"/>
        <v>1</v>
      </c>
      <c r="V625">
        <f t="shared" si="184"/>
        <v>0</v>
      </c>
      <c r="W625" t="s">
        <v>58</v>
      </c>
      <c r="X625">
        <f t="shared" si="185"/>
        <v>0</v>
      </c>
      <c r="Y625">
        <f t="shared" si="186"/>
        <v>1</v>
      </c>
      <c r="Z625">
        <v>3</v>
      </c>
      <c r="AA625">
        <f t="shared" si="187"/>
        <v>0.5</v>
      </c>
      <c r="AB625" t="s">
        <v>46</v>
      </c>
      <c r="AC625">
        <f t="shared" si="188"/>
        <v>1</v>
      </c>
      <c r="AD625">
        <f t="shared" si="189"/>
        <v>0</v>
      </c>
      <c r="AE625" t="s">
        <v>50</v>
      </c>
      <c r="AF625">
        <f>IF(AE625="website",1,0)</f>
        <v>0</v>
      </c>
    </row>
    <row r="626" spans="1:32">
      <c r="A626" t="s">
        <v>1244</v>
      </c>
      <c r="B626" t="s">
        <v>33</v>
      </c>
      <c r="C626" s="3">
        <f t="shared" si="171"/>
        <v>0</v>
      </c>
      <c r="D626">
        <f t="shared" si="172"/>
        <v>1</v>
      </c>
      <c r="E626" t="s">
        <v>679</v>
      </c>
      <c r="F626" t="s">
        <v>823</v>
      </c>
      <c r="G626" s="1">
        <v>30505</v>
      </c>
      <c r="H626" s="2">
        <f t="shared" ca="1" si="173"/>
        <v>43</v>
      </c>
      <c r="I626" s="2">
        <f t="shared" ca="1" si="174"/>
        <v>0.25714285714285712</v>
      </c>
      <c r="J626" t="s">
        <v>36</v>
      </c>
      <c r="K626" t="s">
        <v>153</v>
      </c>
      <c r="L626">
        <f t="shared" si="175"/>
        <v>0</v>
      </c>
      <c r="M626">
        <f t="shared" si="176"/>
        <v>0</v>
      </c>
      <c r="N626">
        <f t="shared" si="177"/>
        <v>0</v>
      </c>
      <c r="O626" t="s">
        <v>778</v>
      </c>
      <c r="P626">
        <f t="shared" si="178"/>
        <v>0</v>
      </c>
      <c r="Q626">
        <f t="shared" si="179"/>
        <v>0</v>
      </c>
      <c r="R626">
        <f t="shared" si="180"/>
        <v>0</v>
      </c>
      <c r="S626">
        <f t="shared" si="181"/>
        <v>0</v>
      </c>
      <c r="T626">
        <f t="shared" si="182"/>
        <v>0</v>
      </c>
      <c r="U626">
        <f t="shared" si="183"/>
        <v>0</v>
      </c>
      <c r="V626">
        <f t="shared" si="184"/>
        <v>0</v>
      </c>
      <c r="W626" t="s">
        <v>58</v>
      </c>
      <c r="X626">
        <f t="shared" si="185"/>
        <v>0</v>
      </c>
      <c r="Y626">
        <f t="shared" si="186"/>
        <v>1</v>
      </c>
      <c r="Z626">
        <v>2</v>
      </c>
      <c r="AA626">
        <f t="shared" si="187"/>
        <v>0.25</v>
      </c>
      <c r="AB626" t="s">
        <v>40</v>
      </c>
      <c r="AC626">
        <f t="shared" si="188"/>
        <v>1</v>
      </c>
      <c r="AD626">
        <f t="shared" si="189"/>
        <v>0</v>
      </c>
      <c r="AE626" t="s">
        <v>50</v>
      </c>
      <c r="AF626">
        <f>IF(AE626="website",1,0)</f>
        <v>0</v>
      </c>
    </row>
    <row r="627" spans="1:32">
      <c r="A627" t="s">
        <v>1245</v>
      </c>
      <c r="B627" t="s">
        <v>33</v>
      </c>
      <c r="C627" s="3">
        <f t="shared" si="171"/>
        <v>0</v>
      </c>
      <c r="D627">
        <f t="shared" si="172"/>
        <v>1</v>
      </c>
      <c r="E627" t="s">
        <v>759</v>
      </c>
      <c r="F627" t="s">
        <v>562</v>
      </c>
      <c r="G627" s="1">
        <v>25002</v>
      </c>
      <c r="H627" s="2">
        <f t="shared" ca="1" si="173"/>
        <v>58</v>
      </c>
      <c r="I627" s="2">
        <f t="shared" ca="1" si="174"/>
        <v>0.47142857142857142</v>
      </c>
      <c r="J627" t="s">
        <v>36</v>
      </c>
      <c r="K627" t="s">
        <v>113</v>
      </c>
      <c r="L627">
        <f t="shared" si="175"/>
        <v>0</v>
      </c>
      <c r="M627">
        <f t="shared" si="176"/>
        <v>0</v>
      </c>
      <c r="N627">
        <f t="shared" si="177"/>
        <v>1</v>
      </c>
      <c r="O627" t="s">
        <v>675</v>
      </c>
      <c r="P627">
        <f t="shared" si="178"/>
        <v>0</v>
      </c>
      <c r="Q627">
        <f t="shared" si="179"/>
        <v>0</v>
      </c>
      <c r="R627">
        <f t="shared" si="180"/>
        <v>0</v>
      </c>
      <c r="S627">
        <f t="shared" si="181"/>
        <v>0</v>
      </c>
      <c r="T627">
        <f t="shared" si="182"/>
        <v>0</v>
      </c>
      <c r="U627">
        <f t="shared" si="183"/>
        <v>0</v>
      </c>
      <c r="V627">
        <f t="shared" si="184"/>
        <v>0</v>
      </c>
      <c r="W627" t="s">
        <v>58</v>
      </c>
      <c r="X627">
        <f t="shared" si="185"/>
        <v>0</v>
      </c>
      <c r="Y627">
        <f t="shared" si="186"/>
        <v>1</v>
      </c>
      <c r="Z627">
        <v>2</v>
      </c>
      <c r="AA627">
        <f t="shared" si="187"/>
        <v>0.25</v>
      </c>
      <c r="AB627" t="s">
        <v>46</v>
      </c>
      <c r="AC627">
        <f t="shared" si="188"/>
        <v>0</v>
      </c>
      <c r="AD627">
        <f t="shared" si="189"/>
        <v>0</v>
      </c>
      <c r="AE627" t="s">
        <v>41</v>
      </c>
      <c r="AF627">
        <f>IF(AE627="website",1,0)</f>
        <v>1</v>
      </c>
    </row>
    <row r="628" spans="1:32">
      <c r="A628" t="s">
        <v>1246</v>
      </c>
      <c r="B628" t="s">
        <v>33</v>
      </c>
      <c r="C628" s="3">
        <f t="shared" si="171"/>
        <v>0</v>
      </c>
      <c r="D628">
        <f t="shared" si="172"/>
        <v>1</v>
      </c>
      <c r="E628" t="s">
        <v>807</v>
      </c>
      <c r="F628" t="s">
        <v>616</v>
      </c>
      <c r="G628" s="1">
        <v>36837</v>
      </c>
      <c r="H628" s="2">
        <f t="shared" ca="1" si="173"/>
        <v>25</v>
      </c>
      <c r="I628" s="2">
        <f t="shared" ca="1" si="174"/>
        <v>0</v>
      </c>
      <c r="J628" t="s">
        <v>36</v>
      </c>
      <c r="K628" t="s">
        <v>37</v>
      </c>
      <c r="L628">
        <f t="shared" si="175"/>
        <v>1</v>
      </c>
      <c r="M628">
        <f t="shared" si="176"/>
        <v>0</v>
      </c>
      <c r="N628">
        <f t="shared" si="177"/>
        <v>0</v>
      </c>
      <c r="O628" t="s">
        <v>97</v>
      </c>
      <c r="P628">
        <f t="shared" si="178"/>
        <v>0</v>
      </c>
      <c r="Q628">
        <f t="shared" si="179"/>
        <v>0</v>
      </c>
      <c r="R628">
        <f t="shared" si="180"/>
        <v>0</v>
      </c>
      <c r="S628">
        <f t="shared" si="181"/>
        <v>0</v>
      </c>
      <c r="T628">
        <f t="shared" si="182"/>
        <v>1</v>
      </c>
      <c r="U628">
        <f t="shared" si="183"/>
        <v>0</v>
      </c>
      <c r="V628">
        <f t="shared" si="184"/>
        <v>0</v>
      </c>
      <c r="W628" t="s">
        <v>39</v>
      </c>
      <c r="X628">
        <f t="shared" si="185"/>
        <v>1</v>
      </c>
      <c r="Y628">
        <f t="shared" si="186"/>
        <v>0</v>
      </c>
      <c r="Z628">
        <v>3</v>
      </c>
      <c r="AA628">
        <f t="shared" si="187"/>
        <v>0.5</v>
      </c>
      <c r="AB628" t="s">
        <v>46</v>
      </c>
      <c r="AC628">
        <f t="shared" si="188"/>
        <v>1</v>
      </c>
      <c r="AD628">
        <f t="shared" si="189"/>
        <v>0</v>
      </c>
      <c r="AE628" t="s">
        <v>50</v>
      </c>
      <c r="AF628">
        <f>IF(AE628="website",1,0)</f>
        <v>0</v>
      </c>
    </row>
    <row r="629" spans="1:32">
      <c r="A629" t="s">
        <v>1247</v>
      </c>
      <c r="B629" t="s">
        <v>33</v>
      </c>
      <c r="C629" s="3">
        <f t="shared" si="171"/>
        <v>0</v>
      </c>
      <c r="D629">
        <f t="shared" si="172"/>
        <v>1</v>
      </c>
      <c r="E629" t="s">
        <v>398</v>
      </c>
      <c r="F629" t="s">
        <v>623</v>
      </c>
      <c r="G629" s="1">
        <v>31183</v>
      </c>
      <c r="H629" s="2">
        <f t="shared" ca="1" si="173"/>
        <v>41</v>
      </c>
      <c r="I629" s="2">
        <f t="shared" ca="1" si="174"/>
        <v>0.22857142857142856</v>
      </c>
      <c r="J629" t="s">
        <v>45</v>
      </c>
      <c r="K629" t="s">
        <v>65</v>
      </c>
      <c r="L629">
        <f t="shared" si="175"/>
        <v>0</v>
      </c>
      <c r="M629">
        <f t="shared" si="176"/>
        <v>1</v>
      </c>
      <c r="N629">
        <f t="shared" si="177"/>
        <v>0</v>
      </c>
      <c r="O629" t="s">
        <v>642</v>
      </c>
      <c r="P629">
        <f t="shared" si="178"/>
        <v>0</v>
      </c>
      <c r="Q629">
        <f t="shared" si="179"/>
        <v>0</v>
      </c>
      <c r="R629">
        <f t="shared" si="180"/>
        <v>0</v>
      </c>
      <c r="S629">
        <f t="shared" si="181"/>
        <v>0</v>
      </c>
      <c r="T629">
        <f t="shared" si="182"/>
        <v>0</v>
      </c>
      <c r="U629">
        <f t="shared" si="183"/>
        <v>0</v>
      </c>
      <c r="V629">
        <f t="shared" si="184"/>
        <v>0</v>
      </c>
      <c r="W629" t="s">
        <v>39</v>
      </c>
      <c r="X629">
        <f t="shared" si="185"/>
        <v>1</v>
      </c>
      <c r="Y629">
        <f t="shared" si="186"/>
        <v>0</v>
      </c>
      <c r="Z629">
        <v>3</v>
      </c>
      <c r="AA629">
        <f t="shared" si="187"/>
        <v>0.5</v>
      </c>
      <c r="AB629" t="s">
        <v>40</v>
      </c>
      <c r="AC629">
        <f t="shared" si="188"/>
        <v>1</v>
      </c>
      <c r="AD629">
        <f t="shared" si="189"/>
        <v>0</v>
      </c>
      <c r="AE629" t="s">
        <v>50</v>
      </c>
      <c r="AF629">
        <f>IF(AE629="website",1,0)</f>
        <v>0</v>
      </c>
    </row>
    <row r="630" spans="1:32">
      <c r="A630" t="s">
        <v>1248</v>
      </c>
      <c r="B630" t="s">
        <v>33</v>
      </c>
      <c r="C630" s="3">
        <f t="shared" si="171"/>
        <v>0</v>
      </c>
      <c r="D630">
        <f t="shared" si="172"/>
        <v>1</v>
      </c>
      <c r="E630" t="s">
        <v>847</v>
      </c>
      <c r="F630" t="s">
        <v>695</v>
      </c>
      <c r="G630" s="1">
        <v>16992</v>
      </c>
      <c r="H630" s="2">
        <f t="shared" ca="1" si="173"/>
        <v>80</v>
      </c>
      <c r="I630" s="2">
        <f t="shared" ca="1" si="174"/>
        <v>0.7857142857142857</v>
      </c>
      <c r="J630" t="s">
        <v>36</v>
      </c>
      <c r="K630" t="s">
        <v>37</v>
      </c>
      <c r="L630">
        <f t="shared" si="175"/>
        <v>1</v>
      </c>
      <c r="M630">
        <f t="shared" si="176"/>
        <v>0</v>
      </c>
      <c r="N630">
        <f t="shared" si="177"/>
        <v>0</v>
      </c>
      <c r="O630" t="s">
        <v>38</v>
      </c>
      <c r="P630">
        <f t="shared" si="178"/>
        <v>1</v>
      </c>
      <c r="Q630">
        <f t="shared" si="179"/>
        <v>0</v>
      </c>
      <c r="R630">
        <f t="shared" si="180"/>
        <v>0</v>
      </c>
      <c r="S630">
        <f t="shared" si="181"/>
        <v>0</v>
      </c>
      <c r="T630">
        <f t="shared" si="182"/>
        <v>0</v>
      </c>
      <c r="U630">
        <f t="shared" si="183"/>
        <v>0</v>
      </c>
      <c r="V630">
        <f t="shared" si="184"/>
        <v>0</v>
      </c>
      <c r="W630" t="s">
        <v>58</v>
      </c>
      <c r="X630">
        <f t="shared" si="185"/>
        <v>0</v>
      </c>
      <c r="Y630">
        <f t="shared" si="186"/>
        <v>1</v>
      </c>
      <c r="Z630">
        <v>2</v>
      </c>
      <c r="AA630">
        <f t="shared" si="187"/>
        <v>0.25</v>
      </c>
      <c r="AB630" t="s">
        <v>46</v>
      </c>
      <c r="AC630">
        <f t="shared" si="188"/>
        <v>1</v>
      </c>
      <c r="AD630">
        <f t="shared" si="189"/>
        <v>0</v>
      </c>
      <c r="AE630" t="s">
        <v>50</v>
      </c>
      <c r="AF630">
        <f>IF(AE630="website",1,0)</f>
        <v>0</v>
      </c>
    </row>
    <row r="631" spans="1:32">
      <c r="A631" t="s">
        <v>1249</v>
      </c>
      <c r="B631" t="s">
        <v>33</v>
      </c>
      <c r="C631" s="3">
        <f t="shared" si="171"/>
        <v>0</v>
      </c>
      <c r="D631">
        <f t="shared" si="172"/>
        <v>1</v>
      </c>
      <c r="E631" t="s">
        <v>734</v>
      </c>
      <c r="F631" t="s">
        <v>653</v>
      </c>
      <c r="G631" s="1">
        <v>23951</v>
      </c>
      <c r="H631" s="2">
        <f t="shared" ca="1" si="173"/>
        <v>61</v>
      </c>
      <c r="I631" s="2">
        <f t="shared" ca="1" si="174"/>
        <v>0.51428571428571423</v>
      </c>
      <c r="J631" t="s">
        <v>45</v>
      </c>
      <c r="K631" t="s">
        <v>37</v>
      </c>
      <c r="L631">
        <f t="shared" si="175"/>
        <v>1</v>
      </c>
      <c r="M631">
        <f t="shared" si="176"/>
        <v>0</v>
      </c>
      <c r="N631">
        <f t="shared" si="177"/>
        <v>0</v>
      </c>
      <c r="O631" t="s">
        <v>38</v>
      </c>
      <c r="P631">
        <f t="shared" si="178"/>
        <v>1</v>
      </c>
      <c r="Q631">
        <f t="shared" si="179"/>
        <v>0</v>
      </c>
      <c r="R631">
        <f t="shared" si="180"/>
        <v>0</v>
      </c>
      <c r="S631">
        <f t="shared" si="181"/>
        <v>0</v>
      </c>
      <c r="T631">
        <f t="shared" si="182"/>
        <v>0</v>
      </c>
      <c r="U631">
        <f t="shared" si="183"/>
        <v>0</v>
      </c>
      <c r="V631">
        <f t="shared" si="184"/>
        <v>0</v>
      </c>
      <c r="W631" t="s">
        <v>39</v>
      </c>
      <c r="X631">
        <f t="shared" si="185"/>
        <v>1</v>
      </c>
      <c r="Y631">
        <f t="shared" si="186"/>
        <v>0</v>
      </c>
      <c r="Z631">
        <v>2</v>
      </c>
      <c r="AA631">
        <f t="shared" si="187"/>
        <v>0.25</v>
      </c>
      <c r="AB631" t="s">
        <v>46</v>
      </c>
      <c r="AC631">
        <f t="shared" si="188"/>
        <v>0</v>
      </c>
      <c r="AD631">
        <f t="shared" si="189"/>
        <v>0</v>
      </c>
      <c r="AE631" t="s">
        <v>41</v>
      </c>
      <c r="AF631">
        <f>IF(AE631="website",1,0)</f>
        <v>1</v>
      </c>
    </row>
    <row r="632" spans="1:32">
      <c r="A632" t="s">
        <v>1250</v>
      </c>
      <c r="B632" t="s">
        <v>33</v>
      </c>
      <c r="C632" s="3">
        <f t="shared" si="171"/>
        <v>0</v>
      </c>
      <c r="D632">
        <f t="shared" si="172"/>
        <v>1</v>
      </c>
      <c r="E632" t="s">
        <v>1210</v>
      </c>
      <c r="F632" t="s">
        <v>882</v>
      </c>
      <c r="G632" s="1">
        <v>24452</v>
      </c>
      <c r="H632" s="2">
        <f t="shared" ca="1" si="173"/>
        <v>59</v>
      </c>
      <c r="I632" s="2">
        <f t="shared" ca="1" si="174"/>
        <v>0.48571428571428571</v>
      </c>
      <c r="J632" t="s">
        <v>36</v>
      </c>
      <c r="K632" t="s">
        <v>37</v>
      </c>
      <c r="L632">
        <f t="shared" si="175"/>
        <v>1</v>
      </c>
      <c r="M632">
        <f t="shared" si="176"/>
        <v>0</v>
      </c>
      <c r="N632">
        <f t="shared" si="177"/>
        <v>0</v>
      </c>
      <c r="O632" t="s">
        <v>38</v>
      </c>
      <c r="P632">
        <f t="shared" si="178"/>
        <v>1</v>
      </c>
      <c r="Q632">
        <f t="shared" si="179"/>
        <v>0</v>
      </c>
      <c r="R632">
        <f t="shared" si="180"/>
        <v>0</v>
      </c>
      <c r="S632">
        <f t="shared" si="181"/>
        <v>0</v>
      </c>
      <c r="T632">
        <f t="shared" si="182"/>
        <v>0</v>
      </c>
      <c r="U632">
        <f t="shared" si="183"/>
        <v>0</v>
      </c>
      <c r="V632">
        <f t="shared" si="184"/>
        <v>0</v>
      </c>
      <c r="W632" t="s">
        <v>39</v>
      </c>
      <c r="X632">
        <f t="shared" si="185"/>
        <v>1</v>
      </c>
      <c r="Y632">
        <f t="shared" si="186"/>
        <v>0</v>
      </c>
      <c r="Z632">
        <v>5</v>
      </c>
      <c r="AA632">
        <f t="shared" si="187"/>
        <v>1</v>
      </c>
      <c r="AB632" t="s">
        <v>46</v>
      </c>
      <c r="AC632">
        <f t="shared" si="188"/>
        <v>0</v>
      </c>
      <c r="AD632">
        <f t="shared" si="189"/>
        <v>0</v>
      </c>
      <c r="AE632" t="s">
        <v>41</v>
      </c>
      <c r="AF632">
        <f>IF(AE632="website",1,0)</f>
        <v>1</v>
      </c>
    </row>
    <row r="633" spans="1:32">
      <c r="A633" t="s">
        <v>1251</v>
      </c>
      <c r="B633" t="s">
        <v>33</v>
      </c>
      <c r="C633" s="3">
        <f t="shared" si="171"/>
        <v>0</v>
      </c>
      <c r="D633">
        <f t="shared" si="172"/>
        <v>1</v>
      </c>
      <c r="E633" t="s">
        <v>1041</v>
      </c>
      <c r="F633" t="s">
        <v>112</v>
      </c>
      <c r="G633" s="1">
        <v>17669</v>
      </c>
      <c r="H633" s="2">
        <f t="shared" ca="1" si="173"/>
        <v>78</v>
      </c>
      <c r="I633" s="2">
        <f t="shared" ca="1" si="174"/>
        <v>0.75714285714285712</v>
      </c>
      <c r="J633" t="s">
        <v>45</v>
      </c>
      <c r="K633" t="s">
        <v>248</v>
      </c>
      <c r="L633">
        <f t="shared" si="175"/>
        <v>0</v>
      </c>
      <c r="M633">
        <f t="shared" si="176"/>
        <v>0</v>
      </c>
      <c r="N633">
        <f t="shared" si="177"/>
        <v>0</v>
      </c>
      <c r="O633" t="s">
        <v>249</v>
      </c>
      <c r="P633">
        <f t="shared" si="178"/>
        <v>0</v>
      </c>
      <c r="Q633">
        <f t="shared" si="179"/>
        <v>0</v>
      </c>
      <c r="R633">
        <f t="shared" si="180"/>
        <v>0</v>
      </c>
      <c r="S633">
        <f t="shared" si="181"/>
        <v>0</v>
      </c>
      <c r="T633">
        <f t="shared" si="182"/>
        <v>0</v>
      </c>
      <c r="U633">
        <f t="shared" si="183"/>
        <v>0</v>
      </c>
      <c r="V633">
        <f t="shared" si="184"/>
        <v>0</v>
      </c>
      <c r="W633" t="s">
        <v>39</v>
      </c>
      <c r="X633">
        <f t="shared" si="185"/>
        <v>1</v>
      </c>
      <c r="Y633">
        <f t="shared" si="186"/>
        <v>0</v>
      </c>
      <c r="Z633">
        <v>4</v>
      </c>
      <c r="AA633">
        <f t="shared" si="187"/>
        <v>0.75</v>
      </c>
      <c r="AB633" t="s">
        <v>46</v>
      </c>
      <c r="AC633">
        <f t="shared" si="188"/>
        <v>0</v>
      </c>
      <c r="AD633">
        <f t="shared" si="189"/>
        <v>0</v>
      </c>
      <c r="AE633" t="s">
        <v>41</v>
      </c>
      <c r="AF633">
        <f>IF(AE633="website",1,0)</f>
        <v>1</v>
      </c>
    </row>
    <row r="634" spans="1:32">
      <c r="A634" t="s">
        <v>1252</v>
      </c>
      <c r="B634" t="s">
        <v>33</v>
      </c>
      <c r="C634" s="3">
        <f t="shared" si="171"/>
        <v>0</v>
      </c>
      <c r="D634">
        <f t="shared" si="172"/>
        <v>1</v>
      </c>
      <c r="E634" t="s">
        <v>894</v>
      </c>
      <c r="F634" t="s">
        <v>703</v>
      </c>
      <c r="G634" s="1">
        <v>15108</v>
      </c>
      <c r="H634" s="2">
        <f t="shared" ca="1" si="173"/>
        <v>85</v>
      </c>
      <c r="I634" s="2">
        <f t="shared" ca="1" si="174"/>
        <v>0.8571428571428571</v>
      </c>
      <c r="J634" t="s">
        <v>36</v>
      </c>
      <c r="K634" t="s">
        <v>37</v>
      </c>
      <c r="L634">
        <f t="shared" si="175"/>
        <v>1</v>
      </c>
      <c r="M634">
        <f t="shared" si="176"/>
        <v>0</v>
      </c>
      <c r="N634">
        <f t="shared" si="177"/>
        <v>0</v>
      </c>
      <c r="O634" t="s">
        <v>124</v>
      </c>
      <c r="P634">
        <f t="shared" si="178"/>
        <v>0</v>
      </c>
      <c r="Q634">
        <f t="shared" si="179"/>
        <v>0</v>
      </c>
      <c r="R634">
        <f t="shared" si="180"/>
        <v>0</v>
      </c>
      <c r="S634">
        <f t="shared" si="181"/>
        <v>0</v>
      </c>
      <c r="T634">
        <f t="shared" si="182"/>
        <v>0</v>
      </c>
      <c r="U634">
        <f t="shared" si="183"/>
        <v>1</v>
      </c>
      <c r="V634">
        <f t="shared" si="184"/>
        <v>0</v>
      </c>
      <c r="W634" t="s">
        <v>39</v>
      </c>
      <c r="X634">
        <f t="shared" si="185"/>
        <v>1</v>
      </c>
      <c r="Y634">
        <f t="shared" si="186"/>
        <v>0</v>
      </c>
      <c r="Z634">
        <v>3</v>
      </c>
      <c r="AA634">
        <f t="shared" si="187"/>
        <v>0.5</v>
      </c>
      <c r="AB634" t="s">
        <v>46</v>
      </c>
      <c r="AC634">
        <f t="shared" si="188"/>
        <v>1</v>
      </c>
      <c r="AD634">
        <f t="shared" si="189"/>
        <v>0</v>
      </c>
      <c r="AE634" t="s">
        <v>50</v>
      </c>
      <c r="AF634">
        <f>IF(AE634="website",1,0)</f>
        <v>0</v>
      </c>
    </row>
    <row r="635" spans="1:32">
      <c r="A635" t="s">
        <v>1253</v>
      </c>
      <c r="B635" t="s">
        <v>33</v>
      </c>
      <c r="C635" s="3">
        <f t="shared" si="171"/>
        <v>0</v>
      </c>
      <c r="D635">
        <f t="shared" si="172"/>
        <v>1</v>
      </c>
      <c r="E635" t="s">
        <v>750</v>
      </c>
      <c r="F635" t="s">
        <v>887</v>
      </c>
      <c r="G635" s="1">
        <v>29542</v>
      </c>
      <c r="H635" s="2">
        <f t="shared" ca="1" si="173"/>
        <v>45</v>
      </c>
      <c r="I635" s="2">
        <f t="shared" ca="1" si="174"/>
        <v>0.2857142857142857</v>
      </c>
      <c r="J635" t="s">
        <v>45</v>
      </c>
      <c r="K635" t="s">
        <v>37</v>
      </c>
      <c r="L635">
        <f t="shared" si="175"/>
        <v>1</v>
      </c>
      <c r="M635">
        <f t="shared" si="176"/>
        <v>0</v>
      </c>
      <c r="N635">
        <f t="shared" si="177"/>
        <v>0</v>
      </c>
      <c r="O635" t="s">
        <v>565</v>
      </c>
      <c r="P635">
        <f t="shared" si="178"/>
        <v>0</v>
      </c>
      <c r="Q635">
        <f t="shared" si="179"/>
        <v>0</v>
      </c>
      <c r="R635">
        <f t="shared" si="180"/>
        <v>0</v>
      </c>
      <c r="S635">
        <f t="shared" si="181"/>
        <v>0</v>
      </c>
      <c r="T635">
        <f t="shared" si="182"/>
        <v>0</v>
      </c>
      <c r="U635">
        <f t="shared" si="183"/>
        <v>0</v>
      </c>
      <c r="V635">
        <f t="shared" si="184"/>
        <v>0</v>
      </c>
      <c r="W635" t="s">
        <v>58</v>
      </c>
      <c r="X635">
        <f t="shared" si="185"/>
        <v>0</v>
      </c>
      <c r="Y635">
        <f t="shared" si="186"/>
        <v>1</v>
      </c>
      <c r="Z635">
        <v>4</v>
      </c>
      <c r="AA635">
        <f t="shared" si="187"/>
        <v>0.75</v>
      </c>
      <c r="AB635" t="s">
        <v>40</v>
      </c>
      <c r="AC635">
        <f t="shared" si="188"/>
        <v>0</v>
      </c>
      <c r="AD635">
        <f t="shared" si="189"/>
        <v>0</v>
      </c>
      <c r="AE635" t="s">
        <v>41</v>
      </c>
      <c r="AF635">
        <f>IF(AE635="website",1,0)</f>
        <v>1</v>
      </c>
    </row>
    <row r="636" spans="1:32">
      <c r="A636" t="s">
        <v>1254</v>
      </c>
      <c r="B636" t="s">
        <v>33</v>
      </c>
      <c r="C636" s="3">
        <f t="shared" si="171"/>
        <v>0</v>
      </c>
      <c r="D636">
        <f t="shared" si="172"/>
        <v>1</v>
      </c>
      <c r="E636" t="s">
        <v>924</v>
      </c>
      <c r="F636" t="s">
        <v>904</v>
      </c>
      <c r="G636" s="1">
        <v>22081</v>
      </c>
      <c r="H636" s="2">
        <f t="shared" ca="1" si="173"/>
        <v>66</v>
      </c>
      <c r="I636" s="2">
        <f t="shared" ca="1" si="174"/>
        <v>0.58571428571428574</v>
      </c>
      <c r="J636" t="s">
        <v>36</v>
      </c>
      <c r="K636" t="s">
        <v>248</v>
      </c>
      <c r="L636">
        <f t="shared" si="175"/>
        <v>0</v>
      </c>
      <c r="M636">
        <f t="shared" si="176"/>
        <v>0</v>
      </c>
      <c r="N636">
        <f t="shared" si="177"/>
        <v>0</v>
      </c>
      <c r="O636" t="s">
        <v>411</v>
      </c>
      <c r="P636">
        <f t="shared" si="178"/>
        <v>0</v>
      </c>
      <c r="Q636">
        <f t="shared" si="179"/>
        <v>0</v>
      </c>
      <c r="R636">
        <f t="shared" si="180"/>
        <v>0</v>
      </c>
      <c r="S636">
        <f t="shared" si="181"/>
        <v>0</v>
      </c>
      <c r="T636">
        <f t="shared" si="182"/>
        <v>0</v>
      </c>
      <c r="U636">
        <f t="shared" si="183"/>
        <v>0</v>
      </c>
      <c r="V636">
        <f t="shared" si="184"/>
        <v>0</v>
      </c>
      <c r="W636" t="s">
        <v>58</v>
      </c>
      <c r="X636">
        <f t="shared" si="185"/>
        <v>0</v>
      </c>
      <c r="Y636">
        <f t="shared" si="186"/>
        <v>1</v>
      </c>
      <c r="Z636">
        <v>5</v>
      </c>
      <c r="AA636">
        <f t="shared" si="187"/>
        <v>1</v>
      </c>
      <c r="AB636" t="s">
        <v>46</v>
      </c>
      <c r="AC636">
        <f t="shared" si="188"/>
        <v>0</v>
      </c>
      <c r="AD636">
        <f t="shared" si="189"/>
        <v>0</v>
      </c>
      <c r="AE636" t="s">
        <v>41</v>
      </c>
      <c r="AF636">
        <f>IF(AE636="website",1,0)</f>
        <v>1</v>
      </c>
    </row>
    <row r="637" spans="1:32">
      <c r="A637" t="s">
        <v>1255</v>
      </c>
      <c r="B637" t="s">
        <v>33</v>
      </c>
      <c r="C637" s="3">
        <f t="shared" si="171"/>
        <v>0</v>
      </c>
      <c r="D637">
        <f t="shared" si="172"/>
        <v>1</v>
      </c>
      <c r="E637" t="s">
        <v>1256</v>
      </c>
      <c r="F637" t="s">
        <v>709</v>
      </c>
      <c r="G637" s="1">
        <v>29535</v>
      </c>
      <c r="H637" s="2">
        <f t="shared" ca="1" si="173"/>
        <v>45</v>
      </c>
      <c r="I637" s="2">
        <f t="shared" ca="1" si="174"/>
        <v>0.2857142857142857</v>
      </c>
      <c r="J637" t="s">
        <v>36</v>
      </c>
      <c r="K637" t="s">
        <v>626</v>
      </c>
      <c r="L637">
        <f t="shared" si="175"/>
        <v>0</v>
      </c>
      <c r="M637">
        <f t="shared" si="176"/>
        <v>0</v>
      </c>
      <c r="N637">
        <f t="shared" si="177"/>
        <v>0</v>
      </c>
      <c r="O637" t="s">
        <v>1117</v>
      </c>
      <c r="P637">
        <f t="shared" si="178"/>
        <v>0</v>
      </c>
      <c r="Q637">
        <f t="shared" si="179"/>
        <v>0</v>
      </c>
      <c r="R637">
        <f t="shared" si="180"/>
        <v>0</v>
      </c>
      <c r="S637">
        <f t="shared" si="181"/>
        <v>0</v>
      </c>
      <c r="T637">
        <f t="shared" si="182"/>
        <v>0</v>
      </c>
      <c r="U637">
        <f t="shared" si="183"/>
        <v>0</v>
      </c>
      <c r="V637">
        <f t="shared" si="184"/>
        <v>0</v>
      </c>
      <c r="W637" t="s">
        <v>39</v>
      </c>
      <c r="X637">
        <f t="shared" si="185"/>
        <v>1</v>
      </c>
      <c r="Y637">
        <f t="shared" si="186"/>
        <v>0</v>
      </c>
      <c r="Z637">
        <v>5</v>
      </c>
      <c r="AA637">
        <f t="shared" si="187"/>
        <v>1</v>
      </c>
      <c r="AB637" t="s">
        <v>46</v>
      </c>
      <c r="AC637">
        <f t="shared" si="188"/>
        <v>0</v>
      </c>
      <c r="AD637">
        <f t="shared" si="189"/>
        <v>0</v>
      </c>
      <c r="AE637" t="s">
        <v>41</v>
      </c>
      <c r="AF637">
        <f>IF(AE637="website",1,0)</f>
        <v>1</v>
      </c>
    </row>
    <row r="638" spans="1:32">
      <c r="A638" t="s">
        <v>1257</v>
      </c>
      <c r="B638" t="s">
        <v>33</v>
      </c>
      <c r="C638" s="3">
        <f t="shared" si="171"/>
        <v>0</v>
      </c>
      <c r="D638">
        <f t="shared" si="172"/>
        <v>1</v>
      </c>
      <c r="E638" t="s">
        <v>567</v>
      </c>
      <c r="F638" t="s">
        <v>691</v>
      </c>
      <c r="G638" s="1">
        <v>24698</v>
      </c>
      <c r="H638" s="2">
        <f t="shared" ca="1" si="173"/>
        <v>59</v>
      </c>
      <c r="I638" s="2">
        <f t="shared" ca="1" si="174"/>
        <v>0.48571428571428571</v>
      </c>
      <c r="J638" t="s">
        <v>36</v>
      </c>
      <c r="K638" t="s">
        <v>37</v>
      </c>
      <c r="L638">
        <f t="shared" si="175"/>
        <v>1</v>
      </c>
      <c r="M638">
        <f t="shared" si="176"/>
        <v>0</v>
      </c>
      <c r="N638">
        <f t="shared" si="177"/>
        <v>0</v>
      </c>
      <c r="O638" t="s">
        <v>38</v>
      </c>
      <c r="P638">
        <f t="shared" si="178"/>
        <v>1</v>
      </c>
      <c r="Q638">
        <f t="shared" si="179"/>
        <v>0</v>
      </c>
      <c r="R638">
        <f t="shared" si="180"/>
        <v>0</v>
      </c>
      <c r="S638">
        <f t="shared" si="181"/>
        <v>0</v>
      </c>
      <c r="T638">
        <f t="shared" si="182"/>
        <v>0</v>
      </c>
      <c r="U638">
        <f t="shared" si="183"/>
        <v>0</v>
      </c>
      <c r="V638">
        <f t="shared" si="184"/>
        <v>0</v>
      </c>
      <c r="W638" t="s">
        <v>39</v>
      </c>
      <c r="X638">
        <f t="shared" si="185"/>
        <v>1</v>
      </c>
      <c r="Y638">
        <f t="shared" si="186"/>
        <v>0</v>
      </c>
      <c r="Z638">
        <v>2</v>
      </c>
      <c r="AA638">
        <f t="shared" si="187"/>
        <v>0.25</v>
      </c>
      <c r="AB638" t="s">
        <v>46</v>
      </c>
      <c r="AC638">
        <f t="shared" si="188"/>
        <v>0</v>
      </c>
      <c r="AD638">
        <f t="shared" si="189"/>
        <v>0</v>
      </c>
      <c r="AE638" t="s">
        <v>41</v>
      </c>
      <c r="AF638">
        <f>IF(AE638="website",1,0)</f>
        <v>1</v>
      </c>
    </row>
    <row r="639" spans="1:32">
      <c r="A639" t="s">
        <v>1258</v>
      </c>
      <c r="B639" t="s">
        <v>33</v>
      </c>
      <c r="C639" s="3">
        <f t="shared" si="171"/>
        <v>0</v>
      </c>
      <c r="D639">
        <f t="shared" si="172"/>
        <v>1</v>
      </c>
      <c r="E639" t="s">
        <v>671</v>
      </c>
      <c r="F639" t="s">
        <v>904</v>
      </c>
      <c r="G639" s="1">
        <v>27429</v>
      </c>
      <c r="H639" s="2">
        <f t="shared" ca="1" si="173"/>
        <v>51</v>
      </c>
      <c r="I639" s="2">
        <f t="shared" ca="1" si="174"/>
        <v>0.37142857142857144</v>
      </c>
      <c r="J639" t="s">
        <v>45</v>
      </c>
      <c r="K639" t="s">
        <v>37</v>
      </c>
      <c r="L639">
        <f t="shared" si="175"/>
        <v>1</v>
      </c>
      <c r="M639">
        <f t="shared" si="176"/>
        <v>0</v>
      </c>
      <c r="N639">
        <f t="shared" si="177"/>
        <v>0</v>
      </c>
      <c r="O639" t="s">
        <v>559</v>
      </c>
      <c r="P639">
        <f t="shared" si="178"/>
        <v>0</v>
      </c>
      <c r="Q639">
        <f t="shared" si="179"/>
        <v>0</v>
      </c>
      <c r="R639">
        <f t="shared" si="180"/>
        <v>0</v>
      </c>
      <c r="S639">
        <f t="shared" si="181"/>
        <v>0</v>
      </c>
      <c r="T639">
        <f t="shared" si="182"/>
        <v>0</v>
      </c>
      <c r="U639">
        <f t="shared" si="183"/>
        <v>0</v>
      </c>
      <c r="V639">
        <f t="shared" si="184"/>
        <v>0</v>
      </c>
      <c r="W639" t="s">
        <v>39</v>
      </c>
      <c r="X639">
        <f t="shared" si="185"/>
        <v>1</v>
      </c>
      <c r="Y639">
        <f t="shared" si="186"/>
        <v>0</v>
      </c>
      <c r="Z639">
        <v>5</v>
      </c>
      <c r="AA639">
        <f t="shared" si="187"/>
        <v>1</v>
      </c>
      <c r="AB639" t="s">
        <v>40</v>
      </c>
      <c r="AC639">
        <f t="shared" si="188"/>
        <v>0</v>
      </c>
      <c r="AD639">
        <f t="shared" si="189"/>
        <v>0</v>
      </c>
      <c r="AE639" t="s">
        <v>41</v>
      </c>
      <c r="AF639">
        <f>IF(AE639="website",1,0)</f>
        <v>1</v>
      </c>
    </row>
    <row r="640" spans="1:32">
      <c r="A640" t="s">
        <v>1259</v>
      </c>
      <c r="B640" t="s">
        <v>33</v>
      </c>
      <c r="C640" s="3">
        <f t="shared" si="171"/>
        <v>0</v>
      </c>
      <c r="D640">
        <f t="shared" si="172"/>
        <v>1</v>
      </c>
      <c r="E640" t="s">
        <v>658</v>
      </c>
      <c r="F640" t="s">
        <v>623</v>
      </c>
      <c r="G640" s="1">
        <v>22343</v>
      </c>
      <c r="H640" s="2">
        <f t="shared" ca="1" si="173"/>
        <v>65</v>
      </c>
      <c r="I640" s="2">
        <f t="shared" ca="1" si="174"/>
        <v>0.5714285714285714</v>
      </c>
      <c r="J640" t="s">
        <v>45</v>
      </c>
      <c r="K640" t="s">
        <v>248</v>
      </c>
      <c r="L640">
        <f t="shared" si="175"/>
        <v>0</v>
      </c>
      <c r="M640">
        <f t="shared" si="176"/>
        <v>0</v>
      </c>
      <c r="N640">
        <f t="shared" si="177"/>
        <v>0</v>
      </c>
      <c r="O640" t="s">
        <v>411</v>
      </c>
      <c r="P640">
        <f t="shared" si="178"/>
        <v>0</v>
      </c>
      <c r="Q640">
        <f t="shared" si="179"/>
        <v>0</v>
      </c>
      <c r="R640">
        <f t="shared" si="180"/>
        <v>0</v>
      </c>
      <c r="S640">
        <f t="shared" si="181"/>
        <v>0</v>
      </c>
      <c r="T640">
        <f t="shared" si="182"/>
        <v>0</v>
      </c>
      <c r="U640">
        <f t="shared" si="183"/>
        <v>0</v>
      </c>
      <c r="V640">
        <f t="shared" si="184"/>
        <v>0</v>
      </c>
      <c r="W640" t="s">
        <v>39</v>
      </c>
      <c r="X640">
        <f t="shared" si="185"/>
        <v>1</v>
      </c>
      <c r="Y640">
        <f t="shared" si="186"/>
        <v>0</v>
      </c>
      <c r="Z640">
        <v>3</v>
      </c>
      <c r="AA640">
        <f t="shared" si="187"/>
        <v>0.5</v>
      </c>
      <c r="AB640" t="s">
        <v>40</v>
      </c>
      <c r="AC640">
        <f t="shared" si="188"/>
        <v>0</v>
      </c>
      <c r="AD640">
        <f t="shared" si="189"/>
        <v>0</v>
      </c>
      <c r="AE640" t="s">
        <v>41</v>
      </c>
      <c r="AF640">
        <f>IF(AE640="website",1,0)</f>
        <v>1</v>
      </c>
    </row>
    <row r="641" spans="1:32">
      <c r="A641" t="s">
        <v>1260</v>
      </c>
      <c r="B641" t="s">
        <v>33</v>
      </c>
      <c r="C641" s="3">
        <f t="shared" si="171"/>
        <v>0</v>
      </c>
      <c r="D641">
        <f t="shared" si="172"/>
        <v>1</v>
      </c>
      <c r="E641" t="s">
        <v>809</v>
      </c>
      <c r="F641" t="s">
        <v>798</v>
      </c>
      <c r="G641" s="1">
        <v>24532</v>
      </c>
      <c r="H641" s="2">
        <f t="shared" ca="1" si="173"/>
        <v>59</v>
      </c>
      <c r="I641" s="2">
        <f t="shared" ca="1" si="174"/>
        <v>0.48571428571428571</v>
      </c>
      <c r="J641" t="s">
        <v>36</v>
      </c>
      <c r="K641" t="s">
        <v>37</v>
      </c>
      <c r="L641">
        <f t="shared" si="175"/>
        <v>1</v>
      </c>
      <c r="M641">
        <f t="shared" si="176"/>
        <v>0</v>
      </c>
      <c r="N641">
        <f t="shared" si="177"/>
        <v>0</v>
      </c>
      <c r="O641" t="s">
        <v>183</v>
      </c>
      <c r="P641">
        <f t="shared" si="178"/>
        <v>0</v>
      </c>
      <c r="Q641">
        <f t="shared" si="179"/>
        <v>0</v>
      </c>
      <c r="R641">
        <f t="shared" si="180"/>
        <v>0</v>
      </c>
      <c r="S641">
        <f t="shared" si="181"/>
        <v>0</v>
      </c>
      <c r="T641">
        <f t="shared" si="182"/>
        <v>0</v>
      </c>
      <c r="U641">
        <f t="shared" si="183"/>
        <v>0</v>
      </c>
      <c r="V641">
        <f t="shared" si="184"/>
        <v>0</v>
      </c>
      <c r="W641" t="s">
        <v>39</v>
      </c>
      <c r="X641">
        <f t="shared" si="185"/>
        <v>1</v>
      </c>
      <c r="Y641">
        <f t="shared" si="186"/>
        <v>0</v>
      </c>
      <c r="Z641">
        <v>3</v>
      </c>
      <c r="AA641">
        <f t="shared" si="187"/>
        <v>0.5</v>
      </c>
      <c r="AB641" t="s">
        <v>46</v>
      </c>
      <c r="AC641">
        <f t="shared" si="188"/>
        <v>1</v>
      </c>
      <c r="AD641">
        <f t="shared" si="189"/>
        <v>0</v>
      </c>
      <c r="AE641" t="s">
        <v>50</v>
      </c>
      <c r="AF641">
        <f>IF(AE641="website",1,0)</f>
        <v>0</v>
      </c>
    </row>
    <row r="642" spans="1:32">
      <c r="A642" t="s">
        <v>1261</v>
      </c>
      <c r="B642" t="s">
        <v>55</v>
      </c>
      <c r="C642" s="3">
        <f t="shared" ref="C642:C705" si="190">IF(B642="company",1,0)</f>
        <v>1</v>
      </c>
      <c r="D642">
        <f t="shared" ref="D642:D705" si="191">IF(B642="individual",1,0)</f>
        <v>0</v>
      </c>
      <c r="E642" t="s">
        <v>872</v>
      </c>
      <c r="F642" t="s">
        <v>57</v>
      </c>
      <c r="G642" s="1">
        <v>34391</v>
      </c>
      <c r="H642" s="2">
        <f t="shared" ref="H642:H705" ca="1" si="192">DATEDIF(G642,TODAY(),"Y")</f>
        <v>32</v>
      </c>
      <c r="I642" s="2">
        <f t="shared" ref="I642:I705" ca="1" si="193">(H642-MIN(H:H))/(MAX(H:H)-MIN(H:H))</f>
        <v>0.1</v>
      </c>
      <c r="J642" t="s">
        <v>45</v>
      </c>
      <c r="K642" t="s">
        <v>37</v>
      </c>
      <c r="L642">
        <f t="shared" ref="L642:L705" si="194">IF(K642="usa",1,0)</f>
        <v>1</v>
      </c>
      <c r="M642">
        <f t="shared" ref="M642:M705" si="195">IF(K642="canada",1,0)</f>
        <v>0</v>
      </c>
      <c r="N642">
        <f t="shared" ref="N642:N705" si="196">IF(K642="germany",1,0)</f>
        <v>0</v>
      </c>
      <c r="O642" t="s">
        <v>97</v>
      </c>
      <c r="P642">
        <f t="shared" ref="P642:P705" si="197">IF(O642="california",1,0)</f>
        <v>0</v>
      </c>
      <c r="Q642">
        <f t="shared" ref="Q642:Q705" si="198">IF(O642="oregon",1,0)</f>
        <v>0</v>
      </c>
      <c r="R642">
        <f t="shared" ref="R642:R705" si="199">IF(O642="quebec",1,0)</f>
        <v>0</v>
      </c>
      <c r="S642">
        <f t="shared" ref="S642:S705" si="200">IF(O642="berlin",1,0)</f>
        <v>0</v>
      </c>
      <c r="T642">
        <f t="shared" ref="T642:T705" si="201">IF(O642="arizona",1,0)</f>
        <v>1</v>
      </c>
      <c r="U642">
        <f t="shared" ref="U642:U705" si="202">IF(O642="nevada",1,0)</f>
        <v>0</v>
      </c>
      <c r="V642">
        <f t="shared" ref="V642:V705" si="203">IF(O642="colardo",1,0)</f>
        <v>0</v>
      </c>
      <c r="W642" t="s">
        <v>39</v>
      </c>
      <c r="X642">
        <f t="shared" ref="X642:X705" si="204">IF(W642="home",1,0)</f>
        <v>1</v>
      </c>
      <c r="Y642">
        <f t="shared" ref="Y642:Y705" si="205">IF(W642="investment",1,0)</f>
        <v>0</v>
      </c>
      <c r="Z642">
        <v>2</v>
      </c>
      <c r="AA642">
        <f t="shared" ref="AA642:AA705" si="206">(Z642-1)/4</f>
        <v>0.25</v>
      </c>
      <c r="AB642" t="s">
        <v>46</v>
      </c>
      <c r="AC642">
        <f t="shared" ref="AC642:AC705" si="207">IF(AE642="agency",1,0)</f>
        <v>1</v>
      </c>
      <c r="AD642">
        <f t="shared" ref="AD642:AD705" si="208">IF(AE642="client",1,0)</f>
        <v>0</v>
      </c>
      <c r="AE642" t="s">
        <v>50</v>
      </c>
      <c r="AF642">
        <f>IF(AE642="website",1,0)</f>
        <v>0</v>
      </c>
    </row>
    <row r="643" spans="1:32">
      <c r="A643" t="s">
        <v>1262</v>
      </c>
      <c r="B643" t="s">
        <v>33</v>
      </c>
      <c r="C643" s="3">
        <f t="shared" si="190"/>
        <v>0</v>
      </c>
      <c r="D643">
        <f t="shared" si="191"/>
        <v>1</v>
      </c>
      <c r="E643" t="s">
        <v>699</v>
      </c>
      <c r="F643" t="s">
        <v>641</v>
      </c>
      <c r="G643" s="1">
        <v>24797</v>
      </c>
      <c r="H643" s="2">
        <f t="shared" ca="1" si="192"/>
        <v>58</v>
      </c>
      <c r="I643" s="2">
        <f t="shared" ca="1" si="193"/>
        <v>0.47142857142857142</v>
      </c>
      <c r="J643" t="s">
        <v>36</v>
      </c>
      <c r="K643" t="s">
        <v>37</v>
      </c>
      <c r="L643">
        <f t="shared" si="194"/>
        <v>1</v>
      </c>
      <c r="M643">
        <f t="shared" si="195"/>
        <v>0</v>
      </c>
      <c r="N643">
        <f t="shared" si="196"/>
        <v>0</v>
      </c>
      <c r="O643" t="s">
        <v>38</v>
      </c>
      <c r="P643">
        <f t="shared" si="197"/>
        <v>1</v>
      </c>
      <c r="Q643">
        <f t="shared" si="198"/>
        <v>0</v>
      </c>
      <c r="R643">
        <f t="shared" si="199"/>
        <v>0</v>
      </c>
      <c r="S643">
        <f t="shared" si="200"/>
        <v>0</v>
      </c>
      <c r="T643">
        <f t="shared" si="201"/>
        <v>0</v>
      </c>
      <c r="U643">
        <f t="shared" si="202"/>
        <v>0</v>
      </c>
      <c r="V643">
        <f t="shared" si="203"/>
        <v>0</v>
      </c>
      <c r="W643" t="s">
        <v>39</v>
      </c>
      <c r="X643">
        <f t="shared" si="204"/>
        <v>1</v>
      </c>
      <c r="Y643">
        <f t="shared" si="205"/>
        <v>0</v>
      </c>
      <c r="Z643">
        <v>4</v>
      </c>
      <c r="AA643">
        <f t="shared" si="206"/>
        <v>0.75</v>
      </c>
      <c r="AB643" t="s">
        <v>46</v>
      </c>
      <c r="AC643">
        <f t="shared" si="207"/>
        <v>0</v>
      </c>
      <c r="AD643">
        <f t="shared" si="208"/>
        <v>0</v>
      </c>
      <c r="AE643" t="s">
        <v>41</v>
      </c>
      <c r="AF643">
        <f>IF(AE643="website",1,0)</f>
        <v>1</v>
      </c>
    </row>
    <row r="644" spans="1:32">
      <c r="A644" t="s">
        <v>1263</v>
      </c>
      <c r="B644" t="s">
        <v>33</v>
      </c>
      <c r="C644" s="3">
        <f t="shared" si="190"/>
        <v>0</v>
      </c>
      <c r="D644">
        <f t="shared" si="191"/>
        <v>1</v>
      </c>
      <c r="E644" t="s">
        <v>879</v>
      </c>
      <c r="F644" t="s">
        <v>695</v>
      </c>
      <c r="G644" s="1">
        <v>27154</v>
      </c>
      <c r="H644" s="2">
        <f t="shared" ca="1" si="192"/>
        <v>52</v>
      </c>
      <c r="I644" s="2">
        <f t="shared" ca="1" si="193"/>
        <v>0.38571428571428573</v>
      </c>
      <c r="J644" t="s">
        <v>36</v>
      </c>
      <c r="K644" t="s">
        <v>37</v>
      </c>
      <c r="L644">
        <f t="shared" si="194"/>
        <v>1</v>
      </c>
      <c r="M644">
        <f t="shared" si="195"/>
        <v>0</v>
      </c>
      <c r="N644">
        <f t="shared" si="196"/>
        <v>0</v>
      </c>
      <c r="O644" t="s">
        <v>38</v>
      </c>
      <c r="P644">
        <f t="shared" si="197"/>
        <v>1</v>
      </c>
      <c r="Q644">
        <f t="shared" si="198"/>
        <v>0</v>
      </c>
      <c r="R644">
        <f t="shared" si="199"/>
        <v>0</v>
      </c>
      <c r="S644">
        <f t="shared" si="200"/>
        <v>0</v>
      </c>
      <c r="T644">
        <f t="shared" si="201"/>
        <v>0</v>
      </c>
      <c r="U644">
        <f t="shared" si="202"/>
        <v>0</v>
      </c>
      <c r="V644">
        <f t="shared" si="203"/>
        <v>0</v>
      </c>
      <c r="W644" t="s">
        <v>39</v>
      </c>
      <c r="X644">
        <f t="shared" si="204"/>
        <v>1</v>
      </c>
      <c r="Y644">
        <f t="shared" si="205"/>
        <v>0</v>
      </c>
      <c r="Z644">
        <v>5</v>
      </c>
      <c r="AA644">
        <f t="shared" si="206"/>
        <v>1</v>
      </c>
      <c r="AB644" t="s">
        <v>46</v>
      </c>
      <c r="AC644">
        <f t="shared" si="207"/>
        <v>0</v>
      </c>
      <c r="AD644">
        <f t="shared" si="208"/>
        <v>0</v>
      </c>
      <c r="AE644" t="s">
        <v>41</v>
      </c>
      <c r="AF644">
        <f>IF(AE644="website",1,0)</f>
        <v>1</v>
      </c>
    </row>
    <row r="645" spans="1:32">
      <c r="A645" t="s">
        <v>1264</v>
      </c>
      <c r="B645" t="s">
        <v>33</v>
      </c>
      <c r="C645" s="3">
        <f t="shared" si="190"/>
        <v>0</v>
      </c>
      <c r="D645">
        <f t="shared" si="191"/>
        <v>1</v>
      </c>
      <c r="E645" t="s">
        <v>947</v>
      </c>
      <c r="F645" t="s">
        <v>616</v>
      </c>
      <c r="G645" s="1">
        <v>20692</v>
      </c>
      <c r="H645" s="2">
        <f t="shared" ca="1" si="192"/>
        <v>70</v>
      </c>
      <c r="I645" s="2">
        <f t="shared" ca="1" si="193"/>
        <v>0.6428571428571429</v>
      </c>
      <c r="J645" t="s">
        <v>36</v>
      </c>
      <c r="K645" t="s">
        <v>37</v>
      </c>
      <c r="L645">
        <f t="shared" si="194"/>
        <v>1</v>
      </c>
      <c r="M645">
        <f t="shared" si="195"/>
        <v>0</v>
      </c>
      <c r="N645">
        <f t="shared" si="196"/>
        <v>0</v>
      </c>
      <c r="O645" t="s">
        <v>38</v>
      </c>
      <c r="P645">
        <f t="shared" si="197"/>
        <v>1</v>
      </c>
      <c r="Q645">
        <f t="shared" si="198"/>
        <v>0</v>
      </c>
      <c r="R645">
        <f t="shared" si="199"/>
        <v>0</v>
      </c>
      <c r="S645">
        <f t="shared" si="200"/>
        <v>0</v>
      </c>
      <c r="T645">
        <f t="shared" si="201"/>
        <v>0</v>
      </c>
      <c r="U645">
        <f t="shared" si="202"/>
        <v>0</v>
      </c>
      <c r="V645">
        <f t="shared" si="203"/>
        <v>0</v>
      </c>
      <c r="W645" t="s">
        <v>39</v>
      </c>
      <c r="X645">
        <f t="shared" si="204"/>
        <v>1</v>
      </c>
      <c r="Y645">
        <f t="shared" si="205"/>
        <v>0</v>
      </c>
      <c r="Z645">
        <v>4</v>
      </c>
      <c r="AA645">
        <f t="shared" si="206"/>
        <v>0.75</v>
      </c>
      <c r="AB645" t="s">
        <v>40</v>
      </c>
      <c r="AC645">
        <f t="shared" si="207"/>
        <v>1</v>
      </c>
      <c r="AD645">
        <f t="shared" si="208"/>
        <v>0</v>
      </c>
      <c r="AE645" t="s">
        <v>50</v>
      </c>
      <c r="AF645">
        <f>IF(AE645="website",1,0)</f>
        <v>0</v>
      </c>
    </row>
    <row r="646" spans="1:32">
      <c r="A646" t="s">
        <v>1265</v>
      </c>
      <c r="B646" t="s">
        <v>33</v>
      </c>
      <c r="C646" s="3">
        <f t="shared" si="190"/>
        <v>0</v>
      </c>
      <c r="D646">
        <f t="shared" si="191"/>
        <v>1</v>
      </c>
      <c r="E646" t="s">
        <v>398</v>
      </c>
      <c r="F646" t="s">
        <v>856</v>
      </c>
      <c r="G646" s="1">
        <v>32342</v>
      </c>
      <c r="H646" s="2">
        <f t="shared" ca="1" si="192"/>
        <v>38</v>
      </c>
      <c r="I646" s="2">
        <f t="shared" ca="1" si="193"/>
        <v>0.18571428571428572</v>
      </c>
      <c r="J646" t="s">
        <v>45</v>
      </c>
      <c r="K646" t="s">
        <v>37</v>
      </c>
      <c r="L646">
        <f t="shared" si="194"/>
        <v>1</v>
      </c>
      <c r="M646">
        <f t="shared" si="195"/>
        <v>0</v>
      </c>
      <c r="N646">
        <f t="shared" si="196"/>
        <v>0</v>
      </c>
      <c r="O646" t="s">
        <v>124</v>
      </c>
      <c r="P646">
        <f t="shared" si="197"/>
        <v>0</v>
      </c>
      <c r="Q646">
        <f t="shared" si="198"/>
        <v>0</v>
      </c>
      <c r="R646">
        <f t="shared" si="199"/>
        <v>0</v>
      </c>
      <c r="S646">
        <f t="shared" si="200"/>
        <v>0</v>
      </c>
      <c r="T646">
        <f t="shared" si="201"/>
        <v>0</v>
      </c>
      <c r="U646">
        <f t="shared" si="202"/>
        <v>1</v>
      </c>
      <c r="V646">
        <f t="shared" si="203"/>
        <v>0</v>
      </c>
      <c r="W646" t="s">
        <v>39</v>
      </c>
      <c r="X646">
        <f t="shared" si="204"/>
        <v>1</v>
      </c>
      <c r="Y646">
        <f t="shared" si="205"/>
        <v>0</v>
      </c>
      <c r="Z646">
        <v>2</v>
      </c>
      <c r="AA646">
        <f t="shared" si="206"/>
        <v>0.25</v>
      </c>
      <c r="AB646" t="s">
        <v>46</v>
      </c>
      <c r="AC646">
        <f t="shared" si="207"/>
        <v>0</v>
      </c>
      <c r="AD646">
        <f t="shared" si="208"/>
        <v>1</v>
      </c>
      <c r="AE646" t="s">
        <v>90</v>
      </c>
      <c r="AF646">
        <f>IF(AE646="website",1,0)</f>
        <v>0</v>
      </c>
    </row>
    <row r="647" spans="1:32">
      <c r="A647" t="s">
        <v>1266</v>
      </c>
      <c r="B647" t="s">
        <v>33</v>
      </c>
      <c r="C647" s="3">
        <f t="shared" si="190"/>
        <v>0</v>
      </c>
      <c r="D647">
        <f t="shared" si="191"/>
        <v>1</v>
      </c>
      <c r="E647" t="s">
        <v>1133</v>
      </c>
      <c r="F647" t="s">
        <v>623</v>
      </c>
      <c r="G647" s="1">
        <v>34901</v>
      </c>
      <c r="H647" s="2">
        <f t="shared" ca="1" si="192"/>
        <v>31</v>
      </c>
      <c r="I647" s="2">
        <f t="shared" ca="1" si="193"/>
        <v>8.5714285714285715E-2</v>
      </c>
      <c r="J647" t="s">
        <v>36</v>
      </c>
      <c r="K647" t="s">
        <v>37</v>
      </c>
      <c r="L647">
        <f t="shared" si="194"/>
        <v>1</v>
      </c>
      <c r="M647">
        <f t="shared" si="195"/>
        <v>0</v>
      </c>
      <c r="N647">
        <f t="shared" si="196"/>
        <v>0</v>
      </c>
      <c r="O647" t="s">
        <v>97</v>
      </c>
      <c r="P647">
        <f t="shared" si="197"/>
        <v>0</v>
      </c>
      <c r="Q647">
        <f t="shared" si="198"/>
        <v>0</v>
      </c>
      <c r="R647">
        <f t="shared" si="199"/>
        <v>0</v>
      </c>
      <c r="S647">
        <f t="shared" si="200"/>
        <v>0</v>
      </c>
      <c r="T647">
        <f t="shared" si="201"/>
        <v>1</v>
      </c>
      <c r="U647">
        <f t="shared" si="202"/>
        <v>0</v>
      </c>
      <c r="V647">
        <f t="shared" si="203"/>
        <v>0</v>
      </c>
      <c r="W647" t="s">
        <v>58</v>
      </c>
      <c r="X647">
        <f t="shared" si="204"/>
        <v>0</v>
      </c>
      <c r="Y647">
        <f t="shared" si="205"/>
        <v>1</v>
      </c>
      <c r="Z647">
        <v>5</v>
      </c>
      <c r="AA647">
        <f t="shared" si="206"/>
        <v>1</v>
      </c>
      <c r="AB647" t="s">
        <v>46</v>
      </c>
      <c r="AC647">
        <f t="shared" si="207"/>
        <v>1</v>
      </c>
      <c r="AD647">
        <f t="shared" si="208"/>
        <v>0</v>
      </c>
      <c r="AE647" t="s">
        <v>50</v>
      </c>
      <c r="AF647">
        <f>IF(AE647="website",1,0)</f>
        <v>0</v>
      </c>
    </row>
    <row r="648" spans="1:32">
      <c r="A648" t="s">
        <v>1267</v>
      </c>
      <c r="B648" t="s">
        <v>33</v>
      </c>
      <c r="C648" s="3">
        <f t="shared" si="190"/>
        <v>0</v>
      </c>
      <c r="D648">
        <f t="shared" si="191"/>
        <v>1</v>
      </c>
      <c r="E648" t="s">
        <v>1061</v>
      </c>
      <c r="F648" t="s">
        <v>554</v>
      </c>
      <c r="G648" s="1">
        <v>16839</v>
      </c>
      <c r="H648" s="2">
        <f t="shared" ca="1" si="192"/>
        <v>80</v>
      </c>
      <c r="I648" s="2">
        <f t="shared" ca="1" si="193"/>
        <v>0.7857142857142857</v>
      </c>
      <c r="J648" t="s">
        <v>36</v>
      </c>
      <c r="K648" t="s">
        <v>37</v>
      </c>
      <c r="L648">
        <f t="shared" si="194"/>
        <v>1</v>
      </c>
      <c r="M648">
        <f t="shared" si="195"/>
        <v>0</v>
      </c>
      <c r="N648">
        <f t="shared" si="196"/>
        <v>0</v>
      </c>
      <c r="O648" t="s">
        <v>38</v>
      </c>
      <c r="P648">
        <f t="shared" si="197"/>
        <v>1</v>
      </c>
      <c r="Q648">
        <f t="shared" si="198"/>
        <v>0</v>
      </c>
      <c r="R648">
        <f t="shared" si="199"/>
        <v>0</v>
      </c>
      <c r="S648">
        <f t="shared" si="200"/>
        <v>0</v>
      </c>
      <c r="T648">
        <f t="shared" si="201"/>
        <v>0</v>
      </c>
      <c r="U648">
        <f t="shared" si="202"/>
        <v>0</v>
      </c>
      <c r="V648">
        <f t="shared" si="203"/>
        <v>0</v>
      </c>
      <c r="W648" t="s">
        <v>39</v>
      </c>
      <c r="X648">
        <f t="shared" si="204"/>
        <v>1</v>
      </c>
      <c r="Y648">
        <f t="shared" si="205"/>
        <v>0</v>
      </c>
      <c r="Z648">
        <v>4</v>
      </c>
      <c r="AA648">
        <f t="shared" si="206"/>
        <v>0.75</v>
      </c>
      <c r="AB648" t="s">
        <v>46</v>
      </c>
      <c r="AC648">
        <f t="shared" si="207"/>
        <v>1</v>
      </c>
      <c r="AD648">
        <f t="shared" si="208"/>
        <v>0</v>
      </c>
      <c r="AE648" t="s">
        <v>50</v>
      </c>
      <c r="AF648">
        <f>IF(AE648="website",1,0)</f>
        <v>0</v>
      </c>
    </row>
    <row r="649" spans="1:32">
      <c r="A649" t="s">
        <v>1268</v>
      </c>
      <c r="B649" t="s">
        <v>33</v>
      </c>
      <c r="C649" s="3">
        <f t="shared" si="190"/>
        <v>0</v>
      </c>
      <c r="D649">
        <f t="shared" si="191"/>
        <v>1</v>
      </c>
      <c r="E649" t="s">
        <v>747</v>
      </c>
      <c r="F649" t="s">
        <v>885</v>
      </c>
      <c r="G649" s="1">
        <v>36221</v>
      </c>
      <c r="H649" s="2">
        <f t="shared" ca="1" si="192"/>
        <v>27</v>
      </c>
      <c r="I649" s="2">
        <f t="shared" ca="1" si="193"/>
        <v>2.8571428571428571E-2</v>
      </c>
      <c r="J649" t="s">
        <v>36</v>
      </c>
      <c r="K649" t="s">
        <v>37</v>
      </c>
      <c r="L649">
        <f t="shared" si="194"/>
        <v>1</v>
      </c>
      <c r="M649">
        <f t="shared" si="195"/>
        <v>0</v>
      </c>
      <c r="N649">
        <f t="shared" si="196"/>
        <v>0</v>
      </c>
      <c r="O649" t="s">
        <v>38</v>
      </c>
      <c r="P649">
        <f t="shared" si="197"/>
        <v>1</v>
      </c>
      <c r="Q649">
        <f t="shared" si="198"/>
        <v>0</v>
      </c>
      <c r="R649">
        <f t="shared" si="199"/>
        <v>0</v>
      </c>
      <c r="S649">
        <f t="shared" si="200"/>
        <v>0</v>
      </c>
      <c r="T649">
        <f t="shared" si="201"/>
        <v>0</v>
      </c>
      <c r="U649">
        <f t="shared" si="202"/>
        <v>0</v>
      </c>
      <c r="V649">
        <f t="shared" si="203"/>
        <v>0</v>
      </c>
      <c r="W649" t="s">
        <v>39</v>
      </c>
      <c r="X649">
        <f t="shared" si="204"/>
        <v>1</v>
      </c>
      <c r="Y649">
        <f t="shared" si="205"/>
        <v>0</v>
      </c>
      <c r="Z649">
        <v>1</v>
      </c>
      <c r="AA649">
        <f t="shared" si="206"/>
        <v>0</v>
      </c>
      <c r="AB649" t="s">
        <v>40</v>
      </c>
      <c r="AC649">
        <f t="shared" si="207"/>
        <v>0</v>
      </c>
      <c r="AD649">
        <f t="shared" si="208"/>
        <v>0</v>
      </c>
      <c r="AE649" t="s">
        <v>41</v>
      </c>
      <c r="AF649">
        <f>IF(AE649="website",1,0)</f>
        <v>1</v>
      </c>
    </row>
    <row r="650" spans="1:32">
      <c r="A650" t="s">
        <v>1269</v>
      </c>
      <c r="B650" t="s">
        <v>33</v>
      </c>
      <c r="C650" s="3">
        <f t="shared" si="190"/>
        <v>0</v>
      </c>
      <c r="D650">
        <f t="shared" si="191"/>
        <v>1</v>
      </c>
      <c r="E650" t="s">
        <v>1043</v>
      </c>
      <c r="F650" t="s">
        <v>1270</v>
      </c>
      <c r="G650" s="1">
        <v>34759</v>
      </c>
      <c r="H650" s="2">
        <f t="shared" ca="1" si="192"/>
        <v>31</v>
      </c>
      <c r="I650" s="2">
        <f t="shared" ca="1" si="193"/>
        <v>8.5714285714285715E-2</v>
      </c>
      <c r="J650" t="s">
        <v>36</v>
      </c>
      <c r="K650" t="s">
        <v>37</v>
      </c>
      <c r="L650">
        <f t="shared" si="194"/>
        <v>1</v>
      </c>
      <c r="M650">
        <f t="shared" si="195"/>
        <v>0</v>
      </c>
      <c r="N650">
        <f t="shared" si="196"/>
        <v>0</v>
      </c>
      <c r="O650" t="s">
        <v>38</v>
      </c>
      <c r="P650">
        <f t="shared" si="197"/>
        <v>1</v>
      </c>
      <c r="Q650">
        <f t="shared" si="198"/>
        <v>0</v>
      </c>
      <c r="R650">
        <f t="shared" si="199"/>
        <v>0</v>
      </c>
      <c r="S650">
        <f t="shared" si="200"/>
        <v>0</v>
      </c>
      <c r="T650">
        <f t="shared" si="201"/>
        <v>0</v>
      </c>
      <c r="U650">
        <f t="shared" si="202"/>
        <v>0</v>
      </c>
      <c r="V650">
        <f t="shared" si="203"/>
        <v>0</v>
      </c>
      <c r="W650" t="s">
        <v>39</v>
      </c>
      <c r="X650">
        <f t="shared" si="204"/>
        <v>1</v>
      </c>
      <c r="Y650">
        <f t="shared" si="205"/>
        <v>0</v>
      </c>
      <c r="Z650">
        <v>4</v>
      </c>
      <c r="AA650">
        <f t="shared" si="206"/>
        <v>0.75</v>
      </c>
      <c r="AB650" t="s">
        <v>46</v>
      </c>
      <c r="AC650">
        <f t="shared" si="207"/>
        <v>1</v>
      </c>
      <c r="AD650">
        <f t="shared" si="208"/>
        <v>0</v>
      </c>
      <c r="AE650" t="s">
        <v>50</v>
      </c>
      <c r="AF650">
        <f>IF(AE650="website",1,0)</f>
        <v>0</v>
      </c>
    </row>
    <row r="651" spans="1:32">
      <c r="A651" t="s">
        <v>1271</v>
      </c>
      <c r="B651" t="s">
        <v>55</v>
      </c>
      <c r="C651" s="3">
        <f t="shared" si="190"/>
        <v>1</v>
      </c>
      <c r="D651">
        <f t="shared" si="191"/>
        <v>0</v>
      </c>
      <c r="E651" t="s">
        <v>1272</v>
      </c>
      <c r="F651" t="s">
        <v>57</v>
      </c>
      <c r="G651" s="1">
        <v>27809</v>
      </c>
      <c r="H651" s="2">
        <f t="shared" ca="1" si="192"/>
        <v>50</v>
      </c>
      <c r="I651" s="2">
        <f t="shared" ca="1" si="193"/>
        <v>0.35714285714285715</v>
      </c>
      <c r="J651" t="s">
        <v>45</v>
      </c>
      <c r="K651" t="s">
        <v>626</v>
      </c>
      <c r="L651">
        <f t="shared" si="194"/>
        <v>0</v>
      </c>
      <c r="M651">
        <f t="shared" si="195"/>
        <v>0</v>
      </c>
      <c r="N651">
        <f t="shared" si="196"/>
        <v>0</v>
      </c>
      <c r="O651" t="s">
        <v>1188</v>
      </c>
      <c r="P651">
        <f t="shared" si="197"/>
        <v>0</v>
      </c>
      <c r="Q651">
        <f t="shared" si="198"/>
        <v>0</v>
      </c>
      <c r="R651">
        <f t="shared" si="199"/>
        <v>0</v>
      </c>
      <c r="S651">
        <f t="shared" si="200"/>
        <v>0</v>
      </c>
      <c r="T651">
        <f t="shared" si="201"/>
        <v>0</v>
      </c>
      <c r="U651">
        <f t="shared" si="202"/>
        <v>0</v>
      </c>
      <c r="V651">
        <f t="shared" si="203"/>
        <v>0</v>
      </c>
      <c r="W651" t="s">
        <v>39</v>
      </c>
      <c r="X651">
        <f t="shared" si="204"/>
        <v>1</v>
      </c>
      <c r="Y651">
        <f t="shared" si="205"/>
        <v>0</v>
      </c>
      <c r="Z651">
        <v>3</v>
      </c>
      <c r="AA651">
        <f t="shared" si="206"/>
        <v>0.5</v>
      </c>
      <c r="AB651" t="s">
        <v>40</v>
      </c>
      <c r="AC651">
        <f t="shared" si="207"/>
        <v>0</v>
      </c>
      <c r="AD651">
        <f t="shared" si="208"/>
        <v>1</v>
      </c>
      <c r="AE651" t="s">
        <v>90</v>
      </c>
      <c r="AF651">
        <f>IF(AE651="website",1,0)</f>
        <v>0</v>
      </c>
    </row>
    <row r="652" spans="1:32">
      <c r="A652" t="s">
        <v>1273</v>
      </c>
      <c r="B652" t="s">
        <v>55</v>
      </c>
      <c r="C652" s="3">
        <f t="shared" si="190"/>
        <v>1</v>
      </c>
      <c r="D652">
        <f t="shared" si="191"/>
        <v>0</v>
      </c>
      <c r="E652" t="s">
        <v>992</v>
      </c>
      <c r="F652" t="s">
        <v>57</v>
      </c>
      <c r="G652" s="1">
        <v>33983</v>
      </c>
      <c r="H652" s="2">
        <f t="shared" ca="1" si="192"/>
        <v>33</v>
      </c>
      <c r="I652" s="2">
        <f t="shared" ca="1" si="193"/>
        <v>0.11428571428571428</v>
      </c>
      <c r="J652" t="s">
        <v>45</v>
      </c>
      <c r="K652" t="s">
        <v>37</v>
      </c>
      <c r="L652">
        <f t="shared" si="194"/>
        <v>1</v>
      </c>
      <c r="M652">
        <f t="shared" si="195"/>
        <v>0</v>
      </c>
      <c r="N652">
        <f t="shared" si="196"/>
        <v>0</v>
      </c>
      <c r="O652" t="s">
        <v>565</v>
      </c>
      <c r="P652">
        <f t="shared" si="197"/>
        <v>0</v>
      </c>
      <c r="Q652">
        <f t="shared" si="198"/>
        <v>0</v>
      </c>
      <c r="R652">
        <f t="shared" si="199"/>
        <v>0</v>
      </c>
      <c r="S652">
        <f t="shared" si="200"/>
        <v>0</v>
      </c>
      <c r="T652">
        <f t="shared" si="201"/>
        <v>0</v>
      </c>
      <c r="U652">
        <f t="shared" si="202"/>
        <v>0</v>
      </c>
      <c r="V652">
        <f t="shared" si="203"/>
        <v>0</v>
      </c>
      <c r="W652" t="s">
        <v>39</v>
      </c>
      <c r="X652">
        <f t="shared" si="204"/>
        <v>1</v>
      </c>
      <c r="Y652">
        <f t="shared" si="205"/>
        <v>0</v>
      </c>
      <c r="Z652">
        <v>1</v>
      </c>
      <c r="AA652">
        <f t="shared" si="206"/>
        <v>0</v>
      </c>
      <c r="AB652" t="s">
        <v>46</v>
      </c>
      <c r="AC652">
        <f t="shared" si="207"/>
        <v>1</v>
      </c>
      <c r="AD652">
        <f t="shared" si="208"/>
        <v>0</v>
      </c>
      <c r="AE652" t="s">
        <v>50</v>
      </c>
      <c r="AF652">
        <f>IF(AE652="website",1,0)</f>
        <v>0</v>
      </c>
    </row>
    <row r="653" spans="1:32">
      <c r="A653" t="s">
        <v>1274</v>
      </c>
      <c r="B653" t="s">
        <v>33</v>
      </c>
      <c r="C653" s="3">
        <f t="shared" si="190"/>
        <v>0</v>
      </c>
      <c r="D653">
        <f t="shared" si="191"/>
        <v>1</v>
      </c>
      <c r="E653" t="s">
        <v>804</v>
      </c>
      <c r="F653" t="s">
        <v>616</v>
      </c>
      <c r="G653" s="1">
        <v>34311</v>
      </c>
      <c r="H653" s="2">
        <f t="shared" ca="1" si="192"/>
        <v>32</v>
      </c>
      <c r="I653" s="2">
        <f t="shared" ca="1" si="193"/>
        <v>0.1</v>
      </c>
      <c r="J653" t="s">
        <v>36</v>
      </c>
      <c r="K653" t="s">
        <v>37</v>
      </c>
      <c r="L653">
        <f t="shared" si="194"/>
        <v>1</v>
      </c>
      <c r="M653">
        <f t="shared" si="195"/>
        <v>0</v>
      </c>
      <c r="N653">
        <f t="shared" si="196"/>
        <v>0</v>
      </c>
      <c r="O653" t="s">
        <v>565</v>
      </c>
      <c r="P653">
        <f t="shared" si="197"/>
        <v>0</v>
      </c>
      <c r="Q653">
        <f t="shared" si="198"/>
        <v>0</v>
      </c>
      <c r="R653">
        <f t="shared" si="199"/>
        <v>0</v>
      </c>
      <c r="S653">
        <f t="shared" si="200"/>
        <v>0</v>
      </c>
      <c r="T653">
        <f t="shared" si="201"/>
        <v>0</v>
      </c>
      <c r="U653">
        <f t="shared" si="202"/>
        <v>0</v>
      </c>
      <c r="V653">
        <f t="shared" si="203"/>
        <v>0</v>
      </c>
      <c r="W653" t="s">
        <v>39</v>
      </c>
      <c r="X653">
        <f t="shared" si="204"/>
        <v>1</v>
      </c>
      <c r="Y653">
        <f t="shared" si="205"/>
        <v>0</v>
      </c>
      <c r="Z653">
        <v>2</v>
      </c>
      <c r="AA653">
        <f t="shared" si="206"/>
        <v>0.25</v>
      </c>
      <c r="AB653" t="s">
        <v>46</v>
      </c>
      <c r="AC653">
        <f t="shared" si="207"/>
        <v>0</v>
      </c>
      <c r="AD653">
        <f t="shared" si="208"/>
        <v>0</v>
      </c>
      <c r="AE653" t="s">
        <v>41</v>
      </c>
      <c r="AF653">
        <f>IF(AE653="website",1,0)</f>
        <v>1</v>
      </c>
    </row>
    <row r="654" spans="1:32">
      <c r="A654" t="s">
        <v>1275</v>
      </c>
      <c r="B654" t="s">
        <v>33</v>
      </c>
      <c r="C654" s="3">
        <f t="shared" si="190"/>
        <v>0</v>
      </c>
      <c r="D654">
        <f t="shared" si="191"/>
        <v>1</v>
      </c>
      <c r="E654" t="s">
        <v>722</v>
      </c>
      <c r="F654" t="s">
        <v>613</v>
      </c>
      <c r="G654" s="1">
        <v>25771</v>
      </c>
      <c r="H654" s="2">
        <f t="shared" ca="1" si="192"/>
        <v>56</v>
      </c>
      <c r="I654" s="2">
        <f t="shared" ca="1" si="193"/>
        <v>0.44285714285714284</v>
      </c>
      <c r="J654" t="s">
        <v>45</v>
      </c>
      <c r="K654" t="s">
        <v>37</v>
      </c>
      <c r="L654">
        <f t="shared" si="194"/>
        <v>1</v>
      </c>
      <c r="M654">
        <f t="shared" si="195"/>
        <v>0</v>
      </c>
      <c r="N654">
        <f t="shared" si="196"/>
        <v>0</v>
      </c>
      <c r="O654" t="s">
        <v>559</v>
      </c>
      <c r="P654">
        <f t="shared" si="197"/>
        <v>0</v>
      </c>
      <c r="Q654">
        <f t="shared" si="198"/>
        <v>0</v>
      </c>
      <c r="R654">
        <f t="shared" si="199"/>
        <v>0</v>
      </c>
      <c r="S654">
        <f t="shared" si="200"/>
        <v>0</v>
      </c>
      <c r="T654">
        <f t="shared" si="201"/>
        <v>0</v>
      </c>
      <c r="U654">
        <f t="shared" si="202"/>
        <v>0</v>
      </c>
      <c r="V654">
        <f t="shared" si="203"/>
        <v>0</v>
      </c>
      <c r="W654" t="s">
        <v>39</v>
      </c>
      <c r="X654">
        <f t="shared" si="204"/>
        <v>1</v>
      </c>
      <c r="Y654">
        <f t="shared" si="205"/>
        <v>0</v>
      </c>
      <c r="Z654">
        <v>2</v>
      </c>
      <c r="AA654">
        <f t="shared" si="206"/>
        <v>0.25</v>
      </c>
      <c r="AB654" t="s">
        <v>46</v>
      </c>
      <c r="AC654">
        <f t="shared" si="207"/>
        <v>0</v>
      </c>
      <c r="AD654">
        <f t="shared" si="208"/>
        <v>1</v>
      </c>
      <c r="AE654" t="s">
        <v>90</v>
      </c>
      <c r="AF654">
        <f>IF(AE654="website",1,0)</f>
        <v>0</v>
      </c>
    </row>
    <row r="655" spans="1:32">
      <c r="A655" t="s">
        <v>1276</v>
      </c>
      <c r="B655" t="s">
        <v>33</v>
      </c>
      <c r="C655" s="3">
        <f t="shared" si="190"/>
        <v>0</v>
      </c>
      <c r="D655">
        <f t="shared" si="191"/>
        <v>1</v>
      </c>
      <c r="E655" t="s">
        <v>1060</v>
      </c>
      <c r="F655" t="s">
        <v>928</v>
      </c>
      <c r="G655" s="1">
        <v>22043</v>
      </c>
      <c r="H655" s="2">
        <f t="shared" ca="1" si="192"/>
        <v>66</v>
      </c>
      <c r="I655" s="2">
        <f t="shared" ca="1" si="193"/>
        <v>0.58571428571428574</v>
      </c>
      <c r="J655" t="s">
        <v>45</v>
      </c>
      <c r="K655" t="s">
        <v>37</v>
      </c>
      <c r="L655">
        <f t="shared" si="194"/>
        <v>1</v>
      </c>
      <c r="M655">
        <f t="shared" si="195"/>
        <v>0</v>
      </c>
      <c r="N655">
        <f t="shared" si="196"/>
        <v>0</v>
      </c>
      <c r="O655" t="s">
        <v>717</v>
      </c>
      <c r="P655">
        <f t="shared" si="197"/>
        <v>0</v>
      </c>
      <c r="Q655">
        <f t="shared" si="198"/>
        <v>0</v>
      </c>
      <c r="R655">
        <f t="shared" si="199"/>
        <v>0</v>
      </c>
      <c r="S655">
        <f t="shared" si="200"/>
        <v>0</v>
      </c>
      <c r="T655">
        <f t="shared" si="201"/>
        <v>0</v>
      </c>
      <c r="U655">
        <f t="shared" si="202"/>
        <v>0</v>
      </c>
      <c r="V655">
        <f t="shared" si="203"/>
        <v>0</v>
      </c>
      <c r="W655" t="s">
        <v>39</v>
      </c>
      <c r="X655">
        <f t="shared" si="204"/>
        <v>1</v>
      </c>
      <c r="Y655">
        <f t="shared" si="205"/>
        <v>0</v>
      </c>
      <c r="Z655">
        <v>2</v>
      </c>
      <c r="AA655">
        <f t="shared" si="206"/>
        <v>0.25</v>
      </c>
      <c r="AB655" t="s">
        <v>40</v>
      </c>
      <c r="AC655">
        <f t="shared" si="207"/>
        <v>0</v>
      </c>
      <c r="AD655">
        <f t="shared" si="208"/>
        <v>0</v>
      </c>
      <c r="AE655" t="s">
        <v>41</v>
      </c>
      <c r="AF655">
        <f>IF(AE655="website",1,0)</f>
        <v>1</v>
      </c>
    </row>
    <row r="656" spans="1:32">
      <c r="A656" t="s">
        <v>1277</v>
      </c>
      <c r="B656" t="s">
        <v>33</v>
      </c>
      <c r="C656" s="3">
        <f t="shared" si="190"/>
        <v>0</v>
      </c>
      <c r="D656">
        <f t="shared" si="191"/>
        <v>1</v>
      </c>
      <c r="E656" t="s">
        <v>1043</v>
      </c>
      <c r="F656" t="s">
        <v>904</v>
      </c>
      <c r="G656" s="1">
        <v>18402</v>
      </c>
      <c r="H656" s="2">
        <f t="shared" ca="1" si="192"/>
        <v>76</v>
      </c>
      <c r="I656" s="2">
        <f t="shared" ca="1" si="193"/>
        <v>0.72857142857142854</v>
      </c>
      <c r="J656" t="s">
        <v>36</v>
      </c>
      <c r="K656" t="s">
        <v>37</v>
      </c>
      <c r="L656">
        <f t="shared" si="194"/>
        <v>1</v>
      </c>
      <c r="M656">
        <f t="shared" si="195"/>
        <v>0</v>
      </c>
      <c r="N656">
        <f t="shared" si="196"/>
        <v>0</v>
      </c>
      <c r="O656" t="s">
        <v>124</v>
      </c>
      <c r="P656">
        <f t="shared" si="197"/>
        <v>0</v>
      </c>
      <c r="Q656">
        <f t="shared" si="198"/>
        <v>0</v>
      </c>
      <c r="R656">
        <f t="shared" si="199"/>
        <v>0</v>
      </c>
      <c r="S656">
        <f t="shared" si="200"/>
        <v>0</v>
      </c>
      <c r="T656">
        <f t="shared" si="201"/>
        <v>0</v>
      </c>
      <c r="U656">
        <f t="shared" si="202"/>
        <v>1</v>
      </c>
      <c r="V656">
        <f t="shared" si="203"/>
        <v>0</v>
      </c>
      <c r="W656" t="s">
        <v>39</v>
      </c>
      <c r="X656">
        <f t="shared" si="204"/>
        <v>1</v>
      </c>
      <c r="Y656">
        <f t="shared" si="205"/>
        <v>0</v>
      </c>
      <c r="Z656">
        <v>1</v>
      </c>
      <c r="AA656">
        <f t="shared" si="206"/>
        <v>0</v>
      </c>
      <c r="AB656" t="s">
        <v>40</v>
      </c>
      <c r="AC656">
        <f t="shared" si="207"/>
        <v>1</v>
      </c>
      <c r="AD656">
        <f t="shared" si="208"/>
        <v>0</v>
      </c>
      <c r="AE656" t="s">
        <v>50</v>
      </c>
      <c r="AF656">
        <f>IF(AE656="website",1,0)</f>
        <v>0</v>
      </c>
    </row>
    <row r="657" spans="1:32">
      <c r="A657" t="s">
        <v>1278</v>
      </c>
      <c r="B657" t="s">
        <v>33</v>
      </c>
      <c r="C657" s="3">
        <f t="shared" si="190"/>
        <v>0</v>
      </c>
      <c r="D657">
        <f t="shared" si="191"/>
        <v>1</v>
      </c>
      <c r="E657" t="s">
        <v>570</v>
      </c>
      <c r="F657" t="s">
        <v>720</v>
      </c>
      <c r="G657" s="1">
        <v>28164</v>
      </c>
      <c r="H657" s="2">
        <f t="shared" ca="1" si="192"/>
        <v>49</v>
      </c>
      <c r="I657" s="2">
        <f t="shared" ca="1" si="193"/>
        <v>0.34285714285714286</v>
      </c>
      <c r="J657" t="s">
        <v>36</v>
      </c>
      <c r="K657" t="s">
        <v>37</v>
      </c>
      <c r="L657">
        <f t="shared" si="194"/>
        <v>1</v>
      </c>
      <c r="M657">
        <f t="shared" si="195"/>
        <v>0</v>
      </c>
      <c r="N657">
        <f t="shared" si="196"/>
        <v>0</v>
      </c>
      <c r="O657" t="s">
        <v>137</v>
      </c>
      <c r="P657">
        <f t="shared" si="197"/>
        <v>0</v>
      </c>
      <c r="Q657">
        <f t="shared" si="198"/>
        <v>0</v>
      </c>
      <c r="R657">
        <f t="shared" si="199"/>
        <v>0</v>
      </c>
      <c r="S657">
        <f t="shared" si="200"/>
        <v>0</v>
      </c>
      <c r="T657">
        <f t="shared" si="201"/>
        <v>0</v>
      </c>
      <c r="U657">
        <f t="shared" si="202"/>
        <v>0</v>
      </c>
      <c r="V657">
        <f t="shared" si="203"/>
        <v>0</v>
      </c>
      <c r="W657" t="s">
        <v>39</v>
      </c>
      <c r="X657">
        <f t="shared" si="204"/>
        <v>1</v>
      </c>
      <c r="Y657">
        <f t="shared" si="205"/>
        <v>0</v>
      </c>
      <c r="Z657">
        <v>5</v>
      </c>
      <c r="AA657">
        <f t="shared" si="206"/>
        <v>1</v>
      </c>
      <c r="AB657" t="s">
        <v>46</v>
      </c>
      <c r="AC657">
        <f t="shared" si="207"/>
        <v>0</v>
      </c>
      <c r="AD657">
        <f t="shared" si="208"/>
        <v>1</v>
      </c>
      <c r="AE657" t="s">
        <v>90</v>
      </c>
      <c r="AF657">
        <f>IF(AE657="website",1,0)</f>
        <v>0</v>
      </c>
    </row>
    <row r="658" spans="1:32">
      <c r="A658" t="s">
        <v>1279</v>
      </c>
      <c r="B658" t="s">
        <v>33</v>
      </c>
      <c r="C658" s="3">
        <f t="shared" si="190"/>
        <v>0</v>
      </c>
      <c r="D658">
        <f t="shared" si="191"/>
        <v>1</v>
      </c>
      <c r="E658" t="s">
        <v>576</v>
      </c>
      <c r="F658" t="s">
        <v>720</v>
      </c>
      <c r="G658" s="1">
        <v>20724</v>
      </c>
      <c r="H658" s="2">
        <f t="shared" ca="1" si="192"/>
        <v>70</v>
      </c>
      <c r="I658" s="2">
        <f t="shared" ca="1" si="193"/>
        <v>0.6428571428571429</v>
      </c>
      <c r="J658" t="s">
        <v>45</v>
      </c>
      <c r="K658" t="s">
        <v>37</v>
      </c>
      <c r="L658">
        <f t="shared" si="194"/>
        <v>1</v>
      </c>
      <c r="M658">
        <f t="shared" si="195"/>
        <v>0</v>
      </c>
      <c r="N658">
        <f t="shared" si="196"/>
        <v>0</v>
      </c>
      <c r="O658" t="s">
        <v>38</v>
      </c>
      <c r="P658">
        <f t="shared" si="197"/>
        <v>1</v>
      </c>
      <c r="Q658">
        <f t="shared" si="198"/>
        <v>0</v>
      </c>
      <c r="R658">
        <f t="shared" si="199"/>
        <v>0</v>
      </c>
      <c r="S658">
        <f t="shared" si="200"/>
        <v>0</v>
      </c>
      <c r="T658">
        <f t="shared" si="201"/>
        <v>0</v>
      </c>
      <c r="U658">
        <f t="shared" si="202"/>
        <v>0</v>
      </c>
      <c r="V658">
        <f t="shared" si="203"/>
        <v>0</v>
      </c>
      <c r="W658" t="s">
        <v>39</v>
      </c>
      <c r="X658">
        <f t="shared" si="204"/>
        <v>1</v>
      </c>
      <c r="Y658">
        <f t="shared" si="205"/>
        <v>0</v>
      </c>
      <c r="Z658">
        <v>2</v>
      </c>
      <c r="AA658">
        <f t="shared" si="206"/>
        <v>0.25</v>
      </c>
      <c r="AB658" t="s">
        <v>46</v>
      </c>
      <c r="AC658">
        <f t="shared" si="207"/>
        <v>1</v>
      </c>
      <c r="AD658">
        <f t="shared" si="208"/>
        <v>0</v>
      </c>
      <c r="AE658" t="s">
        <v>50</v>
      </c>
      <c r="AF658">
        <f>IF(AE658="website",1,0)</f>
        <v>0</v>
      </c>
    </row>
    <row r="659" spans="1:32">
      <c r="A659" t="s">
        <v>1280</v>
      </c>
      <c r="B659" t="s">
        <v>33</v>
      </c>
      <c r="C659" s="3">
        <f t="shared" si="190"/>
        <v>0</v>
      </c>
      <c r="D659">
        <f t="shared" si="191"/>
        <v>1</v>
      </c>
      <c r="E659" t="s">
        <v>649</v>
      </c>
      <c r="F659" t="s">
        <v>554</v>
      </c>
      <c r="G659" s="1">
        <v>36507</v>
      </c>
      <c r="H659" s="2">
        <f t="shared" ca="1" si="192"/>
        <v>26</v>
      </c>
      <c r="I659" s="2">
        <f t="shared" ca="1" si="193"/>
        <v>1.4285714285714285E-2</v>
      </c>
      <c r="J659" t="s">
        <v>36</v>
      </c>
      <c r="K659" t="s">
        <v>37</v>
      </c>
      <c r="L659">
        <f t="shared" si="194"/>
        <v>1</v>
      </c>
      <c r="M659">
        <f t="shared" si="195"/>
        <v>0</v>
      </c>
      <c r="N659">
        <f t="shared" si="196"/>
        <v>0</v>
      </c>
      <c r="O659" t="s">
        <v>305</v>
      </c>
      <c r="P659">
        <f t="shared" si="197"/>
        <v>0</v>
      </c>
      <c r="Q659">
        <f t="shared" si="198"/>
        <v>0</v>
      </c>
      <c r="R659">
        <f t="shared" si="199"/>
        <v>0</v>
      </c>
      <c r="S659">
        <f t="shared" si="200"/>
        <v>0</v>
      </c>
      <c r="T659">
        <f t="shared" si="201"/>
        <v>0</v>
      </c>
      <c r="U659">
        <f t="shared" si="202"/>
        <v>0</v>
      </c>
      <c r="V659">
        <f t="shared" si="203"/>
        <v>0</v>
      </c>
      <c r="W659" t="s">
        <v>39</v>
      </c>
      <c r="X659">
        <f t="shared" si="204"/>
        <v>1</v>
      </c>
      <c r="Y659">
        <f t="shared" si="205"/>
        <v>0</v>
      </c>
      <c r="Z659">
        <v>3</v>
      </c>
      <c r="AA659">
        <f t="shared" si="206"/>
        <v>0.5</v>
      </c>
      <c r="AB659" t="s">
        <v>40</v>
      </c>
      <c r="AC659">
        <f t="shared" si="207"/>
        <v>1</v>
      </c>
      <c r="AD659">
        <f t="shared" si="208"/>
        <v>0</v>
      </c>
      <c r="AE659" t="s">
        <v>50</v>
      </c>
      <c r="AF659">
        <f>IF(AE659="website",1,0)</f>
        <v>0</v>
      </c>
    </row>
    <row r="660" spans="1:32">
      <c r="A660" t="s">
        <v>1281</v>
      </c>
      <c r="B660" t="s">
        <v>33</v>
      </c>
      <c r="C660" s="3">
        <f t="shared" si="190"/>
        <v>0</v>
      </c>
      <c r="D660">
        <f t="shared" si="191"/>
        <v>1</v>
      </c>
      <c r="E660" t="s">
        <v>759</v>
      </c>
      <c r="F660" t="s">
        <v>674</v>
      </c>
      <c r="G660" s="1">
        <v>32422</v>
      </c>
      <c r="H660" s="2">
        <f t="shared" ca="1" si="192"/>
        <v>37</v>
      </c>
      <c r="I660" s="2">
        <f t="shared" ca="1" si="193"/>
        <v>0.17142857142857143</v>
      </c>
      <c r="J660" t="s">
        <v>36</v>
      </c>
      <c r="K660" t="s">
        <v>37</v>
      </c>
      <c r="L660">
        <f t="shared" si="194"/>
        <v>1</v>
      </c>
      <c r="M660">
        <f t="shared" si="195"/>
        <v>0</v>
      </c>
      <c r="N660">
        <f t="shared" si="196"/>
        <v>0</v>
      </c>
      <c r="O660" t="s">
        <v>38</v>
      </c>
      <c r="P660">
        <f t="shared" si="197"/>
        <v>1</v>
      </c>
      <c r="Q660">
        <f t="shared" si="198"/>
        <v>0</v>
      </c>
      <c r="R660">
        <f t="shared" si="199"/>
        <v>0</v>
      </c>
      <c r="S660">
        <f t="shared" si="200"/>
        <v>0</v>
      </c>
      <c r="T660">
        <f t="shared" si="201"/>
        <v>0</v>
      </c>
      <c r="U660">
        <f t="shared" si="202"/>
        <v>0</v>
      </c>
      <c r="V660">
        <f t="shared" si="203"/>
        <v>0</v>
      </c>
      <c r="W660" t="s">
        <v>39</v>
      </c>
      <c r="X660">
        <f t="shared" si="204"/>
        <v>1</v>
      </c>
      <c r="Y660">
        <f t="shared" si="205"/>
        <v>0</v>
      </c>
      <c r="Z660">
        <v>4</v>
      </c>
      <c r="AA660">
        <f t="shared" si="206"/>
        <v>0.75</v>
      </c>
      <c r="AB660" t="s">
        <v>40</v>
      </c>
      <c r="AC660">
        <f t="shared" si="207"/>
        <v>1</v>
      </c>
      <c r="AD660">
        <f t="shared" si="208"/>
        <v>0</v>
      </c>
      <c r="AE660" t="s">
        <v>50</v>
      </c>
      <c r="AF660">
        <f>IF(AE660="website",1,0)</f>
        <v>0</v>
      </c>
    </row>
    <row r="661" spans="1:32">
      <c r="A661" t="s">
        <v>1282</v>
      </c>
      <c r="B661" t="s">
        <v>33</v>
      </c>
      <c r="C661" s="3">
        <f t="shared" si="190"/>
        <v>0</v>
      </c>
      <c r="D661">
        <f t="shared" si="191"/>
        <v>1</v>
      </c>
      <c r="E661" t="s">
        <v>527</v>
      </c>
      <c r="F661" t="s">
        <v>607</v>
      </c>
      <c r="G661" s="1">
        <v>33460</v>
      </c>
      <c r="H661" s="2">
        <f t="shared" ca="1" si="192"/>
        <v>35</v>
      </c>
      <c r="I661" s="2">
        <f t="shared" ca="1" si="193"/>
        <v>0.14285714285714285</v>
      </c>
      <c r="J661" t="s">
        <v>45</v>
      </c>
      <c r="K661" t="s">
        <v>37</v>
      </c>
      <c r="L661">
        <f t="shared" si="194"/>
        <v>1</v>
      </c>
      <c r="M661">
        <f t="shared" si="195"/>
        <v>0</v>
      </c>
      <c r="N661">
        <f t="shared" si="196"/>
        <v>0</v>
      </c>
      <c r="O661" t="s">
        <v>97</v>
      </c>
      <c r="P661">
        <f t="shared" si="197"/>
        <v>0</v>
      </c>
      <c r="Q661">
        <f t="shared" si="198"/>
        <v>0</v>
      </c>
      <c r="R661">
        <f t="shared" si="199"/>
        <v>0</v>
      </c>
      <c r="S661">
        <f t="shared" si="200"/>
        <v>0</v>
      </c>
      <c r="T661">
        <f t="shared" si="201"/>
        <v>1</v>
      </c>
      <c r="U661">
        <f t="shared" si="202"/>
        <v>0</v>
      </c>
      <c r="V661">
        <f t="shared" si="203"/>
        <v>0</v>
      </c>
      <c r="W661" t="s">
        <v>39</v>
      </c>
      <c r="X661">
        <f t="shared" si="204"/>
        <v>1</v>
      </c>
      <c r="Y661">
        <f t="shared" si="205"/>
        <v>0</v>
      </c>
      <c r="Z661">
        <v>4</v>
      </c>
      <c r="AA661">
        <f t="shared" si="206"/>
        <v>0.75</v>
      </c>
      <c r="AB661" t="s">
        <v>40</v>
      </c>
      <c r="AC661">
        <f t="shared" si="207"/>
        <v>0</v>
      </c>
      <c r="AD661">
        <f t="shared" si="208"/>
        <v>1</v>
      </c>
      <c r="AE661" t="s">
        <v>90</v>
      </c>
      <c r="AF661">
        <f>IF(AE661="website",1,0)</f>
        <v>0</v>
      </c>
    </row>
    <row r="662" spans="1:32">
      <c r="A662" t="s">
        <v>1283</v>
      </c>
      <c r="B662" t="s">
        <v>33</v>
      </c>
      <c r="C662" s="3">
        <f t="shared" si="190"/>
        <v>0</v>
      </c>
      <c r="D662">
        <f t="shared" si="191"/>
        <v>1</v>
      </c>
      <c r="E662" t="s">
        <v>679</v>
      </c>
      <c r="F662" t="s">
        <v>579</v>
      </c>
      <c r="G662" s="1">
        <v>22457</v>
      </c>
      <c r="H662" s="2">
        <f t="shared" ca="1" si="192"/>
        <v>65</v>
      </c>
      <c r="I662" s="2">
        <f t="shared" ca="1" si="193"/>
        <v>0.5714285714285714</v>
      </c>
      <c r="J662" t="s">
        <v>36</v>
      </c>
      <c r="K662" t="s">
        <v>65</v>
      </c>
      <c r="L662">
        <f t="shared" si="194"/>
        <v>0</v>
      </c>
      <c r="M662">
        <f t="shared" si="195"/>
        <v>1</v>
      </c>
      <c r="N662">
        <f t="shared" si="196"/>
        <v>0</v>
      </c>
      <c r="O662" t="s">
        <v>723</v>
      </c>
      <c r="P662">
        <f t="shared" si="197"/>
        <v>0</v>
      </c>
      <c r="Q662">
        <f t="shared" si="198"/>
        <v>0</v>
      </c>
      <c r="R662">
        <f t="shared" si="199"/>
        <v>0</v>
      </c>
      <c r="S662">
        <f t="shared" si="200"/>
        <v>0</v>
      </c>
      <c r="T662">
        <f t="shared" si="201"/>
        <v>0</v>
      </c>
      <c r="U662">
        <f t="shared" si="202"/>
        <v>0</v>
      </c>
      <c r="V662">
        <f t="shared" si="203"/>
        <v>0</v>
      </c>
      <c r="W662" t="s">
        <v>39</v>
      </c>
      <c r="X662">
        <f t="shared" si="204"/>
        <v>1</v>
      </c>
      <c r="Y662">
        <f t="shared" si="205"/>
        <v>0</v>
      </c>
      <c r="Z662">
        <v>3</v>
      </c>
      <c r="AA662">
        <f t="shared" si="206"/>
        <v>0.5</v>
      </c>
      <c r="AB662" t="s">
        <v>46</v>
      </c>
      <c r="AC662">
        <f t="shared" si="207"/>
        <v>0</v>
      </c>
      <c r="AD662">
        <f t="shared" si="208"/>
        <v>0</v>
      </c>
      <c r="AE662" t="s">
        <v>41</v>
      </c>
      <c r="AF662">
        <f>IF(AE662="website",1,0)</f>
        <v>1</v>
      </c>
    </row>
    <row r="663" spans="1:32">
      <c r="A663" t="s">
        <v>1284</v>
      </c>
      <c r="B663" t="s">
        <v>33</v>
      </c>
      <c r="C663" s="3">
        <f t="shared" si="190"/>
        <v>0</v>
      </c>
      <c r="D663">
        <f t="shared" si="191"/>
        <v>1</v>
      </c>
      <c r="E663" t="s">
        <v>747</v>
      </c>
      <c r="F663" t="s">
        <v>607</v>
      </c>
      <c r="G663" s="1">
        <v>21057</v>
      </c>
      <c r="H663" s="2">
        <f t="shared" ca="1" si="192"/>
        <v>69</v>
      </c>
      <c r="I663" s="2">
        <f t="shared" ca="1" si="193"/>
        <v>0.62857142857142856</v>
      </c>
      <c r="J663" t="s">
        <v>36</v>
      </c>
      <c r="K663" t="s">
        <v>37</v>
      </c>
      <c r="L663">
        <f t="shared" si="194"/>
        <v>1</v>
      </c>
      <c r="M663">
        <f t="shared" si="195"/>
        <v>0</v>
      </c>
      <c r="N663">
        <f t="shared" si="196"/>
        <v>0</v>
      </c>
      <c r="O663" t="s">
        <v>38</v>
      </c>
      <c r="P663">
        <f t="shared" si="197"/>
        <v>1</v>
      </c>
      <c r="Q663">
        <f t="shared" si="198"/>
        <v>0</v>
      </c>
      <c r="R663">
        <f t="shared" si="199"/>
        <v>0</v>
      </c>
      <c r="S663">
        <f t="shared" si="200"/>
        <v>0</v>
      </c>
      <c r="T663">
        <f t="shared" si="201"/>
        <v>0</v>
      </c>
      <c r="U663">
        <f t="shared" si="202"/>
        <v>0</v>
      </c>
      <c r="V663">
        <f t="shared" si="203"/>
        <v>0</v>
      </c>
      <c r="W663" t="s">
        <v>58</v>
      </c>
      <c r="X663">
        <f t="shared" si="204"/>
        <v>0</v>
      </c>
      <c r="Y663">
        <f t="shared" si="205"/>
        <v>1</v>
      </c>
      <c r="Z663">
        <v>3</v>
      </c>
      <c r="AA663">
        <f t="shared" si="206"/>
        <v>0.5</v>
      </c>
      <c r="AB663" t="s">
        <v>46</v>
      </c>
      <c r="AC663">
        <f t="shared" si="207"/>
        <v>0</v>
      </c>
      <c r="AD663">
        <f t="shared" si="208"/>
        <v>0</v>
      </c>
      <c r="AE663" t="s">
        <v>41</v>
      </c>
      <c r="AF663">
        <f>IF(AE663="website",1,0)</f>
        <v>1</v>
      </c>
    </row>
    <row r="664" spans="1:32">
      <c r="A664" t="s">
        <v>1285</v>
      </c>
      <c r="B664" t="s">
        <v>33</v>
      </c>
      <c r="C664" s="3">
        <f t="shared" si="190"/>
        <v>0</v>
      </c>
      <c r="D664">
        <f t="shared" si="191"/>
        <v>1</v>
      </c>
      <c r="E664" t="s">
        <v>761</v>
      </c>
      <c r="F664" t="s">
        <v>882</v>
      </c>
      <c r="G664" s="1">
        <v>21218</v>
      </c>
      <c r="H664" s="2">
        <f t="shared" ca="1" si="192"/>
        <v>68</v>
      </c>
      <c r="I664" s="2">
        <f t="shared" ca="1" si="193"/>
        <v>0.61428571428571432</v>
      </c>
      <c r="J664" t="s">
        <v>45</v>
      </c>
      <c r="K664" t="s">
        <v>37</v>
      </c>
      <c r="L664">
        <f t="shared" si="194"/>
        <v>1</v>
      </c>
      <c r="M664">
        <f t="shared" si="195"/>
        <v>0</v>
      </c>
      <c r="N664">
        <f t="shared" si="196"/>
        <v>0</v>
      </c>
      <c r="O664" t="s">
        <v>38</v>
      </c>
      <c r="P664">
        <f t="shared" si="197"/>
        <v>1</v>
      </c>
      <c r="Q664">
        <f t="shared" si="198"/>
        <v>0</v>
      </c>
      <c r="R664">
        <f t="shared" si="199"/>
        <v>0</v>
      </c>
      <c r="S664">
        <f t="shared" si="200"/>
        <v>0</v>
      </c>
      <c r="T664">
        <f t="shared" si="201"/>
        <v>0</v>
      </c>
      <c r="U664">
        <f t="shared" si="202"/>
        <v>0</v>
      </c>
      <c r="V664">
        <f t="shared" si="203"/>
        <v>0</v>
      </c>
      <c r="W664" t="s">
        <v>39</v>
      </c>
      <c r="X664">
        <f t="shared" si="204"/>
        <v>1</v>
      </c>
      <c r="Y664">
        <f t="shared" si="205"/>
        <v>0</v>
      </c>
      <c r="Z664">
        <v>2</v>
      </c>
      <c r="AA664">
        <f t="shared" si="206"/>
        <v>0.25</v>
      </c>
      <c r="AB664" t="s">
        <v>40</v>
      </c>
      <c r="AC664">
        <f t="shared" si="207"/>
        <v>1</v>
      </c>
      <c r="AD664">
        <f t="shared" si="208"/>
        <v>0</v>
      </c>
      <c r="AE664" t="s">
        <v>50</v>
      </c>
      <c r="AF664">
        <f>IF(AE664="website",1,0)</f>
        <v>0</v>
      </c>
    </row>
    <row r="665" spans="1:32">
      <c r="A665" t="s">
        <v>1286</v>
      </c>
      <c r="B665" t="s">
        <v>33</v>
      </c>
      <c r="C665" s="3">
        <f t="shared" si="190"/>
        <v>0</v>
      </c>
      <c r="D665">
        <f t="shared" si="191"/>
        <v>1</v>
      </c>
      <c r="E665" t="s">
        <v>590</v>
      </c>
      <c r="F665" t="s">
        <v>669</v>
      </c>
      <c r="G665" s="1">
        <v>21414</v>
      </c>
      <c r="H665" s="2">
        <f t="shared" ca="1" si="192"/>
        <v>68</v>
      </c>
      <c r="I665" s="2">
        <f t="shared" ca="1" si="193"/>
        <v>0.61428571428571432</v>
      </c>
      <c r="J665" t="s">
        <v>45</v>
      </c>
      <c r="K665" t="s">
        <v>65</v>
      </c>
      <c r="L665">
        <f t="shared" si="194"/>
        <v>0</v>
      </c>
      <c r="M665">
        <f t="shared" si="195"/>
        <v>1</v>
      </c>
      <c r="N665">
        <f t="shared" si="196"/>
        <v>0</v>
      </c>
      <c r="O665" t="s">
        <v>843</v>
      </c>
      <c r="P665">
        <f t="shared" si="197"/>
        <v>0</v>
      </c>
      <c r="Q665">
        <f t="shared" si="198"/>
        <v>0</v>
      </c>
      <c r="R665">
        <f t="shared" si="199"/>
        <v>0</v>
      </c>
      <c r="S665">
        <f t="shared" si="200"/>
        <v>0</v>
      </c>
      <c r="T665">
        <f t="shared" si="201"/>
        <v>0</v>
      </c>
      <c r="U665">
        <f t="shared" si="202"/>
        <v>0</v>
      </c>
      <c r="V665">
        <f t="shared" si="203"/>
        <v>0</v>
      </c>
      <c r="W665" t="s">
        <v>58</v>
      </c>
      <c r="X665">
        <f t="shared" si="204"/>
        <v>0</v>
      </c>
      <c r="Y665">
        <f t="shared" si="205"/>
        <v>1</v>
      </c>
      <c r="Z665">
        <v>5</v>
      </c>
      <c r="AA665">
        <f t="shared" si="206"/>
        <v>1</v>
      </c>
      <c r="AB665" t="s">
        <v>40</v>
      </c>
      <c r="AC665">
        <f t="shared" si="207"/>
        <v>0</v>
      </c>
      <c r="AD665">
        <f t="shared" si="208"/>
        <v>0</v>
      </c>
      <c r="AE665" t="s">
        <v>41</v>
      </c>
      <c r="AF665">
        <f>IF(AE665="website",1,0)</f>
        <v>1</v>
      </c>
    </row>
    <row r="666" spans="1:32">
      <c r="A666" t="s">
        <v>1287</v>
      </c>
      <c r="B666" t="s">
        <v>33</v>
      </c>
      <c r="C666" s="3">
        <f t="shared" si="190"/>
        <v>0</v>
      </c>
      <c r="D666">
        <f t="shared" si="191"/>
        <v>1</v>
      </c>
      <c r="E666" t="s">
        <v>1288</v>
      </c>
      <c r="F666" t="s">
        <v>613</v>
      </c>
      <c r="G666" s="1">
        <v>21789</v>
      </c>
      <c r="H666" s="2">
        <f t="shared" ca="1" si="192"/>
        <v>67</v>
      </c>
      <c r="I666" s="2">
        <f t="shared" ca="1" si="193"/>
        <v>0.6</v>
      </c>
      <c r="J666" t="s">
        <v>45</v>
      </c>
      <c r="K666" t="s">
        <v>37</v>
      </c>
      <c r="L666">
        <f t="shared" si="194"/>
        <v>1</v>
      </c>
      <c r="M666">
        <f t="shared" si="195"/>
        <v>0</v>
      </c>
      <c r="N666">
        <f t="shared" si="196"/>
        <v>0</v>
      </c>
      <c r="O666" t="s">
        <v>137</v>
      </c>
      <c r="P666">
        <f t="shared" si="197"/>
        <v>0</v>
      </c>
      <c r="Q666">
        <f t="shared" si="198"/>
        <v>0</v>
      </c>
      <c r="R666">
        <f t="shared" si="199"/>
        <v>0</v>
      </c>
      <c r="S666">
        <f t="shared" si="200"/>
        <v>0</v>
      </c>
      <c r="T666">
        <f t="shared" si="201"/>
        <v>0</v>
      </c>
      <c r="U666">
        <f t="shared" si="202"/>
        <v>0</v>
      </c>
      <c r="V666">
        <f t="shared" si="203"/>
        <v>0</v>
      </c>
      <c r="W666" t="s">
        <v>58</v>
      </c>
      <c r="X666">
        <f t="shared" si="204"/>
        <v>0</v>
      </c>
      <c r="Y666">
        <f t="shared" si="205"/>
        <v>1</v>
      </c>
      <c r="Z666">
        <v>1</v>
      </c>
      <c r="AA666">
        <f t="shared" si="206"/>
        <v>0</v>
      </c>
      <c r="AB666" t="s">
        <v>46</v>
      </c>
      <c r="AC666">
        <f t="shared" si="207"/>
        <v>1</v>
      </c>
      <c r="AD666">
        <f t="shared" si="208"/>
        <v>0</v>
      </c>
      <c r="AE666" t="s">
        <v>50</v>
      </c>
      <c r="AF666">
        <f>IF(AE666="website",1,0)</f>
        <v>0</v>
      </c>
    </row>
    <row r="667" spans="1:32">
      <c r="A667" t="s">
        <v>1289</v>
      </c>
      <c r="B667" t="s">
        <v>33</v>
      </c>
      <c r="C667" s="3">
        <f t="shared" si="190"/>
        <v>0</v>
      </c>
      <c r="D667">
        <f t="shared" si="191"/>
        <v>1</v>
      </c>
      <c r="E667" t="s">
        <v>847</v>
      </c>
      <c r="F667" t="s">
        <v>840</v>
      </c>
      <c r="G667" s="1">
        <v>17815</v>
      </c>
      <c r="H667" s="2">
        <f t="shared" ca="1" si="192"/>
        <v>77</v>
      </c>
      <c r="I667" s="2">
        <f t="shared" ca="1" si="193"/>
        <v>0.74285714285714288</v>
      </c>
      <c r="J667" t="s">
        <v>36</v>
      </c>
      <c r="K667" t="s">
        <v>37</v>
      </c>
      <c r="L667">
        <f t="shared" si="194"/>
        <v>1</v>
      </c>
      <c r="M667">
        <f t="shared" si="195"/>
        <v>0</v>
      </c>
      <c r="N667">
        <f t="shared" si="196"/>
        <v>0</v>
      </c>
      <c r="O667" t="s">
        <v>38</v>
      </c>
      <c r="P667">
        <f t="shared" si="197"/>
        <v>1</v>
      </c>
      <c r="Q667">
        <f t="shared" si="198"/>
        <v>0</v>
      </c>
      <c r="R667">
        <f t="shared" si="199"/>
        <v>0</v>
      </c>
      <c r="S667">
        <f t="shared" si="200"/>
        <v>0</v>
      </c>
      <c r="T667">
        <f t="shared" si="201"/>
        <v>0</v>
      </c>
      <c r="U667">
        <f t="shared" si="202"/>
        <v>0</v>
      </c>
      <c r="V667">
        <f t="shared" si="203"/>
        <v>0</v>
      </c>
      <c r="W667" t="s">
        <v>58</v>
      </c>
      <c r="X667">
        <f t="shared" si="204"/>
        <v>0</v>
      </c>
      <c r="Y667">
        <f t="shared" si="205"/>
        <v>1</v>
      </c>
      <c r="Z667">
        <v>1</v>
      </c>
      <c r="AA667">
        <f t="shared" si="206"/>
        <v>0</v>
      </c>
      <c r="AB667" t="s">
        <v>46</v>
      </c>
      <c r="AC667">
        <f t="shared" si="207"/>
        <v>0</v>
      </c>
      <c r="AD667">
        <f t="shared" si="208"/>
        <v>0</v>
      </c>
      <c r="AE667" t="s">
        <v>41</v>
      </c>
      <c r="AF667">
        <f>IF(AE667="website",1,0)</f>
        <v>1</v>
      </c>
    </row>
    <row r="668" spans="1:32">
      <c r="A668" t="s">
        <v>1290</v>
      </c>
      <c r="B668" t="s">
        <v>33</v>
      </c>
      <c r="C668" s="3">
        <f t="shared" si="190"/>
        <v>0</v>
      </c>
      <c r="D668">
        <f t="shared" si="191"/>
        <v>1</v>
      </c>
      <c r="E668" t="s">
        <v>761</v>
      </c>
      <c r="F668" t="s">
        <v>1270</v>
      </c>
      <c r="G668" s="1">
        <v>24295</v>
      </c>
      <c r="H668" s="2">
        <f t="shared" ca="1" si="192"/>
        <v>60</v>
      </c>
      <c r="I668" s="2">
        <f t="shared" ca="1" si="193"/>
        <v>0.5</v>
      </c>
      <c r="J668" t="s">
        <v>45</v>
      </c>
      <c r="K668" t="s">
        <v>37</v>
      </c>
      <c r="L668">
        <f t="shared" si="194"/>
        <v>1</v>
      </c>
      <c r="M668">
        <f t="shared" si="195"/>
        <v>0</v>
      </c>
      <c r="N668">
        <f t="shared" si="196"/>
        <v>0</v>
      </c>
      <c r="O668" t="s">
        <v>97</v>
      </c>
      <c r="P668">
        <f t="shared" si="197"/>
        <v>0</v>
      </c>
      <c r="Q668">
        <f t="shared" si="198"/>
        <v>0</v>
      </c>
      <c r="R668">
        <f t="shared" si="199"/>
        <v>0</v>
      </c>
      <c r="S668">
        <f t="shared" si="200"/>
        <v>0</v>
      </c>
      <c r="T668">
        <f t="shared" si="201"/>
        <v>1</v>
      </c>
      <c r="U668">
        <f t="shared" si="202"/>
        <v>0</v>
      </c>
      <c r="V668">
        <f t="shared" si="203"/>
        <v>0</v>
      </c>
      <c r="W668" t="s">
        <v>58</v>
      </c>
      <c r="X668">
        <f t="shared" si="204"/>
        <v>0</v>
      </c>
      <c r="Y668">
        <f t="shared" si="205"/>
        <v>1</v>
      </c>
      <c r="Z668">
        <v>2</v>
      </c>
      <c r="AA668">
        <f t="shared" si="206"/>
        <v>0.25</v>
      </c>
      <c r="AB668" t="s">
        <v>46</v>
      </c>
      <c r="AC668">
        <f t="shared" si="207"/>
        <v>1</v>
      </c>
      <c r="AD668">
        <f t="shared" si="208"/>
        <v>0</v>
      </c>
      <c r="AE668" t="s">
        <v>50</v>
      </c>
      <c r="AF668">
        <f>IF(AE668="website",1,0)</f>
        <v>0</v>
      </c>
    </row>
    <row r="669" spans="1:32">
      <c r="A669" t="s">
        <v>1291</v>
      </c>
      <c r="B669" t="s">
        <v>33</v>
      </c>
      <c r="C669" s="3">
        <f t="shared" si="190"/>
        <v>0</v>
      </c>
      <c r="D669">
        <f t="shared" si="191"/>
        <v>1</v>
      </c>
      <c r="E669" t="s">
        <v>619</v>
      </c>
      <c r="F669" t="s">
        <v>591</v>
      </c>
      <c r="G669" s="1">
        <v>28809</v>
      </c>
      <c r="H669" s="2">
        <f t="shared" ca="1" si="192"/>
        <v>47</v>
      </c>
      <c r="I669" s="2">
        <f t="shared" ca="1" si="193"/>
        <v>0.31428571428571428</v>
      </c>
      <c r="J669" t="s">
        <v>36</v>
      </c>
      <c r="K669" t="s">
        <v>626</v>
      </c>
      <c r="L669">
        <f t="shared" si="194"/>
        <v>0</v>
      </c>
      <c r="M669">
        <f t="shared" si="195"/>
        <v>0</v>
      </c>
      <c r="N669">
        <f t="shared" si="196"/>
        <v>0</v>
      </c>
      <c r="O669" t="s">
        <v>627</v>
      </c>
      <c r="P669">
        <f t="shared" si="197"/>
        <v>0</v>
      </c>
      <c r="Q669">
        <f t="shared" si="198"/>
        <v>0</v>
      </c>
      <c r="R669">
        <f t="shared" si="199"/>
        <v>0</v>
      </c>
      <c r="S669">
        <f t="shared" si="200"/>
        <v>0</v>
      </c>
      <c r="T669">
        <f t="shared" si="201"/>
        <v>0</v>
      </c>
      <c r="U669">
        <f t="shared" si="202"/>
        <v>0</v>
      </c>
      <c r="V669">
        <f t="shared" si="203"/>
        <v>0</v>
      </c>
      <c r="W669" t="s">
        <v>58</v>
      </c>
      <c r="X669">
        <f t="shared" si="204"/>
        <v>0</v>
      </c>
      <c r="Y669">
        <f t="shared" si="205"/>
        <v>1</v>
      </c>
      <c r="Z669">
        <v>4</v>
      </c>
      <c r="AA669">
        <f t="shared" si="206"/>
        <v>0.75</v>
      </c>
      <c r="AB669" t="s">
        <v>40</v>
      </c>
      <c r="AC669">
        <f t="shared" si="207"/>
        <v>0</v>
      </c>
      <c r="AD669">
        <f t="shared" si="208"/>
        <v>0</v>
      </c>
      <c r="AE669" t="s">
        <v>41</v>
      </c>
      <c r="AF669">
        <f>IF(AE669="website",1,0)</f>
        <v>1</v>
      </c>
    </row>
    <row r="670" spans="1:32">
      <c r="A670" t="s">
        <v>1292</v>
      </c>
      <c r="B670" t="s">
        <v>33</v>
      </c>
      <c r="C670" s="3">
        <f t="shared" si="190"/>
        <v>0</v>
      </c>
      <c r="D670">
        <f t="shared" si="191"/>
        <v>1</v>
      </c>
      <c r="E670" t="s">
        <v>606</v>
      </c>
      <c r="F670" t="s">
        <v>818</v>
      </c>
      <c r="G670" s="1">
        <v>21262</v>
      </c>
      <c r="H670" s="2">
        <f t="shared" ca="1" si="192"/>
        <v>68</v>
      </c>
      <c r="I670" s="2">
        <f t="shared" ca="1" si="193"/>
        <v>0.61428571428571432</v>
      </c>
      <c r="J670" t="s">
        <v>36</v>
      </c>
      <c r="K670" t="s">
        <v>65</v>
      </c>
      <c r="L670">
        <f t="shared" si="194"/>
        <v>0</v>
      </c>
      <c r="M670">
        <f t="shared" si="195"/>
        <v>1</v>
      </c>
      <c r="N670">
        <f t="shared" si="196"/>
        <v>0</v>
      </c>
      <c r="O670" t="s">
        <v>642</v>
      </c>
      <c r="P670">
        <f t="shared" si="197"/>
        <v>0</v>
      </c>
      <c r="Q670">
        <f t="shared" si="198"/>
        <v>0</v>
      </c>
      <c r="R670">
        <f t="shared" si="199"/>
        <v>0</v>
      </c>
      <c r="S670">
        <f t="shared" si="200"/>
        <v>0</v>
      </c>
      <c r="T670">
        <f t="shared" si="201"/>
        <v>0</v>
      </c>
      <c r="U670">
        <f t="shared" si="202"/>
        <v>0</v>
      </c>
      <c r="V670">
        <f t="shared" si="203"/>
        <v>0</v>
      </c>
      <c r="W670" t="s">
        <v>39</v>
      </c>
      <c r="X670">
        <f t="shared" si="204"/>
        <v>1</v>
      </c>
      <c r="Y670">
        <f t="shared" si="205"/>
        <v>0</v>
      </c>
      <c r="Z670">
        <v>3</v>
      </c>
      <c r="AA670">
        <f t="shared" si="206"/>
        <v>0.5</v>
      </c>
      <c r="AB670" t="s">
        <v>46</v>
      </c>
      <c r="AC670">
        <f t="shared" si="207"/>
        <v>1</v>
      </c>
      <c r="AD670">
        <f t="shared" si="208"/>
        <v>0</v>
      </c>
      <c r="AE670" t="s">
        <v>50</v>
      </c>
      <c r="AF670">
        <f>IF(AE670="website",1,0)</f>
        <v>0</v>
      </c>
    </row>
    <row r="671" spans="1:32">
      <c r="A671" t="s">
        <v>1293</v>
      </c>
      <c r="B671" t="s">
        <v>55</v>
      </c>
      <c r="C671" s="3">
        <f t="shared" si="190"/>
        <v>1</v>
      </c>
      <c r="D671">
        <f t="shared" si="191"/>
        <v>0</v>
      </c>
      <c r="E671" t="s">
        <v>1051</v>
      </c>
      <c r="F671" t="s">
        <v>57</v>
      </c>
      <c r="G671" s="1">
        <v>27929</v>
      </c>
      <c r="H671" s="2">
        <f t="shared" ca="1" si="192"/>
        <v>50</v>
      </c>
      <c r="I671" s="2">
        <f t="shared" ca="1" si="193"/>
        <v>0.35714285714285715</v>
      </c>
      <c r="J671" t="s">
        <v>45</v>
      </c>
      <c r="K671" t="s">
        <v>37</v>
      </c>
      <c r="L671">
        <f t="shared" si="194"/>
        <v>1</v>
      </c>
      <c r="M671">
        <f t="shared" si="195"/>
        <v>0</v>
      </c>
      <c r="N671">
        <f t="shared" si="196"/>
        <v>0</v>
      </c>
      <c r="O671" t="s">
        <v>124</v>
      </c>
      <c r="P671">
        <f t="shared" si="197"/>
        <v>0</v>
      </c>
      <c r="Q671">
        <f t="shared" si="198"/>
        <v>0</v>
      </c>
      <c r="R671">
        <f t="shared" si="199"/>
        <v>0</v>
      </c>
      <c r="S671">
        <f t="shared" si="200"/>
        <v>0</v>
      </c>
      <c r="T671">
        <f t="shared" si="201"/>
        <v>0</v>
      </c>
      <c r="U671">
        <f t="shared" si="202"/>
        <v>1</v>
      </c>
      <c r="V671">
        <f t="shared" si="203"/>
        <v>0</v>
      </c>
      <c r="W671" t="s">
        <v>58</v>
      </c>
      <c r="X671">
        <f t="shared" si="204"/>
        <v>0</v>
      </c>
      <c r="Y671">
        <f t="shared" si="205"/>
        <v>1</v>
      </c>
      <c r="Z671">
        <v>4</v>
      </c>
      <c r="AA671">
        <f t="shared" si="206"/>
        <v>0.75</v>
      </c>
      <c r="AB671" t="s">
        <v>46</v>
      </c>
      <c r="AC671">
        <f t="shared" si="207"/>
        <v>0</v>
      </c>
      <c r="AD671">
        <f t="shared" si="208"/>
        <v>0</v>
      </c>
      <c r="AE671" t="s">
        <v>41</v>
      </c>
      <c r="AF671">
        <f>IF(AE671="website",1,0)</f>
        <v>1</v>
      </c>
    </row>
    <row r="672" spans="1:32">
      <c r="A672" t="s">
        <v>1294</v>
      </c>
      <c r="B672" t="s">
        <v>33</v>
      </c>
      <c r="C672" s="3">
        <f t="shared" si="190"/>
        <v>0</v>
      </c>
      <c r="D672">
        <f t="shared" si="191"/>
        <v>1</v>
      </c>
      <c r="E672" t="s">
        <v>1099</v>
      </c>
      <c r="F672" t="s">
        <v>599</v>
      </c>
      <c r="G672" s="1">
        <v>15319</v>
      </c>
      <c r="H672" s="2">
        <f t="shared" ca="1" si="192"/>
        <v>84</v>
      </c>
      <c r="I672" s="2">
        <f t="shared" ca="1" si="193"/>
        <v>0.84285714285714286</v>
      </c>
      <c r="J672" t="s">
        <v>45</v>
      </c>
      <c r="K672" t="s">
        <v>37</v>
      </c>
      <c r="L672">
        <f t="shared" si="194"/>
        <v>1</v>
      </c>
      <c r="M672">
        <f t="shared" si="195"/>
        <v>0</v>
      </c>
      <c r="N672">
        <f t="shared" si="196"/>
        <v>0</v>
      </c>
      <c r="O672" t="s">
        <v>137</v>
      </c>
      <c r="P672">
        <f t="shared" si="197"/>
        <v>0</v>
      </c>
      <c r="Q672">
        <f t="shared" si="198"/>
        <v>0</v>
      </c>
      <c r="R672">
        <f t="shared" si="199"/>
        <v>0</v>
      </c>
      <c r="S672">
        <f t="shared" si="200"/>
        <v>0</v>
      </c>
      <c r="T672">
        <f t="shared" si="201"/>
        <v>0</v>
      </c>
      <c r="U672">
        <f t="shared" si="202"/>
        <v>0</v>
      </c>
      <c r="V672">
        <f t="shared" si="203"/>
        <v>0</v>
      </c>
      <c r="W672" t="s">
        <v>39</v>
      </c>
      <c r="X672">
        <f t="shared" si="204"/>
        <v>1</v>
      </c>
      <c r="Y672">
        <f t="shared" si="205"/>
        <v>0</v>
      </c>
      <c r="Z672">
        <v>4</v>
      </c>
      <c r="AA672">
        <f t="shared" si="206"/>
        <v>0.75</v>
      </c>
      <c r="AB672" t="s">
        <v>40</v>
      </c>
      <c r="AC672">
        <f t="shared" si="207"/>
        <v>0</v>
      </c>
      <c r="AD672">
        <f t="shared" si="208"/>
        <v>1</v>
      </c>
      <c r="AE672" t="s">
        <v>90</v>
      </c>
      <c r="AF672">
        <f>IF(AE672="website",1,0)</f>
        <v>0</v>
      </c>
    </row>
    <row r="673" spans="1:32">
      <c r="A673" t="s">
        <v>1295</v>
      </c>
      <c r="B673" t="s">
        <v>33</v>
      </c>
      <c r="C673" s="3">
        <f t="shared" si="190"/>
        <v>0</v>
      </c>
      <c r="D673">
        <f t="shared" si="191"/>
        <v>1</v>
      </c>
      <c r="E673" t="s">
        <v>570</v>
      </c>
      <c r="F673" t="s">
        <v>579</v>
      </c>
      <c r="G673" s="1">
        <v>24541</v>
      </c>
      <c r="H673" s="2">
        <f t="shared" ca="1" si="192"/>
        <v>59</v>
      </c>
      <c r="I673" s="2">
        <f t="shared" ca="1" si="193"/>
        <v>0.48571428571428571</v>
      </c>
      <c r="J673" t="s">
        <v>36</v>
      </c>
      <c r="K673" t="s">
        <v>37</v>
      </c>
      <c r="L673">
        <f t="shared" si="194"/>
        <v>1</v>
      </c>
      <c r="M673">
        <f t="shared" si="195"/>
        <v>0</v>
      </c>
      <c r="N673">
        <f t="shared" si="196"/>
        <v>0</v>
      </c>
      <c r="O673" t="s">
        <v>38</v>
      </c>
      <c r="P673">
        <f t="shared" si="197"/>
        <v>1</v>
      </c>
      <c r="Q673">
        <f t="shared" si="198"/>
        <v>0</v>
      </c>
      <c r="R673">
        <f t="shared" si="199"/>
        <v>0</v>
      </c>
      <c r="S673">
        <f t="shared" si="200"/>
        <v>0</v>
      </c>
      <c r="T673">
        <f t="shared" si="201"/>
        <v>0</v>
      </c>
      <c r="U673">
        <f t="shared" si="202"/>
        <v>0</v>
      </c>
      <c r="V673">
        <f t="shared" si="203"/>
        <v>0</v>
      </c>
      <c r="W673" t="s">
        <v>39</v>
      </c>
      <c r="X673">
        <f t="shared" si="204"/>
        <v>1</v>
      </c>
      <c r="Y673">
        <f t="shared" si="205"/>
        <v>0</v>
      </c>
      <c r="Z673">
        <v>2</v>
      </c>
      <c r="AA673">
        <f t="shared" si="206"/>
        <v>0.25</v>
      </c>
      <c r="AB673" t="s">
        <v>46</v>
      </c>
      <c r="AC673">
        <f t="shared" si="207"/>
        <v>0</v>
      </c>
      <c r="AD673">
        <f t="shared" si="208"/>
        <v>0</v>
      </c>
      <c r="AE673" t="s">
        <v>41</v>
      </c>
      <c r="AF673">
        <f>IF(AE673="website",1,0)</f>
        <v>1</v>
      </c>
    </row>
    <row r="674" spans="1:32">
      <c r="A674" t="s">
        <v>1296</v>
      </c>
      <c r="B674" t="s">
        <v>33</v>
      </c>
      <c r="C674" s="3">
        <f t="shared" si="190"/>
        <v>0</v>
      </c>
      <c r="D674">
        <f t="shared" si="191"/>
        <v>1</v>
      </c>
      <c r="E674" t="s">
        <v>663</v>
      </c>
      <c r="F674" t="s">
        <v>823</v>
      </c>
      <c r="G674" s="1">
        <v>24034</v>
      </c>
      <c r="H674" s="2">
        <f t="shared" ca="1" si="192"/>
        <v>60</v>
      </c>
      <c r="I674" s="2">
        <f t="shared" ca="1" si="193"/>
        <v>0.5</v>
      </c>
      <c r="J674" t="s">
        <v>36</v>
      </c>
      <c r="K674" t="s">
        <v>37</v>
      </c>
      <c r="L674">
        <f t="shared" si="194"/>
        <v>1</v>
      </c>
      <c r="M674">
        <f t="shared" si="195"/>
        <v>0</v>
      </c>
      <c r="N674">
        <f t="shared" si="196"/>
        <v>0</v>
      </c>
      <c r="O674" t="s">
        <v>38</v>
      </c>
      <c r="P674">
        <f t="shared" si="197"/>
        <v>1</v>
      </c>
      <c r="Q674">
        <f t="shared" si="198"/>
        <v>0</v>
      </c>
      <c r="R674">
        <f t="shared" si="199"/>
        <v>0</v>
      </c>
      <c r="S674">
        <f t="shared" si="200"/>
        <v>0</v>
      </c>
      <c r="T674">
        <f t="shared" si="201"/>
        <v>0</v>
      </c>
      <c r="U674">
        <f t="shared" si="202"/>
        <v>0</v>
      </c>
      <c r="V674">
        <f t="shared" si="203"/>
        <v>0</v>
      </c>
      <c r="W674" t="s">
        <v>39</v>
      </c>
      <c r="X674">
        <f t="shared" si="204"/>
        <v>1</v>
      </c>
      <c r="Y674">
        <f t="shared" si="205"/>
        <v>0</v>
      </c>
      <c r="Z674">
        <v>4</v>
      </c>
      <c r="AA674">
        <f t="shared" si="206"/>
        <v>0.75</v>
      </c>
      <c r="AB674" t="s">
        <v>46</v>
      </c>
      <c r="AC674">
        <f t="shared" si="207"/>
        <v>0</v>
      </c>
      <c r="AD674">
        <f t="shared" si="208"/>
        <v>0</v>
      </c>
      <c r="AE674" t="s">
        <v>41</v>
      </c>
      <c r="AF674">
        <f>IF(AE674="website",1,0)</f>
        <v>1</v>
      </c>
    </row>
    <row r="675" spans="1:32">
      <c r="A675" t="s">
        <v>1297</v>
      </c>
      <c r="B675" t="s">
        <v>33</v>
      </c>
      <c r="C675" s="3">
        <f t="shared" si="190"/>
        <v>0</v>
      </c>
      <c r="D675">
        <f t="shared" si="191"/>
        <v>1</v>
      </c>
      <c r="E675" t="s">
        <v>782</v>
      </c>
      <c r="F675" t="s">
        <v>430</v>
      </c>
      <c r="G675" s="1">
        <v>31558</v>
      </c>
      <c r="H675" s="2">
        <f t="shared" ca="1" si="192"/>
        <v>40</v>
      </c>
      <c r="I675" s="2">
        <f t="shared" ca="1" si="193"/>
        <v>0.21428571428571427</v>
      </c>
      <c r="J675" t="s">
        <v>36</v>
      </c>
      <c r="K675" t="s">
        <v>37</v>
      </c>
      <c r="L675">
        <f t="shared" si="194"/>
        <v>1</v>
      </c>
      <c r="M675">
        <f t="shared" si="195"/>
        <v>0</v>
      </c>
      <c r="N675">
        <f t="shared" si="196"/>
        <v>0</v>
      </c>
      <c r="O675" t="s">
        <v>38</v>
      </c>
      <c r="P675">
        <f t="shared" si="197"/>
        <v>1</v>
      </c>
      <c r="Q675">
        <f t="shared" si="198"/>
        <v>0</v>
      </c>
      <c r="R675">
        <f t="shared" si="199"/>
        <v>0</v>
      </c>
      <c r="S675">
        <f t="shared" si="200"/>
        <v>0</v>
      </c>
      <c r="T675">
        <f t="shared" si="201"/>
        <v>0</v>
      </c>
      <c r="U675">
        <f t="shared" si="202"/>
        <v>0</v>
      </c>
      <c r="V675">
        <f t="shared" si="203"/>
        <v>0</v>
      </c>
      <c r="W675" t="s">
        <v>58</v>
      </c>
      <c r="X675">
        <f t="shared" si="204"/>
        <v>0</v>
      </c>
      <c r="Y675">
        <f t="shared" si="205"/>
        <v>1</v>
      </c>
      <c r="Z675">
        <v>4</v>
      </c>
      <c r="AA675">
        <f t="shared" si="206"/>
        <v>0.75</v>
      </c>
      <c r="AB675" t="s">
        <v>46</v>
      </c>
      <c r="AC675">
        <f t="shared" si="207"/>
        <v>0</v>
      </c>
      <c r="AD675">
        <f t="shared" si="208"/>
        <v>0</v>
      </c>
      <c r="AE675" t="s">
        <v>41</v>
      </c>
      <c r="AF675">
        <f>IF(AE675="website",1,0)</f>
        <v>1</v>
      </c>
    </row>
    <row r="676" spans="1:32">
      <c r="A676" t="s">
        <v>1298</v>
      </c>
      <c r="B676" t="s">
        <v>33</v>
      </c>
      <c r="C676" s="3">
        <f t="shared" si="190"/>
        <v>0</v>
      </c>
      <c r="D676">
        <f t="shared" si="191"/>
        <v>1</v>
      </c>
      <c r="E676" t="s">
        <v>602</v>
      </c>
      <c r="F676" t="s">
        <v>61</v>
      </c>
      <c r="G676" s="1">
        <v>25560</v>
      </c>
      <c r="H676" s="2">
        <f t="shared" ca="1" si="192"/>
        <v>56</v>
      </c>
      <c r="I676" s="2">
        <f t="shared" ca="1" si="193"/>
        <v>0.44285714285714284</v>
      </c>
      <c r="J676" t="s">
        <v>36</v>
      </c>
      <c r="K676" t="s">
        <v>37</v>
      </c>
      <c r="L676">
        <f t="shared" si="194"/>
        <v>1</v>
      </c>
      <c r="M676">
        <f t="shared" si="195"/>
        <v>0</v>
      </c>
      <c r="N676">
        <f t="shared" si="196"/>
        <v>0</v>
      </c>
      <c r="O676" t="s">
        <v>592</v>
      </c>
      <c r="P676">
        <f t="shared" si="197"/>
        <v>0</v>
      </c>
      <c r="Q676">
        <f t="shared" si="198"/>
        <v>0</v>
      </c>
      <c r="R676">
        <f t="shared" si="199"/>
        <v>0</v>
      </c>
      <c r="S676">
        <f t="shared" si="200"/>
        <v>0</v>
      </c>
      <c r="T676">
        <f t="shared" si="201"/>
        <v>0</v>
      </c>
      <c r="U676">
        <f t="shared" si="202"/>
        <v>0</v>
      </c>
      <c r="V676">
        <f t="shared" si="203"/>
        <v>0</v>
      </c>
      <c r="W676" t="s">
        <v>39</v>
      </c>
      <c r="X676">
        <f t="shared" si="204"/>
        <v>1</v>
      </c>
      <c r="Y676">
        <f t="shared" si="205"/>
        <v>0</v>
      </c>
      <c r="Z676">
        <v>5</v>
      </c>
      <c r="AA676">
        <f t="shared" si="206"/>
        <v>1</v>
      </c>
      <c r="AB676" t="s">
        <v>46</v>
      </c>
      <c r="AC676">
        <f t="shared" si="207"/>
        <v>0</v>
      </c>
      <c r="AD676">
        <f t="shared" si="208"/>
        <v>0</v>
      </c>
      <c r="AE676" t="s">
        <v>41</v>
      </c>
      <c r="AF676">
        <f>IF(AE676="website",1,0)</f>
        <v>1</v>
      </c>
    </row>
    <row r="677" spans="1:32">
      <c r="A677" t="s">
        <v>1299</v>
      </c>
      <c r="B677" t="s">
        <v>33</v>
      </c>
      <c r="C677" s="3">
        <f t="shared" si="190"/>
        <v>0</v>
      </c>
      <c r="D677">
        <f t="shared" si="191"/>
        <v>1</v>
      </c>
      <c r="E677" t="s">
        <v>845</v>
      </c>
      <c r="F677" t="s">
        <v>840</v>
      </c>
      <c r="G677" s="1">
        <v>15504</v>
      </c>
      <c r="H677" s="2">
        <f t="shared" ca="1" si="192"/>
        <v>84</v>
      </c>
      <c r="I677" s="2">
        <f t="shared" ca="1" si="193"/>
        <v>0.84285714285714286</v>
      </c>
      <c r="J677" t="s">
        <v>36</v>
      </c>
      <c r="K677" t="s">
        <v>37</v>
      </c>
      <c r="L677">
        <f t="shared" si="194"/>
        <v>1</v>
      </c>
      <c r="M677">
        <f t="shared" si="195"/>
        <v>0</v>
      </c>
      <c r="N677">
        <f t="shared" si="196"/>
        <v>0</v>
      </c>
      <c r="O677" t="s">
        <v>124</v>
      </c>
      <c r="P677">
        <f t="shared" si="197"/>
        <v>0</v>
      </c>
      <c r="Q677">
        <f t="shared" si="198"/>
        <v>0</v>
      </c>
      <c r="R677">
        <f t="shared" si="199"/>
        <v>0</v>
      </c>
      <c r="S677">
        <f t="shared" si="200"/>
        <v>0</v>
      </c>
      <c r="T677">
        <f t="shared" si="201"/>
        <v>0</v>
      </c>
      <c r="U677">
        <f t="shared" si="202"/>
        <v>1</v>
      </c>
      <c r="V677">
        <f t="shared" si="203"/>
        <v>0</v>
      </c>
      <c r="W677" t="s">
        <v>39</v>
      </c>
      <c r="X677">
        <f t="shared" si="204"/>
        <v>1</v>
      </c>
      <c r="Y677">
        <f t="shared" si="205"/>
        <v>0</v>
      </c>
      <c r="Z677">
        <v>2</v>
      </c>
      <c r="AA677">
        <f t="shared" si="206"/>
        <v>0.25</v>
      </c>
      <c r="AB677" t="s">
        <v>46</v>
      </c>
      <c r="AC677">
        <f t="shared" si="207"/>
        <v>1</v>
      </c>
      <c r="AD677">
        <f t="shared" si="208"/>
        <v>0</v>
      </c>
      <c r="AE677" t="s">
        <v>50</v>
      </c>
      <c r="AF677">
        <f>IF(AE677="website",1,0)</f>
        <v>0</v>
      </c>
    </row>
    <row r="678" spans="1:32">
      <c r="A678" t="s">
        <v>1300</v>
      </c>
      <c r="B678" t="s">
        <v>33</v>
      </c>
      <c r="C678" s="3">
        <f t="shared" si="190"/>
        <v>0</v>
      </c>
      <c r="D678">
        <f t="shared" si="191"/>
        <v>1</v>
      </c>
      <c r="E678" t="s">
        <v>1099</v>
      </c>
      <c r="F678" t="s">
        <v>364</v>
      </c>
      <c r="G678" s="1">
        <v>29831</v>
      </c>
      <c r="H678" s="2">
        <f t="shared" ca="1" si="192"/>
        <v>45</v>
      </c>
      <c r="I678" s="2">
        <f t="shared" ca="1" si="193"/>
        <v>0.2857142857142857</v>
      </c>
      <c r="J678" t="s">
        <v>45</v>
      </c>
      <c r="K678" t="s">
        <v>37</v>
      </c>
      <c r="L678">
        <f t="shared" si="194"/>
        <v>1</v>
      </c>
      <c r="M678">
        <f t="shared" si="195"/>
        <v>0</v>
      </c>
      <c r="N678">
        <f t="shared" si="196"/>
        <v>0</v>
      </c>
      <c r="O678" t="s">
        <v>97</v>
      </c>
      <c r="P678">
        <f t="shared" si="197"/>
        <v>0</v>
      </c>
      <c r="Q678">
        <f t="shared" si="198"/>
        <v>0</v>
      </c>
      <c r="R678">
        <f t="shared" si="199"/>
        <v>0</v>
      </c>
      <c r="S678">
        <f t="shared" si="200"/>
        <v>0</v>
      </c>
      <c r="T678">
        <f t="shared" si="201"/>
        <v>1</v>
      </c>
      <c r="U678">
        <f t="shared" si="202"/>
        <v>0</v>
      </c>
      <c r="V678">
        <f t="shared" si="203"/>
        <v>0</v>
      </c>
      <c r="W678" t="s">
        <v>58</v>
      </c>
      <c r="X678">
        <f t="shared" si="204"/>
        <v>0</v>
      </c>
      <c r="Y678">
        <f t="shared" si="205"/>
        <v>1</v>
      </c>
      <c r="Z678">
        <v>2</v>
      </c>
      <c r="AA678">
        <f t="shared" si="206"/>
        <v>0.25</v>
      </c>
      <c r="AB678" t="s">
        <v>46</v>
      </c>
      <c r="AC678">
        <f t="shared" si="207"/>
        <v>1</v>
      </c>
      <c r="AD678">
        <f t="shared" si="208"/>
        <v>0</v>
      </c>
      <c r="AE678" t="s">
        <v>50</v>
      </c>
      <c r="AF678">
        <f>IF(AE678="website",1,0)</f>
        <v>0</v>
      </c>
    </row>
    <row r="679" spans="1:32">
      <c r="A679" t="s">
        <v>1301</v>
      </c>
      <c r="B679" t="s">
        <v>33</v>
      </c>
      <c r="C679" s="3">
        <f t="shared" si="190"/>
        <v>0</v>
      </c>
      <c r="D679">
        <f t="shared" si="191"/>
        <v>1</v>
      </c>
      <c r="E679" t="s">
        <v>126</v>
      </c>
      <c r="F679" t="s">
        <v>825</v>
      </c>
      <c r="G679" s="1">
        <v>26591</v>
      </c>
      <c r="H679" s="2">
        <f t="shared" ca="1" si="192"/>
        <v>53</v>
      </c>
      <c r="I679" s="2">
        <f t="shared" ca="1" si="193"/>
        <v>0.4</v>
      </c>
      <c r="J679" t="s">
        <v>45</v>
      </c>
      <c r="K679" t="s">
        <v>37</v>
      </c>
      <c r="L679">
        <f t="shared" si="194"/>
        <v>1</v>
      </c>
      <c r="M679">
        <f t="shared" si="195"/>
        <v>0</v>
      </c>
      <c r="N679">
        <f t="shared" si="196"/>
        <v>0</v>
      </c>
      <c r="O679" t="s">
        <v>38</v>
      </c>
      <c r="P679">
        <f t="shared" si="197"/>
        <v>1</v>
      </c>
      <c r="Q679">
        <f t="shared" si="198"/>
        <v>0</v>
      </c>
      <c r="R679">
        <f t="shared" si="199"/>
        <v>0</v>
      </c>
      <c r="S679">
        <f t="shared" si="200"/>
        <v>0</v>
      </c>
      <c r="T679">
        <f t="shared" si="201"/>
        <v>0</v>
      </c>
      <c r="U679">
        <f t="shared" si="202"/>
        <v>0</v>
      </c>
      <c r="V679">
        <f t="shared" si="203"/>
        <v>0</v>
      </c>
      <c r="W679" t="s">
        <v>39</v>
      </c>
      <c r="X679">
        <f t="shared" si="204"/>
        <v>1</v>
      </c>
      <c r="Y679">
        <f t="shared" si="205"/>
        <v>0</v>
      </c>
      <c r="Z679">
        <v>4</v>
      </c>
      <c r="AA679">
        <f t="shared" si="206"/>
        <v>0.75</v>
      </c>
      <c r="AB679" t="s">
        <v>40</v>
      </c>
      <c r="AC679">
        <f t="shared" si="207"/>
        <v>0</v>
      </c>
      <c r="AD679">
        <f t="shared" si="208"/>
        <v>0</v>
      </c>
      <c r="AE679" t="s">
        <v>41</v>
      </c>
      <c r="AF679">
        <f>IF(AE679="website",1,0)</f>
        <v>1</v>
      </c>
    </row>
    <row r="680" spans="1:32">
      <c r="A680" t="s">
        <v>1302</v>
      </c>
      <c r="B680" t="s">
        <v>33</v>
      </c>
      <c r="C680" s="3">
        <f t="shared" si="190"/>
        <v>0</v>
      </c>
      <c r="D680">
        <f t="shared" si="191"/>
        <v>1</v>
      </c>
      <c r="E680" t="s">
        <v>845</v>
      </c>
      <c r="F680" t="s">
        <v>726</v>
      </c>
      <c r="G680" s="1">
        <v>23713</v>
      </c>
      <c r="H680" s="2">
        <f t="shared" ca="1" si="192"/>
        <v>61</v>
      </c>
      <c r="I680" s="2">
        <f t="shared" ca="1" si="193"/>
        <v>0.51428571428571423</v>
      </c>
      <c r="J680" t="s">
        <v>36</v>
      </c>
      <c r="K680" t="s">
        <v>37</v>
      </c>
      <c r="L680">
        <f t="shared" si="194"/>
        <v>1</v>
      </c>
      <c r="M680">
        <f t="shared" si="195"/>
        <v>0</v>
      </c>
      <c r="N680">
        <f t="shared" si="196"/>
        <v>0</v>
      </c>
      <c r="O680" t="s">
        <v>124</v>
      </c>
      <c r="P680">
        <f t="shared" si="197"/>
        <v>0</v>
      </c>
      <c r="Q680">
        <f t="shared" si="198"/>
        <v>0</v>
      </c>
      <c r="R680">
        <f t="shared" si="199"/>
        <v>0</v>
      </c>
      <c r="S680">
        <f t="shared" si="200"/>
        <v>0</v>
      </c>
      <c r="T680">
        <f t="shared" si="201"/>
        <v>0</v>
      </c>
      <c r="U680">
        <f t="shared" si="202"/>
        <v>1</v>
      </c>
      <c r="V680">
        <f t="shared" si="203"/>
        <v>0</v>
      </c>
      <c r="W680" t="s">
        <v>39</v>
      </c>
      <c r="X680">
        <f t="shared" si="204"/>
        <v>1</v>
      </c>
      <c r="Y680">
        <f t="shared" si="205"/>
        <v>0</v>
      </c>
      <c r="Z680">
        <v>1</v>
      </c>
      <c r="AA680">
        <f t="shared" si="206"/>
        <v>0</v>
      </c>
      <c r="AB680" t="s">
        <v>46</v>
      </c>
      <c r="AC680">
        <f t="shared" si="207"/>
        <v>1</v>
      </c>
      <c r="AD680">
        <f t="shared" si="208"/>
        <v>0</v>
      </c>
      <c r="AE680" t="s">
        <v>50</v>
      </c>
      <c r="AF680">
        <f>IF(AE680="website",1,0)</f>
        <v>0</v>
      </c>
    </row>
    <row r="681" spans="1:32">
      <c r="A681" t="s">
        <v>1303</v>
      </c>
      <c r="B681" t="s">
        <v>33</v>
      </c>
      <c r="C681" s="3">
        <f t="shared" si="190"/>
        <v>0</v>
      </c>
      <c r="D681">
        <f t="shared" si="191"/>
        <v>1</v>
      </c>
      <c r="E681" t="s">
        <v>865</v>
      </c>
      <c r="F681" t="s">
        <v>928</v>
      </c>
      <c r="G681" s="1">
        <v>23848</v>
      </c>
      <c r="H681" s="2">
        <f t="shared" ca="1" si="192"/>
        <v>61</v>
      </c>
      <c r="I681" s="2">
        <f t="shared" ca="1" si="193"/>
        <v>0.51428571428571423</v>
      </c>
      <c r="J681" t="s">
        <v>45</v>
      </c>
      <c r="K681" t="s">
        <v>37</v>
      </c>
      <c r="L681">
        <f t="shared" si="194"/>
        <v>1</v>
      </c>
      <c r="M681">
        <f t="shared" si="195"/>
        <v>0</v>
      </c>
      <c r="N681">
        <f t="shared" si="196"/>
        <v>0</v>
      </c>
      <c r="O681" t="s">
        <v>183</v>
      </c>
      <c r="P681">
        <f t="shared" si="197"/>
        <v>0</v>
      </c>
      <c r="Q681">
        <f t="shared" si="198"/>
        <v>0</v>
      </c>
      <c r="R681">
        <f t="shared" si="199"/>
        <v>0</v>
      </c>
      <c r="S681">
        <f t="shared" si="200"/>
        <v>0</v>
      </c>
      <c r="T681">
        <f t="shared" si="201"/>
        <v>0</v>
      </c>
      <c r="U681">
        <f t="shared" si="202"/>
        <v>0</v>
      </c>
      <c r="V681">
        <f t="shared" si="203"/>
        <v>0</v>
      </c>
      <c r="W681" t="s">
        <v>58</v>
      </c>
      <c r="X681">
        <f t="shared" si="204"/>
        <v>0</v>
      </c>
      <c r="Y681">
        <f t="shared" si="205"/>
        <v>1</v>
      </c>
      <c r="Z681">
        <v>2</v>
      </c>
      <c r="AA681">
        <f t="shared" si="206"/>
        <v>0.25</v>
      </c>
      <c r="AB681" t="s">
        <v>46</v>
      </c>
      <c r="AC681">
        <f t="shared" si="207"/>
        <v>1</v>
      </c>
      <c r="AD681">
        <f t="shared" si="208"/>
        <v>0</v>
      </c>
      <c r="AE681" t="s">
        <v>50</v>
      </c>
      <c r="AF681">
        <f>IF(AE681="website",1,0)</f>
        <v>0</v>
      </c>
    </row>
    <row r="682" spans="1:32">
      <c r="A682" t="s">
        <v>1304</v>
      </c>
      <c r="B682" t="s">
        <v>55</v>
      </c>
      <c r="C682" s="3">
        <f t="shared" si="190"/>
        <v>1</v>
      </c>
      <c r="D682">
        <f t="shared" si="191"/>
        <v>0</v>
      </c>
      <c r="E682" t="s">
        <v>1305</v>
      </c>
      <c r="F682" t="s">
        <v>57</v>
      </c>
      <c r="G682" s="1">
        <v>28240</v>
      </c>
      <c r="H682" s="2">
        <f t="shared" ca="1" si="192"/>
        <v>49</v>
      </c>
      <c r="I682" s="2">
        <f t="shared" ca="1" si="193"/>
        <v>0.34285714285714286</v>
      </c>
      <c r="J682" t="s">
        <v>36</v>
      </c>
      <c r="K682" t="s">
        <v>37</v>
      </c>
      <c r="L682">
        <f t="shared" si="194"/>
        <v>1</v>
      </c>
      <c r="M682">
        <f t="shared" si="195"/>
        <v>0</v>
      </c>
      <c r="N682">
        <f t="shared" si="196"/>
        <v>0</v>
      </c>
      <c r="O682" t="s">
        <v>38</v>
      </c>
      <c r="P682">
        <f t="shared" si="197"/>
        <v>1</v>
      </c>
      <c r="Q682">
        <f t="shared" si="198"/>
        <v>0</v>
      </c>
      <c r="R682">
        <f t="shared" si="199"/>
        <v>0</v>
      </c>
      <c r="S682">
        <f t="shared" si="200"/>
        <v>0</v>
      </c>
      <c r="T682">
        <f t="shared" si="201"/>
        <v>0</v>
      </c>
      <c r="U682">
        <f t="shared" si="202"/>
        <v>0</v>
      </c>
      <c r="V682">
        <f t="shared" si="203"/>
        <v>0</v>
      </c>
      <c r="W682" t="s">
        <v>39</v>
      </c>
      <c r="X682">
        <f t="shared" si="204"/>
        <v>1</v>
      </c>
      <c r="Y682">
        <f t="shared" si="205"/>
        <v>0</v>
      </c>
      <c r="Z682">
        <v>3</v>
      </c>
      <c r="AA682">
        <f t="shared" si="206"/>
        <v>0.5</v>
      </c>
      <c r="AB682" t="s">
        <v>46</v>
      </c>
      <c r="AC682">
        <f t="shared" si="207"/>
        <v>1</v>
      </c>
      <c r="AD682">
        <f t="shared" si="208"/>
        <v>0</v>
      </c>
      <c r="AE682" t="s">
        <v>50</v>
      </c>
      <c r="AF682">
        <f>IF(AE682="website",1,0)</f>
        <v>0</v>
      </c>
    </row>
    <row r="683" spans="1:32">
      <c r="A683" t="s">
        <v>1306</v>
      </c>
      <c r="B683" t="s">
        <v>33</v>
      </c>
      <c r="C683" s="3">
        <f t="shared" si="190"/>
        <v>0</v>
      </c>
      <c r="D683">
        <f t="shared" si="191"/>
        <v>1</v>
      </c>
      <c r="E683" t="s">
        <v>1307</v>
      </c>
      <c r="F683" t="s">
        <v>378</v>
      </c>
      <c r="G683" s="1">
        <v>26827</v>
      </c>
      <c r="H683" s="2">
        <f t="shared" ca="1" si="192"/>
        <v>53</v>
      </c>
      <c r="I683" s="2">
        <f t="shared" ca="1" si="193"/>
        <v>0.4</v>
      </c>
      <c r="J683" t="s">
        <v>45</v>
      </c>
      <c r="K683" t="s">
        <v>37</v>
      </c>
      <c r="L683">
        <f t="shared" si="194"/>
        <v>1</v>
      </c>
      <c r="M683">
        <f t="shared" si="195"/>
        <v>0</v>
      </c>
      <c r="N683">
        <f t="shared" si="196"/>
        <v>0</v>
      </c>
      <c r="O683" t="s">
        <v>38</v>
      </c>
      <c r="P683">
        <f t="shared" si="197"/>
        <v>1</v>
      </c>
      <c r="Q683">
        <f t="shared" si="198"/>
        <v>0</v>
      </c>
      <c r="R683">
        <f t="shared" si="199"/>
        <v>0</v>
      </c>
      <c r="S683">
        <f t="shared" si="200"/>
        <v>0</v>
      </c>
      <c r="T683">
        <f t="shared" si="201"/>
        <v>0</v>
      </c>
      <c r="U683">
        <f t="shared" si="202"/>
        <v>0</v>
      </c>
      <c r="V683">
        <f t="shared" si="203"/>
        <v>0</v>
      </c>
      <c r="W683" t="s">
        <v>39</v>
      </c>
      <c r="X683">
        <f t="shared" si="204"/>
        <v>1</v>
      </c>
      <c r="Y683">
        <f t="shared" si="205"/>
        <v>0</v>
      </c>
      <c r="Z683">
        <v>5</v>
      </c>
      <c r="AA683">
        <f t="shared" si="206"/>
        <v>1</v>
      </c>
      <c r="AB683" t="s">
        <v>46</v>
      </c>
      <c r="AC683">
        <f t="shared" si="207"/>
        <v>0</v>
      </c>
      <c r="AD683">
        <f t="shared" si="208"/>
        <v>0</v>
      </c>
      <c r="AE683" t="s">
        <v>41</v>
      </c>
      <c r="AF683">
        <f>IF(AE683="website",1,0)</f>
        <v>1</v>
      </c>
    </row>
    <row r="684" spans="1:32">
      <c r="A684" t="s">
        <v>1308</v>
      </c>
      <c r="B684" t="s">
        <v>33</v>
      </c>
      <c r="C684" s="3">
        <f t="shared" si="190"/>
        <v>0</v>
      </c>
      <c r="D684">
        <f t="shared" si="191"/>
        <v>1</v>
      </c>
      <c r="E684" t="s">
        <v>152</v>
      </c>
      <c r="F684" t="s">
        <v>700</v>
      </c>
      <c r="G684" s="1">
        <v>17765</v>
      </c>
      <c r="H684" s="2">
        <f t="shared" ca="1" si="192"/>
        <v>78</v>
      </c>
      <c r="I684" s="2">
        <f t="shared" ca="1" si="193"/>
        <v>0.75714285714285712</v>
      </c>
      <c r="J684" t="s">
        <v>45</v>
      </c>
      <c r="K684" t="s">
        <v>37</v>
      </c>
      <c r="L684">
        <f t="shared" si="194"/>
        <v>1</v>
      </c>
      <c r="M684">
        <f t="shared" si="195"/>
        <v>0</v>
      </c>
      <c r="N684">
        <f t="shared" si="196"/>
        <v>0</v>
      </c>
      <c r="O684" t="s">
        <v>137</v>
      </c>
      <c r="P684">
        <f t="shared" si="197"/>
        <v>0</v>
      </c>
      <c r="Q684">
        <f t="shared" si="198"/>
        <v>0</v>
      </c>
      <c r="R684">
        <f t="shared" si="199"/>
        <v>0</v>
      </c>
      <c r="S684">
        <f t="shared" si="200"/>
        <v>0</v>
      </c>
      <c r="T684">
        <f t="shared" si="201"/>
        <v>0</v>
      </c>
      <c r="U684">
        <f t="shared" si="202"/>
        <v>0</v>
      </c>
      <c r="V684">
        <f t="shared" si="203"/>
        <v>0</v>
      </c>
      <c r="W684" t="s">
        <v>39</v>
      </c>
      <c r="X684">
        <f t="shared" si="204"/>
        <v>1</v>
      </c>
      <c r="Y684">
        <f t="shared" si="205"/>
        <v>0</v>
      </c>
      <c r="Z684">
        <v>2</v>
      </c>
      <c r="AA684">
        <f t="shared" si="206"/>
        <v>0.25</v>
      </c>
      <c r="AB684" t="s">
        <v>40</v>
      </c>
      <c r="AC684">
        <f t="shared" si="207"/>
        <v>1</v>
      </c>
      <c r="AD684">
        <f t="shared" si="208"/>
        <v>0</v>
      </c>
      <c r="AE684" t="s">
        <v>50</v>
      </c>
      <c r="AF684">
        <f>IF(AE684="website",1,0)</f>
        <v>0</v>
      </c>
    </row>
    <row r="685" spans="1:32">
      <c r="A685" t="s">
        <v>1309</v>
      </c>
      <c r="B685" t="s">
        <v>33</v>
      </c>
      <c r="C685" s="3">
        <f t="shared" si="190"/>
        <v>0</v>
      </c>
      <c r="D685">
        <f t="shared" si="191"/>
        <v>1</v>
      </c>
      <c r="E685" t="s">
        <v>1307</v>
      </c>
      <c r="F685" t="s">
        <v>364</v>
      </c>
      <c r="G685" s="1">
        <v>31325</v>
      </c>
      <c r="H685" s="2">
        <f t="shared" ca="1" si="192"/>
        <v>41</v>
      </c>
      <c r="I685" s="2">
        <f t="shared" ca="1" si="193"/>
        <v>0.22857142857142856</v>
      </c>
      <c r="J685" t="s">
        <v>45</v>
      </c>
      <c r="K685" t="s">
        <v>37</v>
      </c>
      <c r="L685">
        <f t="shared" si="194"/>
        <v>1</v>
      </c>
      <c r="M685">
        <f t="shared" si="195"/>
        <v>0</v>
      </c>
      <c r="N685">
        <f t="shared" si="196"/>
        <v>0</v>
      </c>
      <c r="O685" t="s">
        <v>38</v>
      </c>
      <c r="P685">
        <f t="shared" si="197"/>
        <v>1</v>
      </c>
      <c r="Q685">
        <f t="shared" si="198"/>
        <v>0</v>
      </c>
      <c r="R685">
        <f t="shared" si="199"/>
        <v>0</v>
      </c>
      <c r="S685">
        <f t="shared" si="200"/>
        <v>0</v>
      </c>
      <c r="T685">
        <f t="shared" si="201"/>
        <v>0</v>
      </c>
      <c r="U685">
        <f t="shared" si="202"/>
        <v>0</v>
      </c>
      <c r="V685">
        <f t="shared" si="203"/>
        <v>0</v>
      </c>
      <c r="W685" t="s">
        <v>39</v>
      </c>
      <c r="X685">
        <f t="shared" si="204"/>
        <v>1</v>
      </c>
      <c r="Y685">
        <f t="shared" si="205"/>
        <v>0</v>
      </c>
      <c r="Z685">
        <v>1</v>
      </c>
      <c r="AA685">
        <f t="shared" si="206"/>
        <v>0</v>
      </c>
      <c r="AB685" t="s">
        <v>46</v>
      </c>
      <c r="AC685">
        <f t="shared" si="207"/>
        <v>1</v>
      </c>
      <c r="AD685">
        <f t="shared" si="208"/>
        <v>0</v>
      </c>
      <c r="AE685" t="s">
        <v>50</v>
      </c>
      <c r="AF685">
        <f>IF(AE685="website",1,0)</f>
        <v>0</v>
      </c>
    </row>
    <row r="686" spans="1:32">
      <c r="A686" t="s">
        <v>1310</v>
      </c>
      <c r="B686" t="s">
        <v>33</v>
      </c>
      <c r="C686" s="3">
        <f t="shared" si="190"/>
        <v>0</v>
      </c>
      <c r="D686">
        <f t="shared" si="191"/>
        <v>1</v>
      </c>
      <c r="E686" t="s">
        <v>622</v>
      </c>
      <c r="F686" t="s">
        <v>513</v>
      </c>
      <c r="G686" s="1">
        <v>31885</v>
      </c>
      <c r="H686" s="2">
        <f t="shared" ca="1" si="192"/>
        <v>39</v>
      </c>
      <c r="I686" s="2">
        <f t="shared" ca="1" si="193"/>
        <v>0.2</v>
      </c>
      <c r="J686" t="s">
        <v>36</v>
      </c>
      <c r="K686" t="s">
        <v>37</v>
      </c>
      <c r="L686">
        <f t="shared" si="194"/>
        <v>1</v>
      </c>
      <c r="M686">
        <f t="shared" si="195"/>
        <v>0</v>
      </c>
      <c r="N686">
        <f t="shared" si="196"/>
        <v>0</v>
      </c>
      <c r="O686" t="s">
        <v>565</v>
      </c>
      <c r="P686">
        <f t="shared" si="197"/>
        <v>0</v>
      </c>
      <c r="Q686">
        <f t="shared" si="198"/>
        <v>0</v>
      </c>
      <c r="R686">
        <f t="shared" si="199"/>
        <v>0</v>
      </c>
      <c r="S686">
        <f t="shared" si="200"/>
        <v>0</v>
      </c>
      <c r="T686">
        <f t="shared" si="201"/>
        <v>0</v>
      </c>
      <c r="U686">
        <f t="shared" si="202"/>
        <v>0</v>
      </c>
      <c r="V686">
        <f t="shared" si="203"/>
        <v>0</v>
      </c>
      <c r="W686" t="s">
        <v>39</v>
      </c>
      <c r="X686">
        <f t="shared" si="204"/>
        <v>1</v>
      </c>
      <c r="Y686">
        <f t="shared" si="205"/>
        <v>0</v>
      </c>
      <c r="Z686">
        <v>5</v>
      </c>
      <c r="AA686">
        <f t="shared" si="206"/>
        <v>1</v>
      </c>
      <c r="AB686" t="s">
        <v>46</v>
      </c>
      <c r="AC686">
        <f t="shared" si="207"/>
        <v>1</v>
      </c>
      <c r="AD686">
        <f t="shared" si="208"/>
        <v>0</v>
      </c>
      <c r="AE686" t="s">
        <v>50</v>
      </c>
      <c r="AF686">
        <f>IF(AE686="website",1,0)</f>
        <v>0</v>
      </c>
    </row>
    <row r="687" spans="1:32">
      <c r="A687" t="s">
        <v>1311</v>
      </c>
      <c r="B687" t="s">
        <v>33</v>
      </c>
      <c r="C687" s="3">
        <f t="shared" si="190"/>
        <v>0</v>
      </c>
      <c r="D687">
        <f t="shared" si="191"/>
        <v>1</v>
      </c>
      <c r="E687" t="s">
        <v>419</v>
      </c>
      <c r="F687" t="s">
        <v>339</v>
      </c>
      <c r="G687" s="1">
        <v>23332</v>
      </c>
      <c r="H687" s="2">
        <f t="shared" ca="1" si="192"/>
        <v>62</v>
      </c>
      <c r="I687" s="2">
        <f t="shared" ca="1" si="193"/>
        <v>0.52857142857142858</v>
      </c>
      <c r="J687" t="s">
        <v>45</v>
      </c>
      <c r="K687" t="s">
        <v>37</v>
      </c>
      <c r="L687">
        <f t="shared" si="194"/>
        <v>1</v>
      </c>
      <c r="M687">
        <f t="shared" si="195"/>
        <v>0</v>
      </c>
      <c r="N687">
        <f t="shared" si="196"/>
        <v>0</v>
      </c>
      <c r="O687" t="s">
        <v>38</v>
      </c>
      <c r="P687">
        <f t="shared" si="197"/>
        <v>1</v>
      </c>
      <c r="Q687">
        <f t="shared" si="198"/>
        <v>0</v>
      </c>
      <c r="R687">
        <f t="shared" si="199"/>
        <v>0</v>
      </c>
      <c r="S687">
        <f t="shared" si="200"/>
        <v>0</v>
      </c>
      <c r="T687">
        <f t="shared" si="201"/>
        <v>0</v>
      </c>
      <c r="U687">
        <f t="shared" si="202"/>
        <v>0</v>
      </c>
      <c r="V687">
        <f t="shared" si="203"/>
        <v>0</v>
      </c>
      <c r="W687" t="s">
        <v>39</v>
      </c>
      <c r="X687">
        <f t="shared" si="204"/>
        <v>1</v>
      </c>
      <c r="Y687">
        <f t="shared" si="205"/>
        <v>0</v>
      </c>
      <c r="Z687">
        <v>1</v>
      </c>
      <c r="AA687">
        <f t="shared" si="206"/>
        <v>0</v>
      </c>
      <c r="AB687" t="s">
        <v>40</v>
      </c>
      <c r="AC687">
        <f t="shared" si="207"/>
        <v>0</v>
      </c>
      <c r="AD687">
        <f t="shared" si="208"/>
        <v>0</v>
      </c>
      <c r="AE687" t="s">
        <v>41</v>
      </c>
      <c r="AF687">
        <f>IF(AE687="website",1,0)</f>
        <v>1</v>
      </c>
    </row>
    <row r="688" spans="1:32">
      <c r="A688" t="s">
        <v>1312</v>
      </c>
      <c r="B688" t="s">
        <v>33</v>
      </c>
      <c r="C688" s="3">
        <f t="shared" si="190"/>
        <v>0</v>
      </c>
      <c r="D688">
        <f t="shared" si="191"/>
        <v>1</v>
      </c>
      <c r="E688" t="s">
        <v>811</v>
      </c>
      <c r="F688" t="s">
        <v>738</v>
      </c>
      <c r="G688" s="1">
        <v>21553</v>
      </c>
      <c r="H688" s="2">
        <f t="shared" ca="1" si="192"/>
        <v>67</v>
      </c>
      <c r="I688" s="2">
        <f t="shared" ca="1" si="193"/>
        <v>0.6</v>
      </c>
      <c r="J688" t="s">
        <v>36</v>
      </c>
      <c r="K688" t="s">
        <v>37</v>
      </c>
      <c r="L688">
        <f t="shared" si="194"/>
        <v>1</v>
      </c>
      <c r="M688">
        <f t="shared" si="195"/>
        <v>0</v>
      </c>
      <c r="N688">
        <f t="shared" si="196"/>
        <v>0</v>
      </c>
      <c r="O688" t="s">
        <v>183</v>
      </c>
      <c r="P688">
        <f t="shared" si="197"/>
        <v>0</v>
      </c>
      <c r="Q688">
        <f t="shared" si="198"/>
        <v>0</v>
      </c>
      <c r="R688">
        <f t="shared" si="199"/>
        <v>0</v>
      </c>
      <c r="S688">
        <f t="shared" si="200"/>
        <v>0</v>
      </c>
      <c r="T688">
        <f t="shared" si="201"/>
        <v>0</v>
      </c>
      <c r="U688">
        <f t="shared" si="202"/>
        <v>0</v>
      </c>
      <c r="V688">
        <f t="shared" si="203"/>
        <v>0</v>
      </c>
      <c r="W688" t="s">
        <v>39</v>
      </c>
      <c r="X688">
        <f t="shared" si="204"/>
        <v>1</v>
      </c>
      <c r="Y688">
        <f t="shared" si="205"/>
        <v>0</v>
      </c>
      <c r="Z688">
        <v>3</v>
      </c>
      <c r="AA688">
        <f t="shared" si="206"/>
        <v>0.5</v>
      </c>
      <c r="AB688" t="s">
        <v>40</v>
      </c>
      <c r="AC688">
        <f t="shared" si="207"/>
        <v>0</v>
      </c>
      <c r="AD688">
        <f t="shared" si="208"/>
        <v>0</v>
      </c>
      <c r="AE688" t="s">
        <v>41</v>
      </c>
      <c r="AF688">
        <f>IF(AE688="website",1,0)</f>
        <v>1</v>
      </c>
    </row>
    <row r="689" spans="1:32">
      <c r="A689" t="s">
        <v>1313</v>
      </c>
      <c r="B689" t="s">
        <v>33</v>
      </c>
      <c r="C689" s="3">
        <f t="shared" si="190"/>
        <v>0</v>
      </c>
      <c r="D689">
        <f t="shared" si="191"/>
        <v>1</v>
      </c>
      <c r="E689" t="s">
        <v>1256</v>
      </c>
      <c r="F689" t="s">
        <v>339</v>
      </c>
      <c r="G689" s="1">
        <v>25176</v>
      </c>
      <c r="H689" s="2">
        <f t="shared" ca="1" si="192"/>
        <v>57</v>
      </c>
      <c r="I689" s="2">
        <f t="shared" ca="1" si="193"/>
        <v>0.45714285714285713</v>
      </c>
      <c r="J689" t="s">
        <v>36</v>
      </c>
      <c r="K689" t="s">
        <v>37</v>
      </c>
      <c r="L689">
        <f t="shared" si="194"/>
        <v>1</v>
      </c>
      <c r="M689">
        <f t="shared" si="195"/>
        <v>0</v>
      </c>
      <c r="N689">
        <f t="shared" si="196"/>
        <v>0</v>
      </c>
      <c r="O689" t="s">
        <v>137</v>
      </c>
      <c r="P689">
        <f t="shared" si="197"/>
        <v>0</v>
      </c>
      <c r="Q689">
        <f t="shared" si="198"/>
        <v>0</v>
      </c>
      <c r="R689">
        <f t="shared" si="199"/>
        <v>0</v>
      </c>
      <c r="S689">
        <f t="shared" si="200"/>
        <v>0</v>
      </c>
      <c r="T689">
        <f t="shared" si="201"/>
        <v>0</v>
      </c>
      <c r="U689">
        <f t="shared" si="202"/>
        <v>0</v>
      </c>
      <c r="V689">
        <f t="shared" si="203"/>
        <v>0</v>
      </c>
      <c r="W689" t="s">
        <v>58</v>
      </c>
      <c r="X689">
        <f t="shared" si="204"/>
        <v>0</v>
      </c>
      <c r="Y689">
        <f t="shared" si="205"/>
        <v>1</v>
      </c>
      <c r="Z689">
        <v>5</v>
      </c>
      <c r="AA689">
        <f t="shared" si="206"/>
        <v>1</v>
      </c>
      <c r="AB689" t="s">
        <v>40</v>
      </c>
      <c r="AC689">
        <f t="shared" si="207"/>
        <v>0</v>
      </c>
      <c r="AD689">
        <f t="shared" si="208"/>
        <v>0</v>
      </c>
      <c r="AE689" t="s">
        <v>41</v>
      </c>
      <c r="AF689">
        <f>IF(AE689="website",1,0)</f>
        <v>1</v>
      </c>
    </row>
    <row r="690" spans="1:32">
      <c r="A690" t="s">
        <v>1314</v>
      </c>
      <c r="B690" t="s">
        <v>33</v>
      </c>
      <c r="C690" s="3">
        <f t="shared" si="190"/>
        <v>0</v>
      </c>
      <c r="D690">
        <f t="shared" si="191"/>
        <v>1</v>
      </c>
      <c r="E690" t="s">
        <v>894</v>
      </c>
      <c r="F690" t="s">
        <v>579</v>
      </c>
      <c r="G690" s="1">
        <v>35902</v>
      </c>
      <c r="H690" s="2">
        <f t="shared" ca="1" si="192"/>
        <v>28</v>
      </c>
      <c r="I690" s="2">
        <f t="shared" ca="1" si="193"/>
        <v>4.2857142857142858E-2</v>
      </c>
      <c r="J690" t="s">
        <v>36</v>
      </c>
      <c r="K690" t="s">
        <v>37</v>
      </c>
      <c r="L690">
        <f t="shared" si="194"/>
        <v>1</v>
      </c>
      <c r="M690">
        <f t="shared" si="195"/>
        <v>0</v>
      </c>
      <c r="N690">
        <f t="shared" si="196"/>
        <v>0</v>
      </c>
      <c r="O690" t="s">
        <v>38</v>
      </c>
      <c r="P690">
        <f t="shared" si="197"/>
        <v>1</v>
      </c>
      <c r="Q690">
        <f t="shared" si="198"/>
        <v>0</v>
      </c>
      <c r="R690">
        <f t="shared" si="199"/>
        <v>0</v>
      </c>
      <c r="S690">
        <f t="shared" si="200"/>
        <v>0</v>
      </c>
      <c r="T690">
        <f t="shared" si="201"/>
        <v>0</v>
      </c>
      <c r="U690">
        <f t="shared" si="202"/>
        <v>0</v>
      </c>
      <c r="V690">
        <f t="shared" si="203"/>
        <v>0</v>
      </c>
      <c r="W690" t="s">
        <v>39</v>
      </c>
      <c r="X690">
        <f t="shared" si="204"/>
        <v>1</v>
      </c>
      <c r="Y690">
        <f t="shared" si="205"/>
        <v>0</v>
      </c>
      <c r="Z690">
        <v>4</v>
      </c>
      <c r="AA690">
        <f t="shared" si="206"/>
        <v>0.75</v>
      </c>
      <c r="AB690" t="s">
        <v>46</v>
      </c>
      <c r="AC690">
        <f t="shared" si="207"/>
        <v>0</v>
      </c>
      <c r="AD690">
        <f t="shared" si="208"/>
        <v>0</v>
      </c>
      <c r="AE690" t="s">
        <v>41</v>
      </c>
      <c r="AF690">
        <f>IF(AE690="website",1,0)</f>
        <v>1</v>
      </c>
    </row>
    <row r="691" spans="1:32">
      <c r="A691" t="s">
        <v>1315</v>
      </c>
      <c r="B691" t="s">
        <v>33</v>
      </c>
      <c r="C691" s="3">
        <f t="shared" si="190"/>
        <v>0</v>
      </c>
      <c r="D691">
        <f t="shared" si="191"/>
        <v>1</v>
      </c>
      <c r="E691" t="s">
        <v>1087</v>
      </c>
      <c r="F691" t="s">
        <v>372</v>
      </c>
      <c r="G691" s="1">
        <v>31299</v>
      </c>
      <c r="H691" s="2">
        <f t="shared" ca="1" si="192"/>
        <v>41</v>
      </c>
      <c r="I691" s="2">
        <f t="shared" ca="1" si="193"/>
        <v>0.22857142857142856</v>
      </c>
      <c r="J691" t="s">
        <v>36</v>
      </c>
      <c r="K691" t="s">
        <v>37</v>
      </c>
      <c r="L691">
        <f t="shared" si="194"/>
        <v>1</v>
      </c>
      <c r="M691">
        <f t="shared" si="195"/>
        <v>0</v>
      </c>
      <c r="N691">
        <f t="shared" si="196"/>
        <v>0</v>
      </c>
      <c r="O691" t="s">
        <v>76</v>
      </c>
      <c r="P691">
        <f t="shared" si="197"/>
        <v>0</v>
      </c>
      <c r="Q691">
        <f t="shared" si="198"/>
        <v>1</v>
      </c>
      <c r="R691">
        <f t="shared" si="199"/>
        <v>0</v>
      </c>
      <c r="S691">
        <f t="shared" si="200"/>
        <v>0</v>
      </c>
      <c r="T691">
        <f t="shared" si="201"/>
        <v>0</v>
      </c>
      <c r="U691">
        <f t="shared" si="202"/>
        <v>0</v>
      </c>
      <c r="V691">
        <f t="shared" si="203"/>
        <v>0</v>
      </c>
      <c r="W691" t="s">
        <v>39</v>
      </c>
      <c r="X691">
        <f t="shared" si="204"/>
        <v>1</v>
      </c>
      <c r="Y691">
        <f t="shared" si="205"/>
        <v>0</v>
      </c>
      <c r="Z691">
        <v>4</v>
      </c>
      <c r="AA691">
        <f t="shared" si="206"/>
        <v>0.75</v>
      </c>
      <c r="AB691" t="s">
        <v>40</v>
      </c>
      <c r="AC691">
        <f t="shared" si="207"/>
        <v>1</v>
      </c>
      <c r="AD691">
        <f t="shared" si="208"/>
        <v>0</v>
      </c>
      <c r="AE691" t="s">
        <v>50</v>
      </c>
      <c r="AF691">
        <f>IF(AE691="website",1,0)</f>
        <v>0</v>
      </c>
    </row>
    <row r="692" spans="1:32">
      <c r="A692" t="s">
        <v>1316</v>
      </c>
      <c r="B692" t="s">
        <v>33</v>
      </c>
      <c r="C692" s="3">
        <f t="shared" si="190"/>
        <v>0</v>
      </c>
      <c r="D692">
        <f t="shared" si="191"/>
        <v>1</v>
      </c>
      <c r="E692" t="s">
        <v>719</v>
      </c>
      <c r="F692" t="s">
        <v>818</v>
      </c>
      <c r="G692" s="1">
        <v>15909</v>
      </c>
      <c r="H692" s="2">
        <f t="shared" ca="1" si="192"/>
        <v>83</v>
      </c>
      <c r="I692" s="2">
        <f t="shared" ca="1" si="193"/>
        <v>0.82857142857142863</v>
      </c>
      <c r="J692" t="s">
        <v>45</v>
      </c>
      <c r="K692" t="s">
        <v>37</v>
      </c>
      <c r="L692">
        <f t="shared" si="194"/>
        <v>1</v>
      </c>
      <c r="M692">
        <f t="shared" si="195"/>
        <v>0</v>
      </c>
      <c r="N692">
        <f t="shared" si="196"/>
        <v>0</v>
      </c>
      <c r="O692" t="s">
        <v>38</v>
      </c>
      <c r="P692">
        <f t="shared" si="197"/>
        <v>1</v>
      </c>
      <c r="Q692">
        <f t="shared" si="198"/>
        <v>0</v>
      </c>
      <c r="R692">
        <f t="shared" si="199"/>
        <v>0</v>
      </c>
      <c r="S692">
        <f t="shared" si="200"/>
        <v>0</v>
      </c>
      <c r="T692">
        <f t="shared" si="201"/>
        <v>0</v>
      </c>
      <c r="U692">
        <f t="shared" si="202"/>
        <v>0</v>
      </c>
      <c r="V692">
        <f t="shared" si="203"/>
        <v>0</v>
      </c>
      <c r="W692" t="s">
        <v>58</v>
      </c>
      <c r="X692">
        <f t="shared" si="204"/>
        <v>0</v>
      </c>
      <c r="Y692">
        <f t="shared" si="205"/>
        <v>1</v>
      </c>
      <c r="Z692">
        <v>4</v>
      </c>
      <c r="AA692">
        <f t="shared" si="206"/>
        <v>0.75</v>
      </c>
      <c r="AB692" t="s">
        <v>46</v>
      </c>
      <c r="AC692">
        <f t="shared" si="207"/>
        <v>1</v>
      </c>
      <c r="AD692">
        <f t="shared" si="208"/>
        <v>0</v>
      </c>
      <c r="AE692" t="s">
        <v>50</v>
      </c>
      <c r="AF692">
        <f>IF(AE692="website",1,0)</f>
        <v>0</v>
      </c>
    </row>
    <row r="693" spans="1:32">
      <c r="A693" t="s">
        <v>1317</v>
      </c>
      <c r="B693" t="s">
        <v>33</v>
      </c>
      <c r="C693" s="3">
        <f t="shared" si="190"/>
        <v>0</v>
      </c>
      <c r="D693">
        <f t="shared" si="191"/>
        <v>1</v>
      </c>
      <c r="E693" t="s">
        <v>1070</v>
      </c>
      <c r="F693" t="s">
        <v>653</v>
      </c>
      <c r="G693" s="1">
        <v>23450</v>
      </c>
      <c r="H693" s="2">
        <f t="shared" ca="1" si="192"/>
        <v>62</v>
      </c>
      <c r="I693" s="2">
        <f t="shared" ca="1" si="193"/>
        <v>0.52857142857142858</v>
      </c>
      <c r="J693" t="s">
        <v>45</v>
      </c>
      <c r="K693" t="s">
        <v>37</v>
      </c>
      <c r="L693">
        <f t="shared" si="194"/>
        <v>1</v>
      </c>
      <c r="M693">
        <f t="shared" si="195"/>
        <v>0</v>
      </c>
      <c r="N693">
        <f t="shared" si="196"/>
        <v>0</v>
      </c>
      <c r="O693" t="s">
        <v>785</v>
      </c>
      <c r="P693">
        <f t="shared" si="197"/>
        <v>0</v>
      </c>
      <c r="Q693">
        <f t="shared" si="198"/>
        <v>0</v>
      </c>
      <c r="R693">
        <f t="shared" si="199"/>
        <v>0</v>
      </c>
      <c r="S693">
        <f t="shared" si="200"/>
        <v>0</v>
      </c>
      <c r="T693">
        <f t="shared" si="201"/>
        <v>0</v>
      </c>
      <c r="U693">
        <f t="shared" si="202"/>
        <v>0</v>
      </c>
      <c r="V693">
        <f t="shared" si="203"/>
        <v>0</v>
      </c>
      <c r="W693" t="s">
        <v>58</v>
      </c>
      <c r="X693">
        <f t="shared" si="204"/>
        <v>0</v>
      </c>
      <c r="Y693">
        <f t="shared" si="205"/>
        <v>1</v>
      </c>
      <c r="Z693">
        <v>3</v>
      </c>
      <c r="AA693">
        <f t="shared" si="206"/>
        <v>0.5</v>
      </c>
      <c r="AB693" t="s">
        <v>46</v>
      </c>
      <c r="AC693">
        <f t="shared" si="207"/>
        <v>1</v>
      </c>
      <c r="AD693">
        <f t="shared" si="208"/>
        <v>0</v>
      </c>
      <c r="AE693" t="s">
        <v>50</v>
      </c>
      <c r="AF693">
        <f>IF(AE693="website",1,0)</f>
        <v>0</v>
      </c>
    </row>
    <row r="694" spans="1:32">
      <c r="A694" t="s">
        <v>1318</v>
      </c>
      <c r="B694" t="s">
        <v>33</v>
      </c>
      <c r="C694" s="3">
        <f t="shared" si="190"/>
        <v>0</v>
      </c>
      <c r="D694">
        <f t="shared" si="191"/>
        <v>1</v>
      </c>
      <c r="E694" t="s">
        <v>875</v>
      </c>
      <c r="F694" t="s">
        <v>585</v>
      </c>
      <c r="G694" s="1">
        <v>20938</v>
      </c>
      <c r="H694" s="2">
        <f t="shared" ca="1" si="192"/>
        <v>69</v>
      </c>
      <c r="I694" s="2">
        <f t="shared" ca="1" si="193"/>
        <v>0.62857142857142856</v>
      </c>
      <c r="J694" t="s">
        <v>45</v>
      </c>
      <c r="K694" t="s">
        <v>37</v>
      </c>
      <c r="L694">
        <f t="shared" si="194"/>
        <v>1</v>
      </c>
      <c r="M694">
        <f t="shared" si="195"/>
        <v>0</v>
      </c>
      <c r="N694">
        <f t="shared" si="196"/>
        <v>0</v>
      </c>
      <c r="O694" t="s">
        <v>38</v>
      </c>
      <c r="P694">
        <f t="shared" si="197"/>
        <v>1</v>
      </c>
      <c r="Q694">
        <f t="shared" si="198"/>
        <v>0</v>
      </c>
      <c r="R694">
        <f t="shared" si="199"/>
        <v>0</v>
      </c>
      <c r="S694">
        <f t="shared" si="200"/>
        <v>0</v>
      </c>
      <c r="T694">
        <f t="shared" si="201"/>
        <v>0</v>
      </c>
      <c r="U694">
        <f t="shared" si="202"/>
        <v>0</v>
      </c>
      <c r="V694">
        <f t="shared" si="203"/>
        <v>0</v>
      </c>
      <c r="W694" t="s">
        <v>58</v>
      </c>
      <c r="X694">
        <f t="shared" si="204"/>
        <v>0</v>
      </c>
      <c r="Y694">
        <f t="shared" si="205"/>
        <v>1</v>
      </c>
      <c r="Z694">
        <v>5</v>
      </c>
      <c r="AA694">
        <f t="shared" si="206"/>
        <v>1</v>
      </c>
      <c r="AB694" t="s">
        <v>40</v>
      </c>
      <c r="AC694">
        <f t="shared" si="207"/>
        <v>1</v>
      </c>
      <c r="AD694">
        <f t="shared" si="208"/>
        <v>0</v>
      </c>
      <c r="AE694" t="s">
        <v>50</v>
      </c>
      <c r="AF694">
        <f>IF(AE694="website",1,0)</f>
        <v>0</v>
      </c>
    </row>
    <row r="695" spans="1:32">
      <c r="A695" t="s">
        <v>1319</v>
      </c>
      <c r="B695" t="s">
        <v>55</v>
      </c>
      <c r="C695" s="3">
        <f t="shared" si="190"/>
        <v>1</v>
      </c>
      <c r="D695">
        <f t="shared" si="191"/>
        <v>0</v>
      </c>
      <c r="E695" t="s">
        <v>1320</v>
      </c>
      <c r="F695" t="s">
        <v>57</v>
      </c>
      <c r="G695" s="1">
        <v>32702</v>
      </c>
      <c r="H695" s="2">
        <f t="shared" ca="1" si="192"/>
        <v>37</v>
      </c>
      <c r="I695" s="2">
        <f t="shared" ca="1" si="193"/>
        <v>0.17142857142857143</v>
      </c>
      <c r="J695" t="s">
        <v>45</v>
      </c>
      <c r="K695" t="s">
        <v>248</v>
      </c>
      <c r="L695">
        <f t="shared" si="194"/>
        <v>0</v>
      </c>
      <c r="M695">
        <f t="shared" si="195"/>
        <v>0</v>
      </c>
      <c r="N695">
        <f t="shared" si="196"/>
        <v>0</v>
      </c>
      <c r="O695" t="s">
        <v>411</v>
      </c>
      <c r="P695">
        <f t="shared" si="197"/>
        <v>0</v>
      </c>
      <c r="Q695">
        <f t="shared" si="198"/>
        <v>0</v>
      </c>
      <c r="R695">
        <f t="shared" si="199"/>
        <v>0</v>
      </c>
      <c r="S695">
        <f t="shared" si="200"/>
        <v>0</v>
      </c>
      <c r="T695">
        <f t="shared" si="201"/>
        <v>0</v>
      </c>
      <c r="U695">
        <f t="shared" si="202"/>
        <v>0</v>
      </c>
      <c r="V695">
        <f t="shared" si="203"/>
        <v>0</v>
      </c>
      <c r="W695" t="s">
        <v>58</v>
      </c>
      <c r="X695">
        <f t="shared" si="204"/>
        <v>0</v>
      </c>
      <c r="Y695">
        <f t="shared" si="205"/>
        <v>1</v>
      </c>
      <c r="Z695">
        <v>2</v>
      </c>
      <c r="AA695">
        <f t="shared" si="206"/>
        <v>0.25</v>
      </c>
      <c r="AB695" t="s">
        <v>46</v>
      </c>
      <c r="AC695">
        <f t="shared" si="207"/>
        <v>0</v>
      </c>
      <c r="AD695">
        <f t="shared" si="208"/>
        <v>0</v>
      </c>
      <c r="AE695" t="s">
        <v>41</v>
      </c>
      <c r="AF695">
        <f>IF(AE695="website",1,0)</f>
        <v>1</v>
      </c>
    </row>
    <row r="696" spans="1:32">
      <c r="A696" t="s">
        <v>1321</v>
      </c>
      <c r="B696" t="s">
        <v>33</v>
      </c>
      <c r="C696" s="3">
        <f t="shared" si="190"/>
        <v>0</v>
      </c>
      <c r="D696">
        <f t="shared" si="191"/>
        <v>1</v>
      </c>
      <c r="E696" t="s">
        <v>997</v>
      </c>
      <c r="F696" t="s">
        <v>709</v>
      </c>
      <c r="G696" s="1">
        <v>17250</v>
      </c>
      <c r="H696" s="2">
        <f t="shared" ca="1" si="192"/>
        <v>79</v>
      </c>
      <c r="I696" s="2">
        <f t="shared" ca="1" si="193"/>
        <v>0.77142857142857146</v>
      </c>
      <c r="J696" t="s">
        <v>45</v>
      </c>
      <c r="K696" t="s">
        <v>37</v>
      </c>
      <c r="L696">
        <f t="shared" si="194"/>
        <v>1</v>
      </c>
      <c r="M696">
        <f t="shared" si="195"/>
        <v>0</v>
      </c>
      <c r="N696">
        <f t="shared" si="196"/>
        <v>0</v>
      </c>
      <c r="O696" t="s">
        <v>565</v>
      </c>
      <c r="P696">
        <f t="shared" si="197"/>
        <v>0</v>
      </c>
      <c r="Q696">
        <f t="shared" si="198"/>
        <v>0</v>
      </c>
      <c r="R696">
        <f t="shared" si="199"/>
        <v>0</v>
      </c>
      <c r="S696">
        <f t="shared" si="200"/>
        <v>0</v>
      </c>
      <c r="T696">
        <f t="shared" si="201"/>
        <v>0</v>
      </c>
      <c r="U696">
        <f t="shared" si="202"/>
        <v>0</v>
      </c>
      <c r="V696">
        <f t="shared" si="203"/>
        <v>0</v>
      </c>
      <c r="W696" t="s">
        <v>39</v>
      </c>
      <c r="X696">
        <f t="shared" si="204"/>
        <v>1</v>
      </c>
      <c r="Y696">
        <f t="shared" si="205"/>
        <v>0</v>
      </c>
      <c r="Z696">
        <v>4</v>
      </c>
      <c r="AA696">
        <f t="shared" si="206"/>
        <v>0.75</v>
      </c>
      <c r="AB696" t="s">
        <v>46</v>
      </c>
      <c r="AC696">
        <f t="shared" si="207"/>
        <v>0</v>
      </c>
      <c r="AD696">
        <f t="shared" si="208"/>
        <v>0</v>
      </c>
      <c r="AE696" t="s">
        <v>41</v>
      </c>
      <c r="AF696">
        <f>IF(AE696="website",1,0)</f>
        <v>1</v>
      </c>
    </row>
    <row r="697" spans="1:32">
      <c r="A697" t="s">
        <v>1322</v>
      </c>
      <c r="B697" t="s">
        <v>33</v>
      </c>
      <c r="C697" s="3">
        <f t="shared" si="190"/>
        <v>0</v>
      </c>
      <c r="D697">
        <f t="shared" si="191"/>
        <v>1</v>
      </c>
      <c r="E697" t="s">
        <v>604</v>
      </c>
      <c r="F697" t="s">
        <v>554</v>
      </c>
      <c r="G697" s="1">
        <v>34399</v>
      </c>
      <c r="H697" s="2">
        <f t="shared" ca="1" si="192"/>
        <v>32</v>
      </c>
      <c r="I697" s="2">
        <f t="shared" ca="1" si="193"/>
        <v>0.1</v>
      </c>
      <c r="J697" t="s">
        <v>36</v>
      </c>
      <c r="K697" t="s">
        <v>37</v>
      </c>
      <c r="L697">
        <f t="shared" si="194"/>
        <v>1</v>
      </c>
      <c r="M697">
        <f t="shared" si="195"/>
        <v>0</v>
      </c>
      <c r="N697">
        <f t="shared" si="196"/>
        <v>0</v>
      </c>
      <c r="O697" t="s">
        <v>565</v>
      </c>
      <c r="P697">
        <f t="shared" si="197"/>
        <v>0</v>
      </c>
      <c r="Q697">
        <f t="shared" si="198"/>
        <v>0</v>
      </c>
      <c r="R697">
        <f t="shared" si="199"/>
        <v>0</v>
      </c>
      <c r="S697">
        <f t="shared" si="200"/>
        <v>0</v>
      </c>
      <c r="T697">
        <f t="shared" si="201"/>
        <v>0</v>
      </c>
      <c r="U697">
        <f t="shared" si="202"/>
        <v>0</v>
      </c>
      <c r="V697">
        <f t="shared" si="203"/>
        <v>0</v>
      </c>
      <c r="W697" t="s">
        <v>58</v>
      </c>
      <c r="X697">
        <f t="shared" si="204"/>
        <v>0</v>
      </c>
      <c r="Y697">
        <f t="shared" si="205"/>
        <v>1</v>
      </c>
      <c r="Z697">
        <v>5</v>
      </c>
      <c r="AA697">
        <f t="shared" si="206"/>
        <v>1</v>
      </c>
      <c r="AB697" t="s">
        <v>40</v>
      </c>
      <c r="AC697">
        <f t="shared" si="207"/>
        <v>1</v>
      </c>
      <c r="AD697">
        <f t="shared" si="208"/>
        <v>0</v>
      </c>
      <c r="AE697" t="s">
        <v>50</v>
      </c>
      <c r="AF697">
        <f>IF(AE697="website",1,0)</f>
        <v>0</v>
      </c>
    </row>
    <row r="698" spans="1:32">
      <c r="A698" t="s">
        <v>1323</v>
      </c>
      <c r="B698" t="s">
        <v>33</v>
      </c>
      <c r="C698" s="3">
        <f t="shared" si="190"/>
        <v>0</v>
      </c>
      <c r="D698">
        <f t="shared" si="191"/>
        <v>1</v>
      </c>
      <c r="E698" t="s">
        <v>1147</v>
      </c>
      <c r="F698" t="s">
        <v>1270</v>
      </c>
      <c r="G698" s="1">
        <v>31717</v>
      </c>
      <c r="H698" s="2">
        <f t="shared" ca="1" si="192"/>
        <v>39</v>
      </c>
      <c r="I698" s="2">
        <f t="shared" ca="1" si="193"/>
        <v>0.2</v>
      </c>
      <c r="J698" t="s">
        <v>45</v>
      </c>
      <c r="K698" t="s">
        <v>37</v>
      </c>
      <c r="L698">
        <f t="shared" si="194"/>
        <v>1</v>
      </c>
      <c r="M698">
        <f t="shared" si="195"/>
        <v>0</v>
      </c>
      <c r="N698">
        <f t="shared" si="196"/>
        <v>0</v>
      </c>
      <c r="O698" t="s">
        <v>38</v>
      </c>
      <c r="P698">
        <f t="shared" si="197"/>
        <v>1</v>
      </c>
      <c r="Q698">
        <f t="shared" si="198"/>
        <v>0</v>
      </c>
      <c r="R698">
        <f t="shared" si="199"/>
        <v>0</v>
      </c>
      <c r="S698">
        <f t="shared" si="200"/>
        <v>0</v>
      </c>
      <c r="T698">
        <f t="shared" si="201"/>
        <v>0</v>
      </c>
      <c r="U698">
        <f t="shared" si="202"/>
        <v>0</v>
      </c>
      <c r="V698">
        <f t="shared" si="203"/>
        <v>0</v>
      </c>
      <c r="W698" t="s">
        <v>58</v>
      </c>
      <c r="X698">
        <f t="shared" si="204"/>
        <v>0</v>
      </c>
      <c r="Y698">
        <f t="shared" si="205"/>
        <v>1</v>
      </c>
      <c r="Z698">
        <v>4</v>
      </c>
      <c r="AA698">
        <f t="shared" si="206"/>
        <v>0.75</v>
      </c>
      <c r="AB698" t="s">
        <v>40</v>
      </c>
      <c r="AC698">
        <f t="shared" si="207"/>
        <v>1</v>
      </c>
      <c r="AD698">
        <f t="shared" si="208"/>
        <v>0</v>
      </c>
      <c r="AE698" t="s">
        <v>50</v>
      </c>
      <c r="AF698">
        <f>IF(AE698="website",1,0)</f>
        <v>0</v>
      </c>
    </row>
    <row r="699" spans="1:32">
      <c r="A699" t="s">
        <v>1324</v>
      </c>
      <c r="B699" t="s">
        <v>33</v>
      </c>
      <c r="C699" s="3">
        <f t="shared" si="190"/>
        <v>0</v>
      </c>
      <c r="D699">
        <f t="shared" si="191"/>
        <v>1</v>
      </c>
      <c r="E699" t="s">
        <v>847</v>
      </c>
      <c r="F699" t="s">
        <v>941</v>
      </c>
      <c r="G699" s="1">
        <v>16999</v>
      </c>
      <c r="H699" s="2">
        <f t="shared" ca="1" si="192"/>
        <v>80</v>
      </c>
      <c r="I699" s="2">
        <f t="shared" ca="1" si="193"/>
        <v>0.7857142857142857</v>
      </c>
      <c r="J699" t="s">
        <v>36</v>
      </c>
      <c r="K699" t="s">
        <v>37</v>
      </c>
      <c r="L699">
        <f t="shared" si="194"/>
        <v>1</v>
      </c>
      <c r="M699">
        <f t="shared" si="195"/>
        <v>0</v>
      </c>
      <c r="N699">
        <f t="shared" si="196"/>
        <v>0</v>
      </c>
      <c r="O699" t="s">
        <v>38</v>
      </c>
      <c r="P699">
        <f t="shared" si="197"/>
        <v>1</v>
      </c>
      <c r="Q699">
        <f t="shared" si="198"/>
        <v>0</v>
      </c>
      <c r="R699">
        <f t="shared" si="199"/>
        <v>0</v>
      </c>
      <c r="S699">
        <f t="shared" si="200"/>
        <v>0</v>
      </c>
      <c r="T699">
        <f t="shared" si="201"/>
        <v>0</v>
      </c>
      <c r="U699">
        <f t="shared" si="202"/>
        <v>0</v>
      </c>
      <c r="V699">
        <f t="shared" si="203"/>
        <v>0</v>
      </c>
      <c r="W699" t="s">
        <v>39</v>
      </c>
      <c r="X699">
        <f t="shared" si="204"/>
        <v>1</v>
      </c>
      <c r="Y699">
        <f t="shared" si="205"/>
        <v>0</v>
      </c>
      <c r="Z699">
        <v>2</v>
      </c>
      <c r="AA699">
        <f t="shared" si="206"/>
        <v>0.25</v>
      </c>
      <c r="AB699" t="s">
        <v>40</v>
      </c>
      <c r="AC699">
        <f t="shared" si="207"/>
        <v>0</v>
      </c>
      <c r="AD699">
        <f t="shared" si="208"/>
        <v>0</v>
      </c>
      <c r="AE699" t="s">
        <v>41</v>
      </c>
      <c r="AF699">
        <f>IF(AE699="website",1,0)</f>
        <v>1</v>
      </c>
    </row>
    <row r="700" spans="1:32">
      <c r="A700" t="s">
        <v>1325</v>
      </c>
      <c r="B700" t="s">
        <v>33</v>
      </c>
      <c r="C700" s="3">
        <f t="shared" si="190"/>
        <v>0</v>
      </c>
      <c r="D700">
        <f t="shared" si="191"/>
        <v>1</v>
      </c>
      <c r="E700" t="s">
        <v>734</v>
      </c>
      <c r="F700" t="s">
        <v>378</v>
      </c>
      <c r="G700" s="1">
        <v>31768</v>
      </c>
      <c r="H700" s="2">
        <f t="shared" ca="1" si="192"/>
        <v>39</v>
      </c>
      <c r="I700" s="2">
        <f t="shared" ca="1" si="193"/>
        <v>0.2</v>
      </c>
      <c r="J700" t="s">
        <v>45</v>
      </c>
      <c r="K700" t="s">
        <v>37</v>
      </c>
      <c r="L700">
        <f t="shared" si="194"/>
        <v>1</v>
      </c>
      <c r="M700">
        <f t="shared" si="195"/>
        <v>0</v>
      </c>
      <c r="N700">
        <f t="shared" si="196"/>
        <v>0</v>
      </c>
      <c r="O700" t="s">
        <v>565</v>
      </c>
      <c r="P700">
        <f t="shared" si="197"/>
        <v>0</v>
      </c>
      <c r="Q700">
        <f t="shared" si="198"/>
        <v>0</v>
      </c>
      <c r="R700">
        <f t="shared" si="199"/>
        <v>0</v>
      </c>
      <c r="S700">
        <f t="shared" si="200"/>
        <v>0</v>
      </c>
      <c r="T700">
        <f t="shared" si="201"/>
        <v>0</v>
      </c>
      <c r="U700">
        <f t="shared" si="202"/>
        <v>0</v>
      </c>
      <c r="V700">
        <f t="shared" si="203"/>
        <v>0</v>
      </c>
      <c r="W700" t="s">
        <v>39</v>
      </c>
      <c r="X700">
        <f t="shared" si="204"/>
        <v>1</v>
      </c>
      <c r="Y700">
        <f t="shared" si="205"/>
        <v>0</v>
      </c>
      <c r="Z700">
        <v>1</v>
      </c>
      <c r="AA700">
        <f t="shared" si="206"/>
        <v>0</v>
      </c>
      <c r="AB700" t="s">
        <v>40</v>
      </c>
      <c r="AC700">
        <f t="shared" si="207"/>
        <v>1</v>
      </c>
      <c r="AD700">
        <f t="shared" si="208"/>
        <v>0</v>
      </c>
      <c r="AE700" t="s">
        <v>50</v>
      </c>
      <c r="AF700">
        <f>IF(AE700="website",1,0)</f>
        <v>0</v>
      </c>
    </row>
    <row r="701" spans="1:32">
      <c r="A701" t="s">
        <v>1326</v>
      </c>
      <c r="B701" t="s">
        <v>33</v>
      </c>
      <c r="C701" s="3">
        <f t="shared" si="190"/>
        <v>0</v>
      </c>
      <c r="D701">
        <f t="shared" si="191"/>
        <v>1</v>
      </c>
      <c r="E701" t="s">
        <v>644</v>
      </c>
      <c r="F701" t="s">
        <v>557</v>
      </c>
      <c r="G701" s="1">
        <v>16176</v>
      </c>
      <c r="H701" s="2">
        <f t="shared" ca="1" si="192"/>
        <v>82</v>
      </c>
      <c r="I701" s="2">
        <f t="shared" ca="1" si="193"/>
        <v>0.81428571428571428</v>
      </c>
      <c r="J701" t="s">
        <v>36</v>
      </c>
      <c r="K701" t="s">
        <v>37</v>
      </c>
      <c r="L701">
        <f t="shared" si="194"/>
        <v>1</v>
      </c>
      <c r="M701">
        <f t="shared" si="195"/>
        <v>0</v>
      </c>
      <c r="N701">
        <f t="shared" si="196"/>
        <v>0</v>
      </c>
      <c r="O701" t="s">
        <v>565</v>
      </c>
      <c r="P701">
        <f t="shared" si="197"/>
        <v>0</v>
      </c>
      <c r="Q701">
        <f t="shared" si="198"/>
        <v>0</v>
      </c>
      <c r="R701">
        <f t="shared" si="199"/>
        <v>0</v>
      </c>
      <c r="S701">
        <f t="shared" si="200"/>
        <v>0</v>
      </c>
      <c r="T701">
        <f t="shared" si="201"/>
        <v>0</v>
      </c>
      <c r="U701">
        <f t="shared" si="202"/>
        <v>0</v>
      </c>
      <c r="V701">
        <f t="shared" si="203"/>
        <v>0</v>
      </c>
      <c r="W701" t="s">
        <v>39</v>
      </c>
      <c r="X701">
        <f t="shared" si="204"/>
        <v>1</v>
      </c>
      <c r="Y701">
        <f t="shared" si="205"/>
        <v>0</v>
      </c>
      <c r="Z701">
        <v>5</v>
      </c>
      <c r="AA701">
        <f t="shared" si="206"/>
        <v>1</v>
      </c>
      <c r="AB701" t="s">
        <v>46</v>
      </c>
      <c r="AC701">
        <f t="shared" si="207"/>
        <v>0</v>
      </c>
      <c r="AD701">
        <f t="shared" si="208"/>
        <v>0</v>
      </c>
      <c r="AE701" t="s">
        <v>41</v>
      </c>
      <c r="AF701">
        <f>IF(AE701="website",1,0)</f>
        <v>1</v>
      </c>
    </row>
    <row r="702" spans="1:32">
      <c r="A702" t="s">
        <v>1327</v>
      </c>
      <c r="B702" t="s">
        <v>33</v>
      </c>
      <c r="C702" s="3">
        <f t="shared" si="190"/>
        <v>0</v>
      </c>
      <c r="D702">
        <f t="shared" si="191"/>
        <v>1</v>
      </c>
      <c r="E702" t="s">
        <v>784</v>
      </c>
      <c r="F702" t="s">
        <v>591</v>
      </c>
      <c r="G702" s="1">
        <v>22906</v>
      </c>
      <c r="H702" s="2">
        <f t="shared" ca="1" si="192"/>
        <v>64</v>
      </c>
      <c r="I702" s="2">
        <f t="shared" ca="1" si="193"/>
        <v>0.55714285714285716</v>
      </c>
      <c r="J702" t="s">
        <v>36</v>
      </c>
      <c r="K702" t="s">
        <v>248</v>
      </c>
      <c r="L702">
        <f t="shared" si="194"/>
        <v>0</v>
      </c>
      <c r="M702">
        <f t="shared" si="195"/>
        <v>0</v>
      </c>
      <c r="N702">
        <f t="shared" si="196"/>
        <v>0</v>
      </c>
      <c r="O702" t="s">
        <v>582</v>
      </c>
      <c r="P702">
        <f t="shared" si="197"/>
        <v>0</v>
      </c>
      <c r="Q702">
        <f t="shared" si="198"/>
        <v>0</v>
      </c>
      <c r="R702">
        <f t="shared" si="199"/>
        <v>0</v>
      </c>
      <c r="S702">
        <f t="shared" si="200"/>
        <v>0</v>
      </c>
      <c r="T702">
        <f t="shared" si="201"/>
        <v>0</v>
      </c>
      <c r="U702">
        <f t="shared" si="202"/>
        <v>0</v>
      </c>
      <c r="V702">
        <f t="shared" si="203"/>
        <v>0</v>
      </c>
      <c r="W702" t="s">
        <v>58</v>
      </c>
      <c r="X702">
        <f t="shared" si="204"/>
        <v>0</v>
      </c>
      <c r="Y702">
        <f t="shared" si="205"/>
        <v>1</v>
      </c>
      <c r="Z702">
        <v>1</v>
      </c>
      <c r="AA702">
        <f t="shared" si="206"/>
        <v>0</v>
      </c>
      <c r="AB702" t="s">
        <v>46</v>
      </c>
      <c r="AC702">
        <f t="shared" si="207"/>
        <v>0</v>
      </c>
      <c r="AD702">
        <f t="shared" si="208"/>
        <v>0</v>
      </c>
      <c r="AE702" t="s">
        <v>41</v>
      </c>
      <c r="AF702">
        <f>IF(AE702="website",1,0)</f>
        <v>1</v>
      </c>
    </row>
    <row r="703" spans="1:32">
      <c r="A703" t="s">
        <v>1328</v>
      </c>
      <c r="B703" t="s">
        <v>33</v>
      </c>
      <c r="C703" s="3">
        <f t="shared" si="190"/>
        <v>0</v>
      </c>
      <c r="D703">
        <f t="shared" si="191"/>
        <v>1</v>
      </c>
      <c r="E703" t="s">
        <v>596</v>
      </c>
      <c r="F703" t="s">
        <v>882</v>
      </c>
      <c r="G703" s="1">
        <v>24312</v>
      </c>
      <c r="H703" s="2">
        <f t="shared" ca="1" si="192"/>
        <v>60</v>
      </c>
      <c r="I703" s="2">
        <f t="shared" ca="1" si="193"/>
        <v>0.5</v>
      </c>
      <c r="J703" t="s">
        <v>45</v>
      </c>
      <c r="K703" t="s">
        <v>37</v>
      </c>
      <c r="L703">
        <f t="shared" si="194"/>
        <v>1</v>
      </c>
      <c r="M703">
        <f t="shared" si="195"/>
        <v>0</v>
      </c>
      <c r="N703">
        <f t="shared" si="196"/>
        <v>0</v>
      </c>
      <c r="O703" t="s">
        <v>97</v>
      </c>
      <c r="P703">
        <f t="shared" si="197"/>
        <v>0</v>
      </c>
      <c r="Q703">
        <f t="shared" si="198"/>
        <v>0</v>
      </c>
      <c r="R703">
        <f t="shared" si="199"/>
        <v>0</v>
      </c>
      <c r="S703">
        <f t="shared" si="200"/>
        <v>0</v>
      </c>
      <c r="T703">
        <f t="shared" si="201"/>
        <v>1</v>
      </c>
      <c r="U703">
        <f t="shared" si="202"/>
        <v>0</v>
      </c>
      <c r="V703">
        <f t="shared" si="203"/>
        <v>0</v>
      </c>
      <c r="W703" t="s">
        <v>39</v>
      </c>
      <c r="X703">
        <f t="shared" si="204"/>
        <v>1</v>
      </c>
      <c r="Y703">
        <f t="shared" si="205"/>
        <v>0</v>
      </c>
      <c r="Z703">
        <v>5</v>
      </c>
      <c r="AA703">
        <f t="shared" si="206"/>
        <v>1</v>
      </c>
      <c r="AB703" t="s">
        <v>46</v>
      </c>
      <c r="AC703">
        <f t="shared" si="207"/>
        <v>1</v>
      </c>
      <c r="AD703">
        <f t="shared" si="208"/>
        <v>0</v>
      </c>
      <c r="AE703" t="s">
        <v>50</v>
      </c>
      <c r="AF703">
        <f>IF(AE703="website",1,0)</f>
        <v>0</v>
      </c>
    </row>
    <row r="704" spans="1:32">
      <c r="A704" t="s">
        <v>1329</v>
      </c>
      <c r="B704" t="s">
        <v>55</v>
      </c>
      <c r="C704" s="3">
        <f t="shared" si="190"/>
        <v>1</v>
      </c>
      <c r="D704">
        <f t="shared" si="191"/>
        <v>0</v>
      </c>
      <c r="E704" t="s">
        <v>1330</v>
      </c>
      <c r="F704" t="s">
        <v>57</v>
      </c>
      <c r="G704" s="1">
        <v>30817</v>
      </c>
      <c r="H704" s="2">
        <f t="shared" ca="1" si="192"/>
        <v>42</v>
      </c>
      <c r="I704" s="2">
        <f t="shared" ca="1" si="193"/>
        <v>0.24285714285714285</v>
      </c>
      <c r="J704" t="s">
        <v>45</v>
      </c>
      <c r="K704" t="s">
        <v>37</v>
      </c>
      <c r="L704">
        <f t="shared" si="194"/>
        <v>1</v>
      </c>
      <c r="M704">
        <f t="shared" si="195"/>
        <v>0</v>
      </c>
      <c r="N704">
        <f t="shared" si="196"/>
        <v>0</v>
      </c>
      <c r="O704" t="s">
        <v>137</v>
      </c>
      <c r="P704">
        <f t="shared" si="197"/>
        <v>0</v>
      </c>
      <c r="Q704">
        <f t="shared" si="198"/>
        <v>0</v>
      </c>
      <c r="R704">
        <f t="shared" si="199"/>
        <v>0</v>
      </c>
      <c r="S704">
        <f t="shared" si="200"/>
        <v>0</v>
      </c>
      <c r="T704">
        <f t="shared" si="201"/>
        <v>0</v>
      </c>
      <c r="U704">
        <f t="shared" si="202"/>
        <v>0</v>
      </c>
      <c r="V704">
        <f t="shared" si="203"/>
        <v>0</v>
      </c>
      <c r="W704" t="s">
        <v>39</v>
      </c>
      <c r="X704">
        <f t="shared" si="204"/>
        <v>1</v>
      </c>
      <c r="Y704">
        <f t="shared" si="205"/>
        <v>0</v>
      </c>
      <c r="Z704">
        <v>3</v>
      </c>
      <c r="AA704">
        <f t="shared" si="206"/>
        <v>0.5</v>
      </c>
      <c r="AB704" t="s">
        <v>46</v>
      </c>
      <c r="AC704">
        <f t="shared" si="207"/>
        <v>0</v>
      </c>
      <c r="AD704">
        <f t="shared" si="208"/>
        <v>0</v>
      </c>
      <c r="AE704" t="s">
        <v>41</v>
      </c>
      <c r="AF704">
        <f>IF(AE704="website",1,0)</f>
        <v>1</v>
      </c>
    </row>
    <row r="705" spans="1:32">
      <c r="A705" t="s">
        <v>1331</v>
      </c>
      <c r="B705" t="s">
        <v>33</v>
      </c>
      <c r="C705" s="3">
        <f t="shared" si="190"/>
        <v>0</v>
      </c>
      <c r="D705">
        <f t="shared" si="191"/>
        <v>1</v>
      </c>
      <c r="E705" t="s">
        <v>976</v>
      </c>
      <c r="F705" t="s">
        <v>700</v>
      </c>
      <c r="G705" s="1">
        <v>15364</v>
      </c>
      <c r="H705" s="2">
        <f t="shared" ca="1" si="192"/>
        <v>84</v>
      </c>
      <c r="I705" s="2">
        <f t="shared" ca="1" si="193"/>
        <v>0.84285714285714286</v>
      </c>
      <c r="J705" t="s">
        <v>36</v>
      </c>
      <c r="K705" t="s">
        <v>37</v>
      </c>
      <c r="L705">
        <f t="shared" si="194"/>
        <v>1</v>
      </c>
      <c r="M705">
        <f t="shared" si="195"/>
        <v>0</v>
      </c>
      <c r="N705">
        <f t="shared" si="196"/>
        <v>0</v>
      </c>
      <c r="O705" t="s">
        <v>785</v>
      </c>
      <c r="P705">
        <f t="shared" si="197"/>
        <v>0</v>
      </c>
      <c r="Q705">
        <f t="shared" si="198"/>
        <v>0</v>
      </c>
      <c r="R705">
        <f t="shared" si="199"/>
        <v>0</v>
      </c>
      <c r="S705">
        <f t="shared" si="200"/>
        <v>0</v>
      </c>
      <c r="T705">
        <f t="shared" si="201"/>
        <v>0</v>
      </c>
      <c r="U705">
        <f t="shared" si="202"/>
        <v>0</v>
      </c>
      <c r="V705">
        <f t="shared" si="203"/>
        <v>0</v>
      </c>
      <c r="W705" t="s">
        <v>39</v>
      </c>
      <c r="X705">
        <f t="shared" si="204"/>
        <v>1</v>
      </c>
      <c r="Y705">
        <f t="shared" si="205"/>
        <v>0</v>
      </c>
      <c r="Z705">
        <v>4</v>
      </c>
      <c r="AA705">
        <f t="shared" si="206"/>
        <v>0.75</v>
      </c>
      <c r="AB705" t="s">
        <v>46</v>
      </c>
      <c r="AC705">
        <f t="shared" si="207"/>
        <v>1</v>
      </c>
      <c r="AD705">
        <f t="shared" si="208"/>
        <v>0</v>
      </c>
      <c r="AE705" t="s">
        <v>50</v>
      </c>
      <c r="AF705">
        <f>IF(AE705="website",1,0)</f>
        <v>0</v>
      </c>
    </row>
    <row r="706" spans="1:32">
      <c r="A706" t="s">
        <v>1332</v>
      </c>
      <c r="B706" t="s">
        <v>33</v>
      </c>
      <c r="C706" s="3">
        <f t="shared" ref="C706:C769" si="209">IF(B706="company",1,0)</f>
        <v>0</v>
      </c>
      <c r="D706">
        <f t="shared" ref="D706:D769" si="210">IF(B706="individual",1,0)</f>
        <v>1</v>
      </c>
      <c r="E706" t="s">
        <v>997</v>
      </c>
      <c r="F706" t="s">
        <v>764</v>
      </c>
      <c r="G706" s="1">
        <v>14963</v>
      </c>
      <c r="H706" s="2">
        <f t="shared" ref="H706:H769" ca="1" si="211">DATEDIF(G706,TODAY(),"Y")</f>
        <v>85</v>
      </c>
      <c r="I706" s="2">
        <f t="shared" ref="I706:I769" ca="1" si="212">(H706-MIN(H:H))/(MAX(H:H)-MIN(H:H))</f>
        <v>0.8571428571428571</v>
      </c>
      <c r="J706" t="s">
        <v>45</v>
      </c>
      <c r="K706" t="s">
        <v>37</v>
      </c>
      <c r="L706">
        <f t="shared" ref="L706:L769" si="213">IF(K706="usa",1,0)</f>
        <v>1</v>
      </c>
      <c r="M706">
        <f t="shared" ref="M706:M769" si="214">IF(K706="canada",1,0)</f>
        <v>0</v>
      </c>
      <c r="N706">
        <f t="shared" ref="N706:N769" si="215">IF(K706="germany",1,0)</f>
        <v>0</v>
      </c>
      <c r="O706" t="s">
        <v>124</v>
      </c>
      <c r="P706">
        <f t="shared" ref="P706:P769" si="216">IF(O706="california",1,0)</f>
        <v>0</v>
      </c>
      <c r="Q706">
        <f t="shared" ref="Q706:Q769" si="217">IF(O706="oregon",1,0)</f>
        <v>0</v>
      </c>
      <c r="R706">
        <f t="shared" ref="R706:R769" si="218">IF(O706="quebec",1,0)</f>
        <v>0</v>
      </c>
      <c r="S706">
        <f t="shared" ref="S706:S769" si="219">IF(O706="berlin",1,0)</f>
        <v>0</v>
      </c>
      <c r="T706">
        <f t="shared" ref="T706:T769" si="220">IF(O706="arizona",1,0)</f>
        <v>0</v>
      </c>
      <c r="U706">
        <f t="shared" ref="U706:U769" si="221">IF(O706="nevada",1,0)</f>
        <v>1</v>
      </c>
      <c r="V706">
        <f t="shared" ref="V706:V769" si="222">IF(O706="colardo",1,0)</f>
        <v>0</v>
      </c>
      <c r="W706" t="s">
        <v>39</v>
      </c>
      <c r="X706">
        <f t="shared" ref="X706:X769" si="223">IF(W706="home",1,0)</f>
        <v>1</v>
      </c>
      <c r="Y706">
        <f t="shared" ref="Y706:Y769" si="224">IF(W706="investment",1,0)</f>
        <v>0</v>
      </c>
      <c r="Z706">
        <v>3</v>
      </c>
      <c r="AA706">
        <f t="shared" ref="AA706:AA769" si="225">(Z706-1)/4</f>
        <v>0.5</v>
      </c>
      <c r="AB706" t="s">
        <v>46</v>
      </c>
      <c r="AC706">
        <f t="shared" ref="AC706:AC769" si="226">IF(AE706="agency",1,0)</f>
        <v>0</v>
      </c>
      <c r="AD706">
        <f t="shared" ref="AD706:AD769" si="227">IF(AE706="client",1,0)</f>
        <v>0</v>
      </c>
      <c r="AE706" t="s">
        <v>41</v>
      </c>
      <c r="AF706">
        <f>IF(AE706="website",1,0)</f>
        <v>1</v>
      </c>
    </row>
    <row r="707" spans="1:32">
      <c r="A707" t="s">
        <v>1333</v>
      </c>
      <c r="B707" t="s">
        <v>33</v>
      </c>
      <c r="C707" s="3">
        <f t="shared" si="209"/>
        <v>0</v>
      </c>
      <c r="D707">
        <f t="shared" si="210"/>
        <v>1</v>
      </c>
      <c r="E707" t="s">
        <v>655</v>
      </c>
      <c r="F707" t="s">
        <v>1041</v>
      </c>
      <c r="G707" s="1">
        <v>30856</v>
      </c>
      <c r="H707" s="2">
        <f t="shared" ca="1" si="211"/>
        <v>42</v>
      </c>
      <c r="I707" s="2">
        <f t="shared" ca="1" si="212"/>
        <v>0.24285714285714285</v>
      </c>
      <c r="J707" t="s">
        <v>45</v>
      </c>
      <c r="K707" t="s">
        <v>248</v>
      </c>
      <c r="L707">
        <f t="shared" si="213"/>
        <v>0</v>
      </c>
      <c r="M707">
        <f t="shared" si="214"/>
        <v>0</v>
      </c>
      <c r="N707">
        <f t="shared" si="215"/>
        <v>0</v>
      </c>
      <c r="O707" t="s">
        <v>582</v>
      </c>
      <c r="P707">
        <f t="shared" si="216"/>
        <v>0</v>
      </c>
      <c r="Q707">
        <f t="shared" si="217"/>
        <v>0</v>
      </c>
      <c r="R707">
        <f t="shared" si="218"/>
        <v>0</v>
      </c>
      <c r="S707">
        <f t="shared" si="219"/>
        <v>0</v>
      </c>
      <c r="T707">
        <f t="shared" si="220"/>
        <v>0</v>
      </c>
      <c r="U707">
        <f t="shared" si="221"/>
        <v>0</v>
      </c>
      <c r="V707">
        <f t="shared" si="222"/>
        <v>0</v>
      </c>
      <c r="W707" t="s">
        <v>58</v>
      </c>
      <c r="X707">
        <f t="shared" si="223"/>
        <v>0</v>
      </c>
      <c r="Y707">
        <f t="shared" si="224"/>
        <v>1</v>
      </c>
      <c r="Z707">
        <v>2</v>
      </c>
      <c r="AA707">
        <f t="shared" si="225"/>
        <v>0.25</v>
      </c>
      <c r="AB707" t="s">
        <v>46</v>
      </c>
      <c r="AC707">
        <f t="shared" si="226"/>
        <v>0</v>
      </c>
      <c r="AD707">
        <f t="shared" si="227"/>
        <v>1</v>
      </c>
      <c r="AE707" t="s">
        <v>90</v>
      </c>
      <c r="AF707">
        <f>IF(AE707="website",1,0)</f>
        <v>0</v>
      </c>
    </row>
    <row r="708" spans="1:32">
      <c r="A708" t="s">
        <v>1334</v>
      </c>
      <c r="B708" t="s">
        <v>33</v>
      </c>
      <c r="C708" s="3">
        <f t="shared" si="209"/>
        <v>0</v>
      </c>
      <c r="D708">
        <f t="shared" si="210"/>
        <v>1</v>
      </c>
      <c r="E708" t="s">
        <v>842</v>
      </c>
      <c r="F708" t="s">
        <v>695</v>
      </c>
      <c r="G708" s="1">
        <v>34965</v>
      </c>
      <c r="H708" s="2">
        <f t="shared" ca="1" si="211"/>
        <v>31</v>
      </c>
      <c r="I708" s="2">
        <f t="shared" ca="1" si="212"/>
        <v>8.5714285714285715E-2</v>
      </c>
      <c r="J708" t="s">
        <v>45</v>
      </c>
      <c r="K708" t="s">
        <v>37</v>
      </c>
      <c r="L708">
        <f t="shared" si="213"/>
        <v>1</v>
      </c>
      <c r="M708">
        <f t="shared" si="214"/>
        <v>0</v>
      </c>
      <c r="N708">
        <f t="shared" si="215"/>
        <v>0</v>
      </c>
      <c r="O708" t="s">
        <v>305</v>
      </c>
      <c r="P708">
        <f t="shared" si="216"/>
        <v>0</v>
      </c>
      <c r="Q708">
        <f t="shared" si="217"/>
        <v>0</v>
      </c>
      <c r="R708">
        <f t="shared" si="218"/>
        <v>0</v>
      </c>
      <c r="S708">
        <f t="shared" si="219"/>
        <v>0</v>
      </c>
      <c r="T708">
        <f t="shared" si="220"/>
        <v>0</v>
      </c>
      <c r="U708">
        <f t="shared" si="221"/>
        <v>0</v>
      </c>
      <c r="V708">
        <f t="shared" si="222"/>
        <v>0</v>
      </c>
      <c r="W708" t="s">
        <v>39</v>
      </c>
      <c r="X708">
        <f t="shared" si="223"/>
        <v>1</v>
      </c>
      <c r="Y708">
        <f t="shared" si="224"/>
        <v>0</v>
      </c>
      <c r="Z708">
        <v>5</v>
      </c>
      <c r="AA708">
        <f t="shared" si="225"/>
        <v>1</v>
      </c>
      <c r="AB708" t="s">
        <v>40</v>
      </c>
      <c r="AC708">
        <f t="shared" si="226"/>
        <v>0</v>
      </c>
      <c r="AD708">
        <f t="shared" si="227"/>
        <v>0</v>
      </c>
      <c r="AE708" t="s">
        <v>41</v>
      </c>
      <c r="AF708">
        <f>IF(AE708="website",1,0)</f>
        <v>1</v>
      </c>
    </row>
    <row r="709" spans="1:32">
      <c r="A709" t="s">
        <v>1335</v>
      </c>
      <c r="B709" t="s">
        <v>33</v>
      </c>
      <c r="C709" s="3">
        <f t="shared" si="209"/>
        <v>0</v>
      </c>
      <c r="D709">
        <f t="shared" si="210"/>
        <v>1</v>
      </c>
      <c r="E709" t="s">
        <v>986</v>
      </c>
      <c r="F709" t="s">
        <v>876</v>
      </c>
      <c r="G709" s="1">
        <v>23709</v>
      </c>
      <c r="H709" s="2">
        <f t="shared" ca="1" si="211"/>
        <v>61</v>
      </c>
      <c r="I709" s="2">
        <f t="shared" ca="1" si="212"/>
        <v>0.51428571428571423</v>
      </c>
      <c r="J709" t="s">
        <v>45</v>
      </c>
      <c r="K709" t="s">
        <v>37</v>
      </c>
      <c r="L709">
        <f t="shared" si="213"/>
        <v>1</v>
      </c>
      <c r="M709">
        <f t="shared" si="214"/>
        <v>0</v>
      </c>
      <c r="N709">
        <f t="shared" si="215"/>
        <v>0</v>
      </c>
      <c r="O709" t="s">
        <v>38</v>
      </c>
      <c r="P709">
        <f t="shared" si="216"/>
        <v>1</v>
      </c>
      <c r="Q709">
        <f t="shared" si="217"/>
        <v>0</v>
      </c>
      <c r="R709">
        <f t="shared" si="218"/>
        <v>0</v>
      </c>
      <c r="S709">
        <f t="shared" si="219"/>
        <v>0</v>
      </c>
      <c r="T709">
        <f t="shared" si="220"/>
        <v>0</v>
      </c>
      <c r="U709">
        <f t="shared" si="221"/>
        <v>0</v>
      </c>
      <c r="V709">
        <f t="shared" si="222"/>
        <v>0</v>
      </c>
      <c r="W709" t="s">
        <v>39</v>
      </c>
      <c r="X709">
        <f t="shared" si="223"/>
        <v>1</v>
      </c>
      <c r="Y709">
        <f t="shared" si="224"/>
        <v>0</v>
      </c>
      <c r="Z709">
        <v>2</v>
      </c>
      <c r="AA709">
        <f t="shared" si="225"/>
        <v>0.25</v>
      </c>
      <c r="AB709" t="s">
        <v>46</v>
      </c>
      <c r="AC709">
        <f t="shared" si="226"/>
        <v>0</v>
      </c>
      <c r="AD709">
        <f t="shared" si="227"/>
        <v>1</v>
      </c>
      <c r="AE709" t="s">
        <v>90</v>
      </c>
      <c r="AF709">
        <f>IF(AE709="website",1,0)</f>
        <v>0</v>
      </c>
    </row>
    <row r="710" spans="1:32">
      <c r="A710" t="s">
        <v>1336</v>
      </c>
      <c r="B710" t="s">
        <v>33</v>
      </c>
      <c r="C710" s="3">
        <f t="shared" si="209"/>
        <v>0</v>
      </c>
      <c r="D710">
        <f t="shared" si="210"/>
        <v>1</v>
      </c>
      <c r="E710" t="s">
        <v>879</v>
      </c>
      <c r="F710" t="s">
        <v>664</v>
      </c>
      <c r="G710" s="1">
        <v>30261</v>
      </c>
      <c r="H710" s="2">
        <f t="shared" ca="1" si="211"/>
        <v>43</v>
      </c>
      <c r="I710" s="2">
        <f t="shared" ca="1" si="212"/>
        <v>0.25714285714285712</v>
      </c>
      <c r="J710" t="s">
        <v>36</v>
      </c>
      <c r="K710" t="s">
        <v>37</v>
      </c>
      <c r="L710">
        <f t="shared" si="213"/>
        <v>1</v>
      </c>
      <c r="M710">
        <f t="shared" si="214"/>
        <v>0</v>
      </c>
      <c r="N710">
        <f t="shared" si="215"/>
        <v>0</v>
      </c>
      <c r="O710" t="s">
        <v>785</v>
      </c>
      <c r="P710">
        <f t="shared" si="216"/>
        <v>0</v>
      </c>
      <c r="Q710">
        <f t="shared" si="217"/>
        <v>0</v>
      </c>
      <c r="R710">
        <f t="shared" si="218"/>
        <v>0</v>
      </c>
      <c r="S710">
        <f t="shared" si="219"/>
        <v>0</v>
      </c>
      <c r="T710">
        <f t="shared" si="220"/>
        <v>0</v>
      </c>
      <c r="U710">
        <f t="shared" si="221"/>
        <v>0</v>
      </c>
      <c r="V710">
        <f t="shared" si="222"/>
        <v>0</v>
      </c>
      <c r="W710" t="s">
        <v>39</v>
      </c>
      <c r="X710">
        <f t="shared" si="223"/>
        <v>1</v>
      </c>
      <c r="Y710">
        <f t="shared" si="224"/>
        <v>0</v>
      </c>
      <c r="Z710">
        <v>2</v>
      </c>
      <c r="AA710">
        <f t="shared" si="225"/>
        <v>0.25</v>
      </c>
      <c r="AB710" t="s">
        <v>40</v>
      </c>
      <c r="AC710">
        <f t="shared" si="226"/>
        <v>1</v>
      </c>
      <c r="AD710">
        <f t="shared" si="227"/>
        <v>0</v>
      </c>
      <c r="AE710" t="s">
        <v>50</v>
      </c>
      <c r="AF710">
        <f>IF(AE710="website",1,0)</f>
        <v>0</v>
      </c>
    </row>
    <row r="711" spans="1:32">
      <c r="A711" t="s">
        <v>1337</v>
      </c>
      <c r="B711" t="s">
        <v>33</v>
      </c>
      <c r="C711" s="3">
        <f t="shared" si="209"/>
        <v>0</v>
      </c>
      <c r="D711">
        <f t="shared" si="210"/>
        <v>1</v>
      </c>
      <c r="E711" t="s">
        <v>655</v>
      </c>
      <c r="F711" t="s">
        <v>773</v>
      </c>
      <c r="G711" s="1">
        <v>17032</v>
      </c>
      <c r="H711" s="2">
        <f t="shared" ca="1" si="211"/>
        <v>80</v>
      </c>
      <c r="I711" s="2">
        <f t="shared" ca="1" si="212"/>
        <v>0.7857142857142857</v>
      </c>
      <c r="J711" t="s">
        <v>45</v>
      </c>
      <c r="K711" t="s">
        <v>37</v>
      </c>
      <c r="L711">
        <f t="shared" si="213"/>
        <v>1</v>
      </c>
      <c r="M711">
        <f t="shared" si="214"/>
        <v>0</v>
      </c>
      <c r="N711">
        <f t="shared" si="215"/>
        <v>0</v>
      </c>
      <c r="O711" t="s">
        <v>76</v>
      </c>
      <c r="P711">
        <f t="shared" si="216"/>
        <v>0</v>
      </c>
      <c r="Q711">
        <f t="shared" si="217"/>
        <v>1</v>
      </c>
      <c r="R711">
        <f t="shared" si="218"/>
        <v>0</v>
      </c>
      <c r="S711">
        <f t="shared" si="219"/>
        <v>0</v>
      </c>
      <c r="T711">
        <f t="shared" si="220"/>
        <v>0</v>
      </c>
      <c r="U711">
        <f t="shared" si="221"/>
        <v>0</v>
      </c>
      <c r="V711">
        <f t="shared" si="222"/>
        <v>0</v>
      </c>
      <c r="W711" t="s">
        <v>39</v>
      </c>
      <c r="X711">
        <f t="shared" si="223"/>
        <v>1</v>
      </c>
      <c r="Y711">
        <f t="shared" si="224"/>
        <v>0</v>
      </c>
      <c r="Z711">
        <v>2</v>
      </c>
      <c r="AA711">
        <f t="shared" si="225"/>
        <v>0.25</v>
      </c>
      <c r="AB711" t="s">
        <v>40</v>
      </c>
      <c r="AC711">
        <f t="shared" si="226"/>
        <v>1</v>
      </c>
      <c r="AD711">
        <f t="shared" si="227"/>
        <v>0</v>
      </c>
      <c r="AE711" t="s">
        <v>50</v>
      </c>
      <c r="AF711">
        <f>IF(AE711="website",1,0)</f>
        <v>0</v>
      </c>
    </row>
    <row r="712" spans="1:32">
      <c r="A712" t="s">
        <v>1338</v>
      </c>
      <c r="B712" t="s">
        <v>33</v>
      </c>
      <c r="C712" s="3">
        <f t="shared" si="209"/>
        <v>0</v>
      </c>
      <c r="D712">
        <f t="shared" si="210"/>
        <v>1</v>
      </c>
      <c r="E712" t="s">
        <v>1061</v>
      </c>
      <c r="F712" t="s">
        <v>716</v>
      </c>
      <c r="G712" s="1">
        <v>34992</v>
      </c>
      <c r="H712" s="2">
        <f t="shared" ca="1" si="211"/>
        <v>30</v>
      </c>
      <c r="I712" s="2">
        <f t="shared" ca="1" si="212"/>
        <v>7.1428571428571425E-2</v>
      </c>
      <c r="J712" t="s">
        <v>36</v>
      </c>
      <c r="K712" t="s">
        <v>37</v>
      </c>
      <c r="L712">
        <f t="shared" si="213"/>
        <v>1</v>
      </c>
      <c r="M712">
        <f t="shared" si="214"/>
        <v>0</v>
      </c>
      <c r="N712">
        <f t="shared" si="215"/>
        <v>0</v>
      </c>
      <c r="O712" t="s">
        <v>38</v>
      </c>
      <c r="P712">
        <f t="shared" si="216"/>
        <v>1</v>
      </c>
      <c r="Q712">
        <f t="shared" si="217"/>
        <v>0</v>
      </c>
      <c r="R712">
        <f t="shared" si="218"/>
        <v>0</v>
      </c>
      <c r="S712">
        <f t="shared" si="219"/>
        <v>0</v>
      </c>
      <c r="T712">
        <f t="shared" si="220"/>
        <v>0</v>
      </c>
      <c r="U712">
        <f t="shared" si="221"/>
        <v>0</v>
      </c>
      <c r="V712">
        <f t="shared" si="222"/>
        <v>0</v>
      </c>
      <c r="W712" t="s">
        <v>58</v>
      </c>
      <c r="X712">
        <f t="shared" si="223"/>
        <v>0</v>
      </c>
      <c r="Y712">
        <f t="shared" si="224"/>
        <v>1</v>
      </c>
      <c r="Z712">
        <v>3</v>
      </c>
      <c r="AA712">
        <f t="shared" si="225"/>
        <v>0.5</v>
      </c>
      <c r="AB712" t="s">
        <v>46</v>
      </c>
      <c r="AC712">
        <f t="shared" si="226"/>
        <v>1</v>
      </c>
      <c r="AD712">
        <f t="shared" si="227"/>
        <v>0</v>
      </c>
      <c r="AE712" t="s">
        <v>50</v>
      </c>
      <c r="AF712">
        <f>IF(AE712="website",1,0)</f>
        <v>0</v>
      </c>
    </row>
    <row r="713" spans="1:32">
      <c r="A713" t="s">
        <v>1339</v>
      </c>
      <c r="B713" t="s">
        <v>33</v>
      </c>
      <c r="C713" s="3">
        <f t="shared" si="209"/>
        <v>0</v>
      </c>
      <c r="D713">
        <f t="shared" si="210"/>
        <v>1</v>
      </c>
      <c r="E713" t="s">
        <v>126</v>
      </c>
      <c r="F713" t="s">
        <v>941</v>
      </c>
      <c r="G713" s="1">
        <v>33259</v>
      </c>
      <c r="H713" s="2">
        <f t="shared" ca="1" si="211"/>
        <v>35</v>
      </c>
      <c r="I713" s="2">
        <f t="shared" ca="1" si="212"/>
        <v>0.14285714285714285</v>
      </c>
      <c r="J713" t="s">
        <v>45</v>
      </c>
      <c r="K713" t="s">
        <v>37</v>
      </c>
      <c r="L713">
        <f t="shared" si="213"/>
        <v>1</v>
      </c>
      <c r="M713">
        <f t="shared" si="214"/>
        <v>0</v>
      </c>
      <c r="N713">
        <f t="shared" si="215"/>
        <v>0</v>
      </c>
      <c r="O713" t="s">
        <v>38</v>
      </c>
      <c r="P713">
        <f t="shared" si="216"/>
        <v>1</v>
      </c>
      <c r="Q713">
        <f t="shared" si="217"/>
        <v>0</v>
      </c>
      <c r="R713">
        <f t="shared" si="218"/>
        <v>0</v>
      </c>
      <c r="S713">
        <f t="shared" si="219"/>
        <v>0</v>
      </c>
      <c r="T713">
        <f t="shared" si="220"/>
        <v>0</v>
      </c>
      <c r="U713">
        <f t="shared" si="221"/>
        <v>0</v>
      </c>
      <c r="V713">
        <f t="shared" si="222"/>
        <v>0</v>
      </c>
      <c r="W713" t="s">
        <v>39</v>
      </c>
      <c r="X713">
        <f t="shared" si="223"/>
        <v>1</v>
      </c>
      <c r="Y713">
        <f t="shared" si="224"/>
        <v>0</v>
      </c>
      <c r="Z713">
        <v>1</v>
      </c>
      <c r="AA713">
        <f t="shared" si="225"/>
        <v>0</v>
      </c>
      <c r="AB713" t="s">
        <v>46</v>
      </c>
      <c r="AC713">
        <f t="shared" si="226"/>
        <v>1</v>
      </c>
      <c r="AD713">
        <f t="shared" si="227"/>
        <v>0</v>
      </c>
      <c r="AE713" t="s">
        <v>50</v>
      </c>
      <c r="AF713">
        <f>IF(AE713="website",1,0)</f>
        <v>0</v>
      </c>
    </row>
    <row r="714" spans="1:32">
      <c r="A714" t="s">
        <v>1340</v>
      </c>
      <c r="B714" t="s">
        <v>33</v>
      </c>
      <c r="C714" s="3">
        <f t="shared" si="209"/>
        <v>0</v>
      </c>
      <c r="D714">
        <f t="shared" si="210"/>
        <v>1</v>
      </c>
      <c r="E714" t="s">
        <v>1010</v>
      </c>
      <c r="F714" t="s">
        <v>1041</v>
      </c>
      <c r="G714" s="1">
        <v>35475</v>
      </c>
      <c r="H714" s="2">
        <f t="shared" ca="1" si="211"/>
        <v>29</v>
      </c>
      <c r="I714" s="2">
        <f t="shared" ca="1" si="212"/>
        <v>5.7142857142857141E-2</v>
      </c>
      <c r="J714" t="s">
        <v>36</v>
      </c>
      <c r="K714" t="s">
        <v>37</v>
      </c>
      <c r="L714">
        <f t="shared" si="213"/>
        <v>1</v>
      </c>
      <c r="M714">
        <f t="shared" si="214"/>
        <v>0</v>
      </c>
      <c r="N714">
        <f t="shared" si="215"/>
        <v>0</v>
      </c>
      <c r="O714" t="s">
        <v>38</v>
      </c>
      <c r="P714">
        <f t="shared" si="216"/>
        <v>1</v>
      </c>
      <c r="Q714">
        <f t="shared" si="217"/>
        <v>0</v>
      </c>
      <c r="R714">
        <f t="shared" si="218"/>
        <v>0</v>
      </c>
      <c r="S714">
        <f t="shared" si="219"/>
        <v>0</v>
      </c>
      <c r="T714">
        <f t="shared" si="220"/>
        <v>0</v>
      </c>
      <c r="U714">
        <f t="shared" si="221"/>
        <v>0</v>
      </c>
      <c r="V714">
        <f t="shared" si="222"/>
        <v>0</v>
      </c>
      <c r="W714" t="s">
        <v>58</v>
      </c>
      <c r="X714">
        <f t="shared" si="223"/>
        <v>0</v>
      </c>
      <c r="Y714">
        <f t="shared" si="224"/>
        <v>1</v>
      </c>
      <c r="Z714">
        <v>3</v>
      </c>
      <c r="AA714">
        <f t="shared" si="225"/>
        <v>0.5</v>
      </c>
      <c r="AB714" t="s">
        <v>46</v>
      </c>
      <c r="AC714">
        <f t="shared" si="226"/>
        <v>1</v>
      </c>
      <c r="AD714">
        <f t="shared" si="227"/>
        <v>0</v>
      </c>
      <c r="AE714" t="s">
        <v>50</v>
      </c>
      <c r="AF714">
        <f>IF(AE714="website",1,0)</f>
        <v>0</v>
      </c>
    </row>
    <row r="715" spans="1:32">
      <c r="A715" t="s">
        <v>1341</v>
      </c>
      <c r="B715" t="s">
        <v>33</v>
      </c>
      <c r="C715" s="3">
        <f t="shared" si="209"/>
        <v>0</v>
      </c>
      <c r="D715">
        <f t="shared" si="210"/>
        <v>1</v>
      </c>
      <c r="E715" t="s">
        <v>655</v>
      </c>
      <c r="F715" t="s">
        <v>764</v>
      </c>
      <c r="G715" s="1">
        <v>28128</v>
      </c>
      <c r="H715" s="2">
        <f t="shared" ca="1" si="211"/>
        <v>49</v>
      </c>
      <c r="I715" s="2">
        <f t="shared" ca="1" si="212"/>
        <v>0.34285714285714286</v>
      </c>
      <c r="J715" t="s">
        <v>45</v>
      </c>
      <c r="K715" t="s">
        <v>172</v>
      </c>
      <c r="L715">
        <f t="shared" si="213"/>
        <v>0</v>
      </c>
      <c r="M715">
        <f t="shared" si="214"/>
        <v>0</v>
      </c>
      <c r="N715">
        <f t="shared" si="215"/>
        <v>0</v>
      </c>
      <c r="O715" t="s">
        <v>355</v>
      </c>
      <c r="P715">
        <f t="shared" si="216"/>
        <v>0</v>
      </c>
      <c r="Q715">
        <f t="shared" si="217"/>
        <v>0</v>
      </c>
      <c r="R715">
        <f t="shared" si="218"/>
        <v>0</v>
      </c>
      <c r="S715">
        <f t="shared" si="219"/>
        <v>0</v>
      </c>
      <c r="T715">
        <f t="shared" si="220"/>
        <v>0</v>
      </c>
      <c r="U715">
        <f t="shared" si="221"/>
        <v>0</v>
      </c>
      <c r="V715">
        <f t="shared" si="222"/>
        <v>0</v>
      </c>
      <c r="W715" t="s">
        <v>39</v>
      </c>
      <c r="X715">
        <f t="shared" si="223"/>
        <v>1</v>
      </c>
      <c r="Y715">
        <f t="shared" si="224"/>
        <v>0</v>
      </c>
      <c r="Z715">
        <v>3</v>
      </c>
      <c r="AA715">
        <f t="shared" si="225"/>
        <v>0.5</v>
      </c>
      <c r="AB715" t="s">
        <v>46</v>
      </c>
      <c r="AC715">
        <f t="shared" si="226"/>
        <v>0</v>
      </c>
      <c r="AD715">
        <f t="shared" si="227"/>
        <v>0</v>
      </c>
      <c r="AE715" t="s">
        <v>41</v>
      </c>
      <c r="AF715">
        <f>IF(AE715="website",1,0)</f>
        <v>1</v>
      </c>
    </row>
    <row r="716" spans="1:32">
      <c r="A716" t="s">
        <v>1342</v>
      </c>
      <c r="B716" t="s">
        <v>33</v>
      </c>
      <c r="C716" s="3">
        <f t="shared" si="209"/>
        <v>0</v>
      </c>
      <c r="D716">
        <f t="shared" si="210"/>
        <v>1</v>
      </c>
      <c r="E716" t="s">
        <v>663</v>
      </c>
      <c r="F716" t="s">
        <v>571</v>
      </c>
      <c r="G716" s="1">
        <v>30168</v>
      </c>
      <c r="H716" s="2">
        <f t="shared" ca="1" si="211"/>
        <v>44</v>
      </c>
      <c r="I716" s="2">
        <f t="shared" ca="1" si="212"/>
        <v>0.27142857142857141</v>
      </c>
      <c r="J716" t="s">
        <v>36</v>
      </c>
      <c r="K716" t="s">
        <v>37</v>
      </c>
      <c r="L716">
        <f t="shared" si="213"/>
        <v>1</v>
      </c>
      <c r="M716">
        <f t="shared" si="214"/>
        <v>0</v>
      </c>
      <c r="N716">
        <f t="shared" si="215"/>
        <v>0</v>
      </c>
      <c r="O716" t="s">
        <v>183</v>
      </c>
      <c r="P716">
        <f t="shared" si="216"/>
        <v>0</v>
      </c>
      <c r="Q716">
        <f t="shared" si="217"/>
        <v>0</v>
      </c>
      <c r="R716">
        <f t="shared" si="218"/>
        <v>0</v>
      </c>
      <c r="S716">
        <f t="shared" si="219"/>
        <v>0</v>
      </c>
      <c r="T716">
        <f t="shared" si="220"/>
        <v>0</v>
      </c>
      <c r="U716">
        <f t="shared" si="221"/>
        <v>0</v>
      </c>
      <c r="V716">
        <f t="shared" si="222"/>
        <v>0</v>
      </c>
      <c r="W716" t="s">
        <v>39</v>
      </c>
      <c r="X716">
        <f t="shared" si="223"/>
        <v>1</v>
      </c>
      <c r="Y716">
        <f t="shared" si="224"/>
        <v>0</v>
      </c>
      <c r="Z716">
        <v>3</v>
      </c>
      <c r="AA716">
        <f t="shared" si="225"/>
        <v>0.5</v>
      </c>
      <c r="AB716" t="s">
        <v>46</v>
      </c>
      <c r="AC716">
        <f t="shared" si="226"/>
        <v>0</v>
      </c>
      <c r="AD716">
        <f t="shared" si="227"/>
        <v>0</v>
      </c>
      <c r="AE716" t="s">
        <v>41</v>
      </c>
      <c r="AF716">
        <f>IF(AE716="website",1,0)</f>
        <v>1</v>
      </c>
    </row>
    <row r="717" spans="1:32">
      <c r="A717" t="s">
        <v>1343</v>
      </c>
      <c r="B717" t="s">
        <v>33</v>
      </c>
      <c r="C717" s="3">
        <f t="shared" si="209"/>
        <v>0</v>
      </c>
      <c r="D717">
        <f t="shared" si="210"/>
        <v>1</v>
      </c>
      <c r="E717" t="s">
        <v>700</v>
      </c>
      <c r="F717" t="s">
        <v>840</v>
      </c>
      <c r="G717" s="1">
        <v>34631</v>
      </c>
      <c r="H717" s="2">
        <f t="shared" ca="1" si="211"/>
        <v>31</v>
      </c>
      <c r="I717" s="2">
        <f t="shared" ca="1" si="212"/>
        <v>8.5714285714285715E-2</v>
      </c>
      <c r="J717" t="s">
        <v>45</v>
      </c>
      <c r="K717" t="s">
        <v>248</v>
      </c>
      <c r="L717">
        <f t="shared" si="213"/>
        <v>0</v>
      </c>
      <c r="M717">
        <f t="shared" si="214"/>
        <v>0</v>
      </c>
      <c r="N717">
        <f t="shared" si="215"/>
        <v>0</v>
      </c>
      <c r="O717" t="s">
        <v>249</v>
      </c>
      <c r="P717">
        <f t="shared" si="216"/>
        <v>0</v>
      </c>
      <c r="Q717">
        <f t="shared" si="217"/>
        <v>0</v>
      </c>
      <c r="R717">
        <f t="shared" si="218"/>
        <v>0</v>
      </c>
      <c r="S717">
        <f t="shared" si="219"/>
        <v>0</v>
      </c>
      <c r="T717">
        <f t="shared" si="220"/>
        <v>0</v>
      </c>
      <c r="U717">
        <f t="shared" si="221"/>
        <v>0</v>
      </c>
      <c r="V717">
        <f t="shared" si="222"/>
        <v>0</v>
      </c>
      <c r="W717" t="s">
        <v>39</v>
      </c>
      <c r="X717">
        <f t="shared" si="223"/>
        <v>1</v>
      </c>
      <c r="Y717">
        <f t="shared" si="224"/>
        <v>0</v>
      </c>
      <c r="Z717">
        <v>1</v>
      </c>
      <c r="AA717">
        <f t="shared" si="225"/>
        <v>0</v>
      </c>
      <c r="AB717" t="s">
        <v>46</v>
      </c>
      <c r="AC717">
        <f t="shared" si="226"/>
        <v>0</v>
      </c>
      <c r="AD717">
        <f t="shared" si="227"/>
        <v>1</v>
      </c>
      <c r="AE717" t="s">
        <v>90</v>
      </c>
      <c r="AF717">
        <f>IF(AE717="website",1,0)</f>
        <v>0</v>
      </c>
    </row>
    <row r="718" spans="1:32">
      <c r="A718" t="s">
        <v>1344</v>
      </c>
      <c r="B718" t="s">
        <v>33</v>
      </c>
      <c r="C718" s="3">
        <f t="shared" si="209"/>
        <v>0</v>
      </c>
      <c r="D718">
        <f t="shared" si="210"/>
        <v>1</v>
      </c>
      <c r="E718" t="s">
        <v>305</v>
      </c>
      <c r="F718" t="s">
        <v>552</v>
      </c>
      <c r="G718" s="1">
        <v>16962</v>
      </c>
      <c r="H718" s="2">
        <f t="shared" ca="1" si="211"/>
        <v>80</v>
      </c>
      <c r="I718" s="2">
        <f t="shared" ca="1" si="212"/>
        <v>0.7857142857142857</v>
      </c>
      <c r="J718" t="s">
        <v>36</v>
      </c>
      <c r="K718" t="s">
        <v>37</v>
      </c>
      <c r="L718">
        <f t="shared" si="213"/>
        <v>1</v>
      </c>
      <c r="M718">
        <f t="shared" si="214"/>
        <v>0</v>
      </c>
      <c r="N718">
        <f t="shared" si="215"/>
        <v>0</v>
      </c>
      <c r="O718" t="s">
        <v>97</v>
      </c>
      <c r="P718">
        <f t="shared" si="216"/>
        <v>0</v>
      </c>
      <c r="Q718">
        <f t="shared" si="217"/>
        <v>0</v>
      </c>
      <c r="R718">
        <f t="shared" si="218"/>
        <v>0</v>
      </c>
      <c r="S718">
        <f t="shared" si="219"/>
        <v>0</v>
      </c>
      <c r="T718">
        <f t="shared" si="220"/>
        <v>1</v>
      </c>
      <c r="U718">
        <f t="shared" si="221"/>
        <v>0</v>
      </c>
      <c r="V718">
        <f t="shared" si="222"/>
        <v>0</v>
      </c>
      <c r="W718" t="s">
        <v>58</v>
      </c>
      <c r="X718">
        <f t="shared" si="223"/>
        <v>0</v>
      </c>
      <c r="Y718">
        <f t="shared" si="224"/>
        <v>1</v>
      </c>
      <c r="Z718">
        <v>3</v>
      </c>
      <c r="AA718">
        <f t="shared" si="225"/>
        <v>0.5</v>
      </c>
      <c r="AB718" t="s">
        <v>40</v>
      </c>
      <c r="AC718">
        <f t="shared" si="226"/>
        <v>1</v>
      </c>
      <c r="AD718">
        <f t="shared" si="227"/>
        <v>0</v>
      </c>
      <c r="AE718" t="s">
        <v>50</v>
      </c>
      <c r="AF718">
        <f>IF(AE718="website",1,0)</f>
        <v>0</v>
      </c>
    </row>
    <row r="719" spans="1:32">
      <c r="A719" t="s">
        <v>1345</v>
      </c>
      <c r="B719" t="s">
        <v>33</v>
      </c>
      <c r="C719" s="3">
        <f t="shared" si="209"/>
        <v>0</v>
      </c>
      <c r="D719">
        <f t="shared" si="210"/>
        <v>1</v>
      </c>
      <c r="E719" t="s">
        <v>1346</v>
      </c>
      <c r="F719" t="s">
        <v>941</v>
      </c>
      <c r="G719" s="1">
        <v>16353</v>
      </c>
      <c r="H719" s="2">
        <f t="shared" ca="1" si="211"/>
        <v>81</v>
      </c>
      <c r="I719" s="2">
        <f t="shared" ca="1" si="212"/>
        <v>0.8</v>
      </c>
      <c r="J719" t="s">
        <v>36</v>
      </c>
      <c r="K719" t="s">
        <v>626</v>
      </c>
      <c r="L719">
        <f t="shared" si="213"/>
        <v>0</v>
      </c>
      <c r="M719">
        <f t="shared" si="214"/>
        <v>0</v>
      </c>
      <c r="N719">
        <f t="shared" si="215"/>
        <v>0</v>
      </c>
      <c r="O719" t="s">
        <v>627</v>
      </c>
      <c r="P719">
        <f t="shared" si="216"/>
        <v>0</v>
      </c>
      <c r="Q719">
        <f t="shared" si="217"/>
        <v>0</v>
      </c>
      <c r="R719">
        <f t="shared" si="218"/>
        <v>0</v>
      </c>
      <c r="S719">
        <f t="shared" si="219"/>
        <v>0</v>
      </c>
      <c r="T719">
        <f t="shared" si="220"/>
        <v>0</v>
      </c>
      <c r="U719">
        <f t="shared" si="221"/>
        <v>0</v>
      </c>
      <c r="V719">
        <f t="shared" si="222"/>
        <v>0</v>
      </c>
      <c r="W719" t="s">
        <v>39</v>
      </c>
      <c r="X719">
        <f t="shared" si="223"/>
        <v>1</v>
      </c>
      <c r="Y719">
        <f t="shared" si="224"/>
        <v>0</v>
      </c>
      <c r="Z719">
        <v>2</v>
      </c>
      <c r="AA719">
        <f t="shared" si="225"/>
        <v>0.25</v>
      </c>
      <c r="AB719" t="s">
        <v>40</v>
      </c>
      <c r="AC719">
        <f t="shared" si="226"/>
        <v>0</v>
      </c>
      <c r="AD719">
        <f t="shared" si="227"/>
        <v>0</v>
      </c>
      <c r="AE719" t="s">
        <v>41</v>
      </c>
      <c r="AF719">
        <f>IF(AE719="website",1,0)</f>
        <v>1</v>
      </c>
    </row>
    <row r="720" spans="1:32">
      <c r="A720" t="s">
        <v>1347</v>
      </c>
      <c r="B720" t="s">
        <v>33</v>
      </c>
      <c r="C720" s="3">
        <f t="shared" si="209"/>
        <v>0</v>
      </c>
      <c r="D720">
        <f t="shared" si="210"/>
        <v>1</v>
      </c>
      <c r="E720" t="s">
        <v>671</v>
      </c>
      <c r="F720" t="s">
        <v>700</v>
      </c>
      <c r="G720" s="1">
        <v>27212</v>
      </c>
      <c r="H720" s="2">
        <f t="shared" ca="1" si="211"/>
        <v>52</v>
      </c>
      <c r="I720" s="2">
        <f t="shared" ca="1" si="212"/>
        <v>0.38571428571428573</v>
      </c>
      <c r="J720" t="s">
        <v>45</v>
      </c>
      <c r="K720" t="s">
        <v>37</v>
      </c>
      <c r="L720">
        <f t="shared" si="213"/>
        <v>1</v>
      </c>
      <c r="M720">
        <f t="shared" si="214"/>
        <v>0</v>
      </c>
      <c r="N720">
        <f t="shared" si="215"/>
        <v>0</v>
      </c>
      <c r="O720" t="s">
        <v>38</v>
      </c>
      <c r="P720">
        <f t="shared" si="216"/>
        <v>1</v>
      </c>
      <c r="Q720">
        <f t="shared" si="217"/>
        <v>0</v>
      </c>
      <c r="R720">
        <f t="shared" si="218"/>
        <v>0</v>
      </c>
      <c r="S720">
        <f t="shared" si="219"/>
        <v>0</v>
      </c>
      <c r="T720">
        <f t="shared" si="220"/>
        <v>0</v>
      </c>
      <c r="U720">
        <f t="shared" si="221"/>
        <v>0</v>
      </c>
      <c r="V720">
        <f t="shared" si="222"/>
        <v>0</v>
      </c>
      <c r="W720" t="s">
        <v>58</v>
      </c>
      <c r="X720">
        <f t="shared" si="223"/>
        <v>0</v>
      </c>
      <c r="Y720">
        <f t="shared" si="224"/>
        <v>1</v>
      </c>
      <c r="Z720">
        <v>2</v>
      </c>
      <c r="AA720">
        <f t="shared" si="225"/>
        <v>0.25</v>
      </c>
      <c r="AB720" t="s">
        <v>40</v>
      </c>
      <c r="AC720">
        <f t="shared" si="226"/>
        <v>1</v>
      </c>
      <c r="AD720">
        <f t="shared" si="227"/>
        <v>0</v>
      </c>
      <c r="AE720" t="s">
        <v>50</v>
      </c>
      <c r="AF720">
        <f>IF(AE720="website",1,0)</f>
        <v>0</v>
      </c>
    </row>
    <row r="721" spans="1:32">
      <c r="A721" t="s">
        <v>1348</v>
      </c>
      <c r="B721" t="s">
        <v>33</v>
      </c>
      <c r="C721" s="3">
        <f t="shared" si="209"/>
        <v>0</v>
      </c>
      <c r="D721">
        <f t="shared" si="210"/>
        <v>1</v>
      </c>
      <c r="E721" t="s">
        <v>681</v>
      </c>
      <c r="F721" t="s">
        <v>571</v>
      </c>
      <c r="G721" s="1">
        <v>29723</v>
      </c>
      <c r="H721" s="2">
        <f t="shared" ca="1" si="211"/>
        <v>45</v>
      </c>
      <c r="I721" s="2">
        <f t="shared" ca="1" si="212"/>
        <v>0.2857142857142857</v>
      </c>
      <c r="J721" t="s">
        <v>36</v>
      </c>
      <c r="K721" t="s">
        <v>37</v>
      </c>
      <c r="L721">
        <f t="shared" si="213"/>
        <v>1</v>
      </c>
      <c r="M721">
        <f t="shared" si="214"/>
        <v>0</v>
      </c>
      <c r="N721">
        <f t="shared" si="215"/>
        <v>0</v>
      </c>
      <c r="O721" t="s">
        <v>38</v>
      </c>
      <c r="P721">
        <f t="shared" si="216"/>
        <v>1</v>
      </c>
      <c r="Q721">
        <f t="shared" si="217"/>
        <v>0</v>
      </c>
      <c r="R721">
        <f t="shared" si="218"/>
        <v>0</v>
      </c>
      <c r="S721">
        <f t="shared" si="219"/>
        <v>0</v>
      </c>
      <c r="T721">
        <f t="shared" si="220"/>
        <v>0</v>
      </c>
      <c r="U721">
        <f t="shared" si="221"/>
        <v>0</v>
      </c>
      <c r="V721">
        <f t="shared" si="222"/>
        <v>0</v>
      </c>
      <c r="W721" t="s">
        <v>58</v>
      </c>
      <c r="X721">
        <f t="shared" si="223"/>
        <v>0</v>
      </c>
      <c r="Y721">
        <f t="shared" si="224"/>
        <v>1</v>
      </c>
      <c r="Z721">
        <v>1</v>
      </c>
      <c r="AA721">
        <f t="shared" si="225"/>
        <v>0</v>
      </c>
      <c r="AB721" t="s">
        <v>40</v>
      </c>
      <c r="AC721">
        <f t="shared" si="226"/>
        <v>1</v>
      </c>
      <c r="AD721">
        <f t="shared" si="227"/>
        <v>0</v>
      </c>
      <c r="AE721" t="s">
        <v>50</v>
      </c>
      <c r="AF721">
        <f>IF(AE721="website",1,0)</f>
        <v>0</v>
      </c>
    </row>
    <row r="722" spans="1:32">
      <c r="A722" t="s">
        <v>1349</v>
      </c>
      <c r="B722" t="s">
        <v>33</v>
      </c>
      <c r="C722" s="3">
        <f t="shared" si="209"/>
        <v>0</v>
      </c>
      <c r="D722">
        <f t="shared" si="210"/>
        <v>1</v>
      </c>
      <c r="E722" t="s">
        <v>699</v>
      </c>
      <c r="F722" t="s">
        <v>700</v>
      </c>
      <c r="G722" s="1">
        <v>36226</v>
      </c>
      <c r="H722" s="2">
        <f t="shared" ca="1" si="211"/>
        <v>27</v>
      </c>
      <c r="I722" s="2">
        <f t="shared" ca="1" si="212"/>
        <v>2.8571428571428571E-2</v>
      </c>
      <c r="J722" t="s">
        <v>36</v>
      </c>
      <c r="K722" t="s">
        <v>37</v>
      </c>
      <c r="L722">
        <f t="shared" si="213"/>
        <v>1</v>
      </c>
      <c r="M722">
        <f t="shared" si="214"/>
        <v>0</v>
      </c>
      <c r="N722">
        <f t="shared" si="215"/>
        <v>0</v>
      </c>
      <c r="O722" t="s">
        <v>600</v>
      </c>
      <c r="P722">
        <f t="shared" si="216"/>
        <v>0</v>
      </c>
      <c r="Q722">
        <f t="shared" si="217"/>
        <v>0</v>
      </c>
      <c r="R722">
        <f t="shared" si="218"/>
        <v>0</v>
      </c>
      <c r="S722">
        <f t="shared" si="219"/>
        <v>0</v>
      </c>
      <c r="T722">
        <f t="shared" si="220"/>
        <v>0</v>
      </c>
      <c r="U722">
        <f t="shared" si="221"/>
        <v>0</v>
      </c>
      <c r="V722">
        <f t="shared" si="222"/>
        <v>0</v>
      </c>
      <c r="W722" t="s">
        <v>39</v>
      </c>
      <c r="X722">
        <f t="shared" si="223"/>
        <v>1</v>
      </c>
      <c r="Y722">
        <f t="shared" si="224"/>
        <v>0</v>
      </c>
      <c r="Z722">
        <v>4</v>
      </c>
      <c r="AA722">
        <f t="shared" si="225"/>
        <v>0.75</v>
      </c>
      <c r="AB722" t="s">
        <v>46</v>
      </c>
      <c r="AC722">
        <f t="shared" si="226"/>
        <v>0</v>
      </c>
      <c r="AD722">
        <f t="shared" si="227"/>
        <v>0</v>
      </c>
      <c r="AE722" t="s">
        <v>41</v>
      </c>
      <c r="AF722">
        <f>IF(AE722="website",1,0)</f>
        <v>1</v>
      </c>
    </row>
    <row r="723" spans="1:32">
      <c r="A723" t="s">
        <v>1350</v>
      </c>
      <c r="B723" t="s">
        <v>33</v>
      </c>
      <c r="C723" s="3">
        <f t="shared" si="209"/>
        <v>0</v>
      </c>
      <c r="D723">
        <f t="shared" si="210"/>
        <v>1</v>
      </c>
      <c r="E723" t="s">
        <v>604</v>
      </c>
      <c r="F723" t="s">
        <v>557</v>
      </c>
      <c r="G723" s="1">
        <v>15960</v>
      </c>
      <c r="H723" s="2">
        <f t="shared" ca="1" si="211"/>
        <v>83</v>
      </c>
      <c r="I723" s="2">
        <f t="shared" ca="1" si="212"/>
        <v>0.82857142857142863</v>
      </c>
      <c r="J723" t="s">
        <v>36</v>
      </c>
      <c r="K723" t="s">
        <v>37</v>
      </c>
      <c r="L723">
        <f t="shared" si="213"/>
        <v>1</v>
      </c>
      <c r="M723">
        <f t="shared" si="214"/>
        <v>0</v>
      </c>
      <c r="N723">
        <f t="shared" si="215"/>
        <v>0</v>
      </c>
      <c r="O723" t="s">
        <v>592</v>
      </c>
      <c r="P723">
        <f t="shared" si="216"/>
        <v>0</v>
      </c>
      <c r="Q723">
        <f t="shared" si="217"/>
        <v>0</v>
      </c>
      <c r="R723">
        <f t="shared" si="218"/>
        <v>0</v>
      </c>
      <c r="S723">
        <f t="shared" si="219"/>
        <v>0</v>
      </c>
      <c r="T723">
        <f t="shared" si="220"/>
        <v>0</v>
      </c>
      <c r="U723">
        <f t="shared" si="221"/>
        <v>0</v>
      </c>
      <c r="V723">
        <f t="shared" si="222"/>
        <v>0</v>
      </c>
      <c r="W723" t="s">
        <v>39</v>
      </c>
      <c r="X723">
        <f t="shared" si="223"/>
        <v>1</v>
      </c>
      <c r="Y723">
        <f t="shared" si="224"/>
        <v>0</v>
      </c>
      <c r="Z723">
        <v>1</v>
      </c>
      <c r="AA723">
        <f t="shared" si="225"/>
        <v>0</v>
      </c>
      <c r="AB723" t="s">
        <v>46</v>
      </c>
      <c r="AC723">
        <f t="shared" si="226"/>
        <v>0</v>
      </c>
      <c r="AD723">
        <f t="shared" si="227"/>
        <v>0</v>
      </c>
      <c r="AE723" t="s">
        <v>41</v>
      </c>
      <c r="AF723">
        <f>IF(AE723="website",1,0)</f>
        <v>1</v>
      </c>
    </row>
    <row r="724" spans="1:32">
      <c r="A724" t="s">
        <v>1351</v>
      </c>
      <c r="B724" t="s">
        <v>33</v>
      </c>
      <c r="C724" s="3">
        <f t="shared" si="209"/>
        <v>0</v>
      </c>
      <c r="D724">
        <f t="shared" si="210"/>
        <v>1</v>
      </c>
      <c r="E724" t="s">
        <v>894</v>
      </c>
      <c r="F724" t="s">
        <v>513</v>
      </c>
      <c r="G724" s="1">
        <v>36269</v>
      </c>
      <c r="H724" s="2">
        <f t="shared" ca="1" si="211"/>
        <v>27</v>
      </c>
      <c r="I724" s="2">
        <f t="shared" ca="1" si="212"/>
        <v>2.8571428571428571E-2</v>
      </c>
      <c r="J724" t="s">
        <v>36</v>
      </c>
      <c r="K724" t="s">
        <v>113</v>
      </c>
      <c r="L724">
        <f t="shared" si="213"/>
        <v>0</v>
      </c>
      <c r="M724">
        <f t="shared" si="214"/>
        <v>0</v>
      </c>
      <c r="N724">
        <f t="shared" si="215"/>
        <v>1</v>
      </c>
      <c r="O724" t="s">
        <v>594</v>
      </c>
      <c r="P724">
        <f t="shared" si="216"/>
        <v>0</v>
      </c>
      <c r="Q724">
        <f t="shared" si="217"/>
        <v>0</v>
      </c>
      <c r="R724">
        <f t="shared" si="218"/>
        <v>0</v>
      </c>
      <c r="S724">
        <f t="shared" si="219"/>
        <v>0</v>
      </c>
      <c r="T724">
        <f t="shared" si="220"/>
        <v>0</v>
      </c>
      <c r="U724">
        <f t="shared" si="221"/>
        <v>0</v>
      </c>
      <c r="V724">
        <f t="shared" si="222"/>
        <v>0</v>
      </c>
      <c r="W724" t="s">
        <v>39</v>
      </c>
      <c r="X724">
        <f t="shared" si="223"/>
        <v>1</v>
      </c>
      <c r="Y724">
        <f t="shared" si="224"/>
        <v>0</v>
      </c>
      <c r="Z724">
        <v>3</v>
      </c>
      <c r="AA724">
        <f t="shared" si="225"/>
        <v>0.5</v>
      </c>
      <c r="AB724" t="s">
        <v>40</v>
      </c>
      <c r="AC724">
        <f t="shared" si="226"/>
        <v>0</v>
      </c>
      <c r="AD724">
        <f t="shared" si="227"/>
        <v>0</v>
      </c>
      <c r="AE724" t="s">
        <v>41</v>
      </c>
      <c r="AF724">
        <f>IF(AE724="website",1,0)</f>
        <v>1</v>
      </c>
    </row>
    <row r="725" spans="1:32">
      <c r="A725" t="s">
        <v>1352</v>
      </c>
      <c r="B725" t="s">
        <v>33</v>
      </c>
      <c r="C725" s="3">
        <f t="shared" si="209"/>
        <v>0</v>
      </c>
      <c r="D725">
        <f t="shared" si="210"/>
        <v>1</v>
      </c>
      <c r="E725" t="s">
        <v>852</v>
      </c>
      <c r="F725" t="s">
        <v>339</v>
      </c>
      <c r="G725" s="1">
        <v>22186</v>
      </c>
      <c r="H725" s="2">
        <f t="shared" ca="1" si="211"/>
        <v>66</v>
      </c>
      <c r="I725" s="2">
        <f t="shared" ca="1" si="212"/>
        <v>0.58571428571428574</v>
      </c>
      <c r="J725" t="s">
        <v>45</v>
      </c>
      <c r="K725" t="s">
        <v>37</v>
      </c>
      <c r="L725">
        <f t="shared" si="213"/>
        <v>1</v>
      </c>
      <c r="M725">
        <f t="shared" si="214"/>
        <v>0</v>
      </c>
      <c r="N725">
        <f t="shared" si="215"/>
        <v>0</v>
      </c>
      <c r="O725" t="s">
        <v>97</v>
      </c>
      <c r="P725">
        <f t="shared" si="216"/>
        <v>0</v>
      </c>
      <c r="Q725">
        <f t="shared" si="217"/>
        <v>0</v>
      </c>
      <c r="R725">
        <f t="shared" si="218"/>
        <v>0</v>
      </c>
      <c r="S725">
        <f t="shared" si="219"/>
        <v>0</v>
      </c>
      <c r="T725">
        <f t="shared" si="220"/>
        <v>1</v>
      </c>
      <c r="U725">
        <f t="shared" si="221"/>
        <v>0</v>
      </c>
      <c r="V725">
        <f t="shared" si="222"/>
        <v>0</v>
      </c>
      <c r="W725" t="s">
        <v>58</v>
      </c>
      <c r="X725">
        <f t="shared" si="223"/>
        <v>0</v>
      </c>
      <c r="Y725">
        <f t="shared" si="224"/>
        <v>1</v>
      </c>
      <c r="Z725">
        <v>4</v>
      </c>
      <c r="AA725">
        <f t="shared" si="225"/>
        <v>0.75</v>
      </c>
      <c r="AB725" t="s">
        <v>40</v>
      </c>
      <c r="AC725">
        <f t="shared" si="226"/>
        <v>1</v>
      </c>
      <c r="AD725">
        <f t="shared" si="227"/>
        <v>0</v>
      </c>
      <c r="AE725" t="s">
        <v>50</v>
      </c>
      <c r="AF725">
        <f>IF(AE725="website",1,0)</f>
        <v>0</v>
      </c>
    </row>
    <row r="726" spans="1:32">
      <c r="A726" t="s">
        <v>1353</v>
      </c>
      <c r="B726" t="s">
        <v>33</v>
      </c>
      <c r="C726" s="3">
        <f t="shared" si="209"/>
        <v>0</v>
      </c>
      <c r="D726">
        <f t="shared" si="210"/>
        <v>1</v>
      </c>
      <c r="E726" t="s">
        <v>807</v>
      </c>
      <c r="F726" t="s">
        <v>562</v>
      </c>
      <c r="G726" s="1">
        <v>30500</v>
      </c>
      <c r="H726" s="2">
        <f t="shared" ca="1" si="211"/>
        <v>43</v>
      </c>
      <c r="I726" s="2">
        <f t="shared" ca="1" si="212"/>
        <v>0.25714285714285712</v>
      </c>
      <c r="J726" t="s">
        <v>36</v>
      </c>
      <c r="K726" t="s">
        <v>37</v>
      </c>
      <c r="L726">
        <f t="shared" si="213"/>
        <v>1</v>
      </c>
      <c r="M726">
        <f t="shared" si="214"/>
        <v>0</v>
      </c>
      <c r="N726">
        <f t="shared" si="215"/>
        <v>0</v>
      </c>
      <c r="O726" t="s">
        <v>717</v>
      </c>
      <c r="P726">
        <f t="shared" si="216"/>
        <v>0</v>
      </c>
      <c r="Q726">
        <f t="shared" si="217"/>
        <v>0</v>
      </c>
      <c r="R726">
        <f t="shared" si="218"/>
        <v>0</v>
      </c>
      <c r="S726">
        <f t="shared" si="219"/>
        <v>0</v>
      </c>
      <c r="T726">
        <f t="shared" si="220"/>
        <v>0</v>
      </c>
      <c r="U726">
        <f t="shared" si="221"/>
        <v>0</v>
      </c>
      <c r="V726">
        <f t="shared" si="222"/>
        <v>0</v>
      </c>
      <c r="W726" t="s">
        <v>39</v>
      </c>
      <c r="X726">
        <f t="shared" si="223"/>
        <v>1</v>
      </c>
      <c r="Y726">
        <f t="shared" si="224"/>
        <v>0</v>
      </c>
      <c r="Z726">
        <v>3</v>
      </c>
      <c r="AA726">
        <f t="shared" si="225"/>
        <v>0.5</v>
      </c>
      <c r="AB726" t="s">
        <v>46</v>
      </c>
      <c r="AC726">
        <f t="shared" si="226"/>
        <v>0</v>
      </c>
      <c r="AD726">
        <f t="shared" si="227"/>
        <v>0</v>
      </c>
      <c r="AE726" t="s">
        <v>41</v>
      </c>
      <c r="AF726">
        <f>IF(AE726="website",1,0)</f>
        <v>1</v>
      </c>
    </row>
    <row r="727" spans="1:32">
      <c r="A727" t="s">
        <v>1354</v>
      </c>
      <c r="B727" t="s">
        <v>33</v>
      </c>
      <c r="C727" s="3">
        <f t="shared" si="209"/>
        <v>0</v>
      </c>
      <c r="D727">
        <f t="shared" si="210"/>
        <v>1</v>
      </c>
      <c r="E727" t="s">
        <v>776</v>
      </c>
      <c r="F727" t="s">
        <v>573</v>
      </c>
      <c r="G727" s="1">
        <v>28150</v>
      </c>
      <c r="H727" s="2">
        <f t="shared" ca="1" si="211"/>
        <v>49</v>
      </c>
      <c r="I727" s="2">
        <f t="shared" ca="1" si="212"/>
        <v>0.34285714285714286</v>
      </c>
      <c r="J727" t="s">
        <v>36</v>
      </c>
      <c r="K727" t="s">
        <v>37</v>
      </c>
      <c r="L727">
        <f t="shared" si="213"/>
        <v>1</v>
      </c>
      <c r="M727">
        <f t="shared" si="214"/>
        <v>0</v>
      </c>
      <c r="N727">
        <f t="shared" si="215"/>
        <v>0</v>
      </c>
      <c r="O727" t="s">
        <v>785</v>
      </c>
      <c r="P727">
        <f t="shared" si="216"/>
        <v>0</v>
      </c>
      <c r="Q727">
        <f t="shared" si="217"/>
        <v>0</v>
      </c>
      <c r="R727">
        <f t="shared" si="218"/>
        <v>0</v>
      </c>
      <c r="S727">
        <f t="shared" si="219"/>
        <v>0</v>
      </c>
      <c r="T727">
        <f t="shared" si="220"/>
        <v>0</v>
      </c>
      <c r="U727">
        <f t="shared" si="221"/>
        <v>0</v>
      </c>
      <c r="V727">
        <f t="shared" si="222"/>
        <v>0</v>
      </c>
      <c r="W727" t="s">
        <v>39</v>
      </c>
      <c r="X727">
        <f t="shared" si="223"/>
        <v>1</v>
      </c>
      <c r="Y727">
        <f t="shared" si="224"/>
        <v>0</v>
      </c>
      <c r="Z727">
        <v>4</v>
      </c>
      <c r="AA727">
        <f t="shared" si="225"/>
        <v>0.75</v>
      </c>
      <c r="AB727" t="s">
        <v>46</v>
      </c>
      <c r="AC727">
        <f t="shared" si="226"/>
        <v>0</v>
      </c>
      <c r="AD727">
        <f t="shared" si="227"/>
        <v>0</v>
      </c>
      <c r="AE727" t="s">
        <v>41</v>
      </c>
      <c r="AF727">
        <f>IF(AE727="website",1,0)</f>
        <v>1</v>
      </c>
    </row>
    <row r="728" spans="1:32">
      <c r="A728" t="s">
        <v>1355</v>
      </c>
      <c r="B728" t="s">
        <v>33</v>
      </c>
      <c r="C728" s="3">
        <f t="shared" si="209"/>
        <v>0</v>
      </c>
      <c r="D728">
        <f t="shared" si="210"/>
        <v>1</v>
      </c>
      <c r="E728" t="s">
        <v>708</v>
      </c>
      <c r="F728" t="s">
        <v>818</v>
      </c>
      <c r="G728" s="1">
        <v>15212</v>
      </c>
      <c r="H728" s="2">
        <f t="shared" ca="1" si="211"/>
        <v>85</v>
      </c>
      <c r="I728" s="2">
        <f t="shared" ca="1" si="212"/>
        <v>0.8571428571428571</v>
      </c>
      <c r="J728" t="s">
        <v>45</v>
      </c>
      <c r="K728" t="s">
        <v>37</v>
      </c>
      <c r="L728">
        <f t="shared" si="213"/>
        <v>1</v>
      </c>
      <c r="M728">
        <f t="shared" si="214"/>
        <v>0</v>
      </c>
      <c r="N728">
        <f t="shared" si="215"/>
        <v>0</v>
      </c>
      <c r="O728" t="s">
        <v>38</v>
      </c>
      <c r="P728">
        <f t="shared" si="216"/>
        <v>1</v>
      </c>
      <c r="Q728">
        <f t="shared" si="217"/>
        <v>0</v>
      </c>
      <c r="R728">
        <f t="shared" si="218"/>
        <v>0</v>
      </c>
      <c r="S728">
        <f t="shared" si="219"/>
        <v>0</v>
      </c>
      <c r="T728">
        <f t="shared" si="220"/>
        <v>0</v>
      </c>
      <c r="U728">
        <f t="shared" si="221"/>
        <v>0</v>
      </c>
      <c r="V728">
        <f t="shared" si="222"/>
        <v>0</v>
      </c>
      <c r="W728" t="s">
        <v>58</v>
      </c>
      <c r="X728">
        <f t="shared" si="223"/>
        <v>0</v>
      </c>
      <c r="Y728">
        <f t="shared" si="224"/>
        <v>1</v>
      </c>
      <c r="Z728">
        <v>3</v>
      </c>
      <c r="AA728">
        <f t="shared" si="225"/>
        <v>0.5</v>
      </c>
      <c r="AB728" t="s">
        <v>40</v>
      </c>
      <c r="AC728">
        <f t="shared" si="226"/>
        <v>0</v>
      </c>
      <c r="AD728">
        <f t="shared" si="227"/>
        <v>1</v>
      </c>
      <c r="AE728" t="s">
        <v>90</v>
      </c>
      <c r="AF728">
        <f>IF(AE728="website",1,0)</f>
        <v>0</v>
      </c>
    </row>
    <row r="729" spans="1:32">
      <c r="A729" t="s">
        <v>1356</v>
      </c>
      <c r="B729" t="s">
        <v>33</v>
      </c>
      <c r="C729" s="3">
        <f t="shared" si="209"/>
        <v>0</v>
      </c>
      <c r="D729">
        <f t="shared" si="210"/>
        <v>1</v>
      </c>
      <c r="E729" t="s">
        <v>671</v>
      </c>
      <c r="F729" t="s">
        <v>562</v>
      </c>
      <c r="G729" s="1">
        <v>26137</v>
      </c>
      <c r="H729" s="2">
        <f t="shared" ca="1" si="211"/>
        <v>55</v>
      </c>
      <c r="I729" s="2">
        <f t="shared" ca="1" si="212"/>
        <v>0.42857142857142855</v>
      </c>
      <c r="J729" t="s">
        <v>45</v>
      </c>
      <c r="K729" t="s">
        <v>37</v>
      </c>
      <c r="L729">
        <f t="shared" si="213"/>
        <v>1</v>
      </c>
      <c r="M729">
        <f t="shared" si="214"/>
        <v>0</v>
      </c>
      <c r="N729">
        <f t="shared" si="215"/>
        <v>0</v>
      </c>
      <c r="O729" t="s">
        <v>38</v>
      </c>
      <c r="P729">
        <f t="shared" si="216"/>
        <v>1</v>
      </c>
      <c r="Q729">
        <f t="shared" si="217"/>
        <v>0</v>
      </c>
      <c r="R729">
        <f t="shared" si="218"/>
        <v>0</v>
      </c>
      <c r="S729">
        <f t="shared" si="219"/>
        <v>0</v>
      </c>
      <c r="T729">
        <f t="shared" si="220"/>
        <v>0</v>
      </c>
      <c r="U729">
        <f t="shared" si="221"/>
        <v>0</v>
      </c>
      <c r="V729">
        <f t="shared" si="222"/>
        <v>0</v>
      </c>
      <c r="W729" t="s">
        <v>39</v>
      </c>
      <c r="X729">
        <f t="shared" si="223"/>
        <v>1</v>
      </c>
      <c r="Y729">
        <f t="shared" si="224"/>
        <v>0</v>
      </c>
      <c r="Z729">
        <v>3</v>
      </c>
      <c r="AA729">
        <f t="shared" si="225"/>
        <v>0.5</v>
      </c>
      <c r="AB729" t="s">
        <v>40</v>
      </c>
      <c r="AC729">
        <f t="shared" si="226"/>
        <v>1</v>
      </c>
      <c r="AD729">
        <f t="shared" si="227"/>
        <v>0</v>
      </c>
      <c r="AE729" t="s">
        <v>50</v>
      </c>
      <c r="AF729">
        <f>IF(AE729="website",1,0)</f>
        <v>0</v>
      </c>
    </row>
    <row r="730" spans="1:32">
      <c r="A730" t="s">
        <v>1357</v>
      </c>
      <c r="B730" t="s">
        <v>33</v>
      </c>
      <c r="C730" s="3">
        <f t="shared" si="209"/>
        <v>0</v>
      </c>
      <c r="D730">
        <f t="shared" si="210"/>
        <v>1</v>
      </c>
      <c r="E730" t="s">
        <v>795</v>
      </c>
      <c r="F730" t="s">
        <v>738</v>
      </c>
      <c r="G730" s="1">
        <v>16075</v>
      </c>
      <c r="H730" s="2">
        <f t="shared" ca="1" si="211"/>
        <v>82</v>
      </c>
      <c r="I730" s="2">
        <f t="shared" ca="1" si="212"/>
        <v>0.81428571428571428</v>
      </c>
      <c r="J730" t="s">
        <v>45</v>
      </c>
      <c r="K730" t="s">
        <v>37</v>
      </c>
      <c r="L730">
        <f t="shared" si="213"/>
        <v>1</v>
      </c>
      <c r="M730">
        <f t="shared" si="214"/>
        <v>0</v>
      </c>
      <c r="N730">
        <f t="shared" si="215"/>
        <v>0</v>
      </c>
      <c r="O730" t="s">
        <v>565</v>
      </c>
      <c r="P730">
        <f t="shared" si="216"/>
        <v>0</v>
      </c>
      <c r="Q730">
        <f t="shared" si="217"/>
        <v>0</v>
      </c>
      <c r="R730">
        <f t="shared" si="218"/>
        <v>0</v>
      </c>
      <c r="S730">
        <f t="shared" si="219"/>
        <v>0</v>
      </c>
      <c r="T730">
        <f t="shared" si="220"/>
        <v>0</v>
      </c>
      <c r="U730">
        <f t="shared" si="221"/>
        <v>0</v>
      </c>
      <c r="V730">
        <f t="shared" si="222"/>
        <v>0</v>
      </c>
      <c r="W730" t="s">
        <v>58</v>
      </c>
      <c r="X730">
        <f t="shared" si="223"/>
        <v>0</v>
      </c>
      <c r="Y730">
        <f t="shared" si="224"/>
        <v>1</v>
      </c>
      <c r="Z730">
        <v>3</v>
      </c>
      <c r="AA730">
        <f t="shared" si="225"/>
        <v>0.5</v>
      </c>
      <c r="AB730" t="s">
        <v>40</v>
      </c>
      <c r="AC730">
        <f t="shared" si="226"/>
        <v>1</v>
      </c>
      <c r="AD730">
        <f t="shared" si="227"/>
        <v>0</v>
      </c>
      <c r="AE730" t="s">
        <v>50</v>
      </c>
      <c r="AF730">
        <f>IF(AE730="website",1,0)</f>
        <v>0</v>
      </c>
    </row>
    <row r="731" spans="1:32">
      <c r="A731" t="s">
        <v>1358</v>
      </c>
      <c r="B731" t="s">
        <v>33</v>
      </c>
      <c r="C731" s="3">
        <f t="shared" si="209"/>
        <v>0</v>
      </c>
      <c r="D731">
        <f t="shared" si="210"/>
        <v>1</v>
      </c>
      <c r="E731" t="s">
        <v>1032</v>
      </c>
      <c r="F731" t="s">
        <v>728</v>
      </c>
      <c r="G731" s="1">
        <v>32272</v>
      </c>
      <c r="H731" s="2">
        <f t="shared" ca="1" si="211"/>
        <v>38</v>
      </c>
      <c r="I731" s="2">
        <f t="shared" ca="1" si="212"/>
        <v>0.18571428571428572</v>
      </c>
      <c r="J731" t="s">
        <v>45</v>
      </c>
      <c r="K731" t="s">
        <v>37</v>
      </c>
      <c r="L731">
        <f t="shared" si="213"/>
        <v>1</v>
      </c>
      <c r="M731">
        <f t="shared" si="214"/>
        <v>0</v>
      </c>
      <c r="N731">
        <f t="shared" si="215"/>
        <v>0</v>
      </c>
      <c r="O731" t="s">
        <v>38</v>
      </c>
      <c r="P731">
        <f t="shared" si="216"/>
        <v>1</v>
      </c>
      <c r="Q731">
        <f t="shared" si="217"/>
        <v>0</v>
      </c>
      <c r="R731">
        <f t="shared" si="218"/>
        <v>0</v>
      </c>
      <c r="S731">
        <f t="shared" si="219"/>
        <v>0</v>
      </c>
      <c r="T731">
        <f t="shared" si="220"/>
        <v>0</v>
      </c>
      <c r="U731">
        <f t="shared" si="221"/>
        <v>0</v>
      </c>
      <c r="V731">
        <f t="shared" si="222"/>
        <v>0</v>
      </c>
      <c r="W731" t="s">
        <v>58</v>
      </c>
      <c r="X731">
        <f t="shared" si="223"/>
        <v>0</v>
      </c>
      <c r="Y731">
        <f t="shared" si="224"/>
        <v>1</v>
      </c>
      <c r="Z731">
        <v>4</v>
      </c>
      <c r="AA731">
        <f t="shared" si="225"/>
        <v>0.75</v>
      </c>
      <c r="AB731" t="s">
        <v>46</v>
      </c>
      <c r="AC731">
        <f t="shared" si="226"/>
        <v>0</v>
      </c>
      <c r="AD731">
        <f t="shared" si="227"/>
        <v>0</v>
      </c>
      <c r="AE731" t="s">
        <v>41</v>
      </c>
      <c r="AF731">
        <f>IF(AE731="website",1,0)</f>
        <v>1</v>
      </c>
    </row>
    <row r="732" spans="1:32">
      <c r="A732" t="s">
        <v>1359</v>
      </c>
      <c r="B732" t="s">
        <v>33</v>
      </c>
      <c r="C732" s="3">
        <f t="shared" si="209"/>
        <v>0</v>
      </c>
      <c r="D732">
        <f t="shared" si="210"/>
        <v>1</v>
      </c>
      <c r="E732" t="s">
        <v>544</v>
      </c>
      <c r="F732" t="s">
        <v>573</v>
      </c>
      <c r="G732" s="1">
        <v>36817</v>
      </c>
      <c r="H732" s="2">
        <f t="shared" ca="1" si="211"/>
        <v>25</v>
      </c>
      <c r="I732" s="2">
        <f t="shared" ca="1" si="212"/>
        <v>0</v>
      </c>
      <c r="J732" t="s">
        <v>45</v>
      </c>
      <c r="K732" t="s">
        <v>37</v>
      </c>
      <c r="L732">
        <f t="shared" si="213"/>
        <v>1</v>
      </c>
      <c r="M732">
        <f t="shared" si="214"/>
        <v>0</v>
      </c>
      <c r="N732">
        <f t="shared" si="215"/>
        <v>0</v>
      </c>
      <c r="O732" t="s">
        <v>38</v>
      </c>
      <c r="P732">
        <f t="shared" si="216"/>
        <v>1</v>
      </c>
      <c r="Q732">
        <f t="shared" si="217"/>
        <v>0</v>
      </c>
      <c r="R732">
        <f t="shared" si="218"/>
        <v>0</v>
      </c>
      <c r="S732">
        <f t="shared" si="219"/>
        <v>0</v>
      </c>
      <c r="T732">
        <f t="shared" si="220"/>
        <v>0</v>
      </c>
      <c r="U732">
        <f t="shared" si="221"/>
        <v>0</v>
      </c>
      <c r="V732">
        <f t="shared" si="222"/>
        <v>0</v>
      </c>
      <c r="W732" t="s">
        <v>39</v>
      </c>
      <c r="X732">
        <f t="shared" si="223"/>
        <v>1</v>
      </c>
      <c r="Y732">
        <f t="shared" si="224"/>
        <v>0</v>
      </c>
      <c r="Z732">
        <v>5</v>
      </c>
      <c r="AA732">
        <f t="shared" si="225"/>
        <v>1</v>
      </c>
      <c r="AB732" t="s">
        <v>46</v>
      </c>
      <c r="AC732">
        <f t="shared" si="226"/>
        <v>1</v>
      </c>
      <c r="AD732">
        <f t="shared" si="227"/>
        <v>0</v>
      </c>
      <c r="AE732" t="s">
        <v>50</v>
      </c>
      <c r="AF732">
        <f>IF(AE732="website",1,0)</f>
        <v>0</v>
      </c>
    </row>
    <row r="733" spans="1:32">
      <c r="A733" t="s">
        <v>1360</v>
      </c>
      <c r="B733" t="s">
        <v>33</v>
      </c>
      <c r="C733" s="3">
        <f t="shared" si="209"/>
        <v>0</v>
      </c>
      <c r="D733">
        <f t="shared" si="210"/>
        <v>1</v>
      </c>
      <c r="E733" t="s">
        <v>750</v>
      </c>
      <c r="F733" t="s">
        <v>591</v>
      </c>
      <c r="G733" s="1">
        <v>31109</v>
      </c>
      <c r="H733" s="2">
        <f t="shared" ca="1" si="211"/>
        <v>41</v>
      </c>
      <c r="I733" s="2">
        <f t="shared" ca="1" si="212"/>
        <v>0.22857142857142856</v>
      </c>
      <c r="J733" t="s">
        <v>45</v>
      </c>
      <c r="K733" t="s">
        <v>37</v>
      </c>
      <c r="L733">
        <f t="shared" si="213"/>
        <v>1</v>
      </c>
      <c r="M733">
        <f t="shared" si="214"/>
        <v>0</v>
      </c>
      <c r="N733">
        <f t="shared" si="215"/>
        <v>0</v>
      </c>
      <c r="O733" t="s">
        <v>76</v>
      </c>
      <c r="P733">
        <f t="shared" si="216"/>
        <v>0</v>
      </c>
      <c r="Q733">
        <f t="shared" si="217"/>
        <v>1</v>
      </c>
      <c r="R733">
        <f t="shared" si="218"/>
        <v>0</v>
      </c>
      <c r="S733">
        <f t="shared" si="219"/>
        <v>0</v>
      </c>
      <c r="T733">
        <f t="shared" si="220"/>
        <v>0</v>
      </c>
      <c r="U733">
        <f t="shared" si="221"/>
        <v>0</v>
      </c>
      <c r="V733">
        <f t="shared" si="222"/>
        <v>0</v>
      </c>
      <c r="W733" t="s">
        <v>39</v>
      </c>
      <c r="X733">
        <f t="shared" si="223"/>
        <v>1</v>
      </c>
      <c r="Y733">
        <f t="shared" si="224"/>
        <v>0</v>
      </c>
      <c r="Z733">
        <v>5</v>
      </c>
      <c r="AA733">
        <f t="shared" si="225"/>
        <v>1</v>
      </c>
      <c r="AB733" t="s">
        <v>46</v>
      </c>
      <c r="AC733">
        <f t="shared" si="226"/>
        <v>0</v>
      </c>
      <c r="AD733">
        <f t="shared" si="227"/>
        <v>0</v>
      </c>
      <c r="AE733" t="s">
        <v>41</v>
      </c>
      <c r="AF733">
        <f>IF(AE733="website",1,0)</f>
        <v>1</v>
      </c>
    </row>
    <row r="734" spans="1:32">
      <c r="A734" t="s">
        <v>1361</v>
      </c>
      <c r="B734" t="s">
        <v>33</v>
      </c>
      <c r="C734" s="3">
        <f t="shared" si="209"/>
        <v>0</v>
      </c>
      <c r="D734">
        <f t="shared" si="210"/>
        <v>1</v>
      </c>
      <c r="E734" t="s">
        <v>811</v>
      </c>
      <c r="F734" t="s">
        <v>633</v>
      </c>
      <c r="G734" s="1">
        <v>27762</v>
      </c>
      <c r="H734" s="2">
        <f t="shared" ca="1" si="211"/>
        <v>50</v>
      </c>
      <c r="I734" s="2">
        <f t="shared" ca="1" si="212"/>
        <v>0.35714285714285715</v>
      </c>
      <c r="J734" t="s">
        <v>36</v>
      </c>
      <c r="K734" t="s">
        <v>37</v>
      </c>
      <c r="L734">
        <f t="shared" si="213"/>
        <v>1</v>
      </c>
      <c r="M734">
        <f t="shared" si="214"/>
        <v>0</v>
      </c>
      <c r="N734">
        <f t="shared" si="215"/>
        <v>0</v>
      </c>
      <c r="O734" t="s">
        <v>124</v>
      </c>
      <c r="P734">
        <f t="shared" si="216"/>
        <v>0</v>
      </c>
      <c r="Q734">
        <f t="shared" si="217"/>
        <v>0</v>
      </c>
      <c r="R734">
        <f t="shared" si="218"/>
        <v>0</v>
      </c>
      <c r="S734">
        <f t="shared" si="219"/>
        <v>0</v>
      </c>
      <c r="T734">
        <f t="shared" si="220"/>
        <v>0</v>
      </c>
      <c r="U734">
        <f t="shared" si="221"/>
        <v>1</v>
      </c>
      <c r="V734">
        <f t="shared" si="222"/>
        <v>0</v>
      </c>
      <c r="W734" t="s">
        <v>39</v>
      </c>
      <c r="X734">
        <f t="shared" si="223"/>
        <v>1</v>
      </c>
      <c r="Y734">
        <f t="shared" si="224"/>
        <v>0</v>
      </c>
      <c r="Z734">
        <v>5</v>
      </c>
      <c r="AA734">
        <f t="shared" si="225"/>
        <v>1</v>
      </c>
      <c r="AB734" t="s">
        <v>46</v>
      </c>
      <c r="AC734">
        <f t="shared" si="226"/>
        <v>1</v>
      </c>
      <c r="AD734">
        <f t="shared" si="227"/>
        <v>0</v>
      </c>
      <c r="AE734" t="s">
        <v>50</v>
      </c>
      <c r="AF734">
        <f>IF(AE734="website",1,0)</f>
        <v>0</v>
      </c>
    </row>
    <row r="735" spans="1:32">
      <c r="A735" t="s">
        <v>1362</v>
      </c>
      <c r="B735" t="s">
        <v>33</v>
      </c>
      <c r="C735" s="3">
        <f t="shared" si="209"/>
        <v>0</v>
      </c>
      <c r="D735">
        <f t="shared" si="210"/>
        <v>1</v>
      </c>
      <c r="E735" t="s">
        <v>784</v>
      </c>
      <c r="F735" t="s">
        <v>887</v>
      </c>
      <c r="G735" s="1">
        <v>29764</v>
      </c>
      <c r="H735" s="2">
        <f t="shared" ca="1" si="211"/>
        <v>45</v>
      </c>
      <c r="I735" s="2">
        <f t="shared" ca="1" si="212"/>
        <v>0.2857142857142857</v>
      </c>
      <c r="J735" t="s">
        <v>36</v>
      </c>
      <c r="K735" t="s">
        <v>37</v>
      </c>
      <c r="L735">
        <f t="shared" si="213"/>
        <v>1</v>
      </c>
      <c r="M735">
        <f t="shared" si="214"/>
        <v>0</v>
      </c>
      <c r="N735">
        <f t="shared" si="215"/>
        <v>0</v>
      </c>
      <c r="O735" t="s">
        <v>305</v>
      </c>
      <c r="P735">
        <f t="shared" si="216"/>
        <v>0</v>
      </c>
      <c r="Q735">
        <f t="shared" si="217"/>
        <v>0</v>
      </c>
      <c r="R735">
        <f t="shared" si="218"/>
        <v>0</v>
      </c>
      <c r="S735">
        <f t="shared" si="219"/>
        <v>0</v>
      </c>
      <c r="T735">
        <f t="shared" si="220"/>
        <v>0</v>
      </c>
      <c r="U735">
        <f t="shared" si="221"/>
        <v>0</v>
      </c>
      <c r="V735">
        <f t="shared" si="222"/>
        <v>0</v>
      </c>
      <c r="W735" t="s">
        <v>58</v>
      </c>
      <c r="X735">
        <f t="shared" si="223"/>
        <v>0</v>
      </c>
      <c r="Y735">
        <f t="shared" si="224"/>
        <v>1</v>
      </c>
      <c r="Z735">
        <v>5</v>
      </c>
      <c r="AA735">
        <f t="shared" si="225"/>
        <v>1</v>
      </c>
      <c r="AB735" t="s">
        <v>40</v>
      </c>
      <c r="AC735">
        <f t="shared" si="226"/>
        <v>0</v>
      </c>
      <c r="AD735">
        <f t="shared" si="227"/>
        <v>1</v>
      </c>
      <c r="AE735" t="s">
        <v>90</v>
      </c>
      <c r="AF735">
        <f>IF(AE735="website",1,0)</f>
        <v>0</v>
      </c>
    </row>
    <row r="736" spans="1:32">
      <c r="A736" t="s">
        <v>1363</v>
      </c>
      <c r="B736" t="s">
        <v>33</v>
      </c>
      <c r="C736" s="3">
        <f t="shared" si="209"/>
        <v>0</v>
      </c>
      <c r="D736">
        <f t="shared" si="210"/>
        <v>1</v>
      </c>
      <c r="E736" t="s">
        <v>546</v>
      </c>
      <c r="F736" t="s">
        <v>738</v>
      </c>
      <c r="G736" s="1">
        <v>34556</v>
      </c>
      <c r="H736" s="2">
        <f t="shared" ca="1" si="211"/>
        <v>32</v>
      </c>
      <c r="I736" s="2">
        <f t="shared" ca="1" si="212"/>
        <v>0.1</v>
      </c>
      <c r="J736" t="s">
        <v>45</v>
      </c>
      <c r="K736" t="s">
        <v>113</v>
      </c>
      <c r="L736">
        <f t="shared" si="213"/>
        <v>0</v>
      </c>
      <c r="M736">
        <f t="shared" si="214"/>
        <v>0</v>
      </c>
      <c r="N736">
        <f t="shared" si="215"/>
        <v>1</v>
      </c>
      <c r="O736" t="s">
        <v>891</v>
      </c>
      <c r="P736">
        <f t="shared" si="216"/>
        <v>0</v>
      </c>
      <c r="Q736">
        <f t="shared" si="217"/>
        <v>0</v>
      </c>
      <c r="R736">
        <f t="shared" si="218"/>
        <v>0</v>
      </c>
      <c r="S736">
        <f t="shared" si="219"/>
        <v>0</v>
      </c>
      <c r="T736">
        <f t="shared" si="220"/>
        <v>0</v>
      </c>
      <c r="U736">
        <f t="shared" si="221"/>
        <v>0</v>
      </c>
      <c r="V736">
        <f t="shared" si="222"/>
        <v>0</v>
      </c>
      <c r="W736" t="s">
        <v>58</v>
      </c>
      <c r="X736">
        <f t="shared" si="223"/>
        <v>0</v>
      </c>
      <c r="Y736">
        <f t="shared" si="224"/>
        <v>1</v>
      </c>
      <c r="Z736">
        <v>4</v>
      </c>
      <c r="AA736">
        <f t="shared" si="225"/>
        <v>0.75</v>
      </c>
      <c r="AB736" t="s">
        <v>46</v>
      </c>
      <c r="AC736">
        <f t="shared" si="226"/>
        <v>0</v>
      </c>
      <c r="AD736">
        <f t="shared" si="227"/>
        <v>0</v>
      </c>
      <c r="AE736" t="s">
        <v>41</v>
      </c>
      <c r="AF736">
        <f>IF(AE736="website",1,0)</f>
        <v>1</v>
      </c>
    </row>
    <row r="737" spans="1:32">
      <c r="A737" t="s">
        <v>1364</v>
      </c>
      <c r="B737" t="s">
        <v>33</v>
      </c>
      <c r="C737" s="3">
        <f t="shared" si="209"/>
        <v>0</v>
      </c>
      <c r="D737">
        <f t="shared" si="210"/>
        <v>1</v>
      </c>
      <c r="E737" t="s">
        <v>700</v>
      </c>
      <c r="F737" t="s">
        <v>623</v>
      </c>
      <c r="G737" s="1">
        <v>15505</v>
      </c>
      <c r="H737" s="2">
        <f t="shared" ca="1" si="211"/>
        <v>84</v>
      </c>
      <c r="I737" s="2">
        <f t="shared" ca="1" si="212"/>
        <v>0.84285714285714286</v>
      </c>
      <c r="J737" t="s">
        <v>45</v>
      </c>
      <c r="K737" t="s">
        <v>37</v>
      </c>
      <c r="L737">
        <f t="shared" si="213"/>
        <v>1</v>
      </c>
      <c r="M737">
        <f t="shared" si="214"/>
        <v>0</v>
      </c>
      <c r="N737">
        <f t="shared" si="215"/>
        <v>0</v>
      </c>
      <c r="O737" t="s">
        <v>183</v>
      </c>
      <c r="P737">
        <f t="shared" si="216"/>
        <v>0</v>
      </c>
      <c r="Q737">
        <f t="shared" si="217"/>
        <v>0</v>
      </c>
      <c r="R737">
        <f t="shared" si="218"/>
        <v>0</v>
      </c>
      <c r="S737">
        <f t="shared" si="219"/>
        <v>0</v>
      </c>
      <c r="T737">
        <f t="shared" si="220"/>
        <v>0</v>
      </c>
      <c r="U737">
        <f t="shared" si="221"/>
        <v>0</v>
      </c>
      <c r="V737">
        <f t="shared" si="222"/>
        <v>0</v>
      </c>
      <c r="W737" t="s">
        <v>58</v>
      </c>
      <c r="X737">
        <f t="shared" si="223"/>
        <v>0</v>
      </c>
      <c r="Y737">
        <f t="shared" si="224"/>
        <v>1</v>
      </c>
      <c r="Z737">
        <v>3</v>
      </c>
      <c r="AA737">
        <f t="shared" si="225"/>
        <v>0.5</v>
      </c>
      <c r="AB737" t="s">
        <v>46</v>
      </c>
      <c r="AC737">
        <f t="shared" si="226"/>
        <v>1</v>
      </c>
      <c r="AD737">
        <f t="shared" si="227"/>
        <v>0</v>
      </c>
      <c r="AE737" t="s">
        <v>50</v>
      </c>
      <c r="AF737">
        <f>IF(AE737="website",1,0)</f>
        <v>0</v>
      </c>
    </row>
    <row r="738" spans="1:32">
      <c r="A738" t="s">
        <v>1365</v>
      </c>
      <c r="B738" t="s">
        <v>33</v>
      </c>
      <c r="C738" s="3">
        <f t="shared" si="209"/>
        <v>0</v>
      </c>
      <c r="D738">
        <f t="shared" si="210"/>
        <v>1</v>
      </c>
      <c r="E738" t="s">
        <v>1125</v>
      </c>
      <c r="F738" t="s">
        <v>573</v>
      </c>
      <c r="G738" s="1">
        <v>28717</v>
      </c>
      <c r="H738" s="2">
        <f t="shared" ca="1" si="211"/>
        <v>48</v>
      </c>
      <c r="I738" s="2">
        <f t="shared" ca="1" si="212"/>
        <v>0.32857142857142857</v>
      </c>
      <c r="J738" t="s">
        <v>45</v>
      </c>
      <c r="K738" t="s">
        <v>37</v>
      </c>
      <c r="L738">
        <f t="shared" si="213"/>
        <v>1</v>
      </c>
      <c r="M738">
        <f t="shared" si="214"/>
        <v>0</v>
      </c>
      <c r="N738">
        <f t="shared" si="215"/>
        <v>0</v>
      </c>
      <c r="O738" t="s">
        <v>38</v>
      </c>
      <c r="P738">
        <f t="shared" si="216"/>
        <v>1</v>
      </c>
      <c r="Q738">
        <f t="shared" si="217"/>
        <v>0</v>
      </c>
      <c r="R738">
        <f t="shared" si="218"/>
        <v>0</v>
      </c>
      <c r="S738">
        <f t="shared" si="219"/>
        <v>0</v>
      </c>
      <c r="T738">
        <f t="shared" si="220"/>
        <v>0</v>
      </c>
      <c r="U738">
        <f t="shared" si="221"/>
        <v>0</v>
      </c>
      <c r="V738">
        <f t="shared" si="222"/>
        <v>0</v>
      </c>
      <c r="W738" t="s">
        <v>58</v>
      </c>
      <c r="X738">
        <f t="shared" si="223"/>
        <v>0</v>
      </c>
      <c r="Y738">
        <f t="shared" si="224"/>
        <v>1</v>
      </c>
      <c r="Z738">
        <v>3</v>
      </c>
      <c r="AA738">
        <f t="shared" si="225"/>
        <v>0.5</v>
      </c>
      <c r="AB738" t="s">
        <v>46</v>
      </c>
      <c r="AC738">
        <f t="shared" si="226"/>
        <v>1</v>
      </c>
      <c r="AD738">
        <f t="shared" si="227"/>
        <v>0</v>
      </c>
      <c r="AE738" t="s">
        <v>50</v>
      </c>
      <c r="AF738">
        <f>IF(AE738="website",1,0)</f>
        <v>0</v>
      </c>
    </row>
    <row r="739" spans="1:32">
      <c r="A739" t="s">
        <v>1366</v>
      </c>
      <c r="B739" t="s">
        <v>33</v>
      </c>
      <c r="C739" s="3">
        <f t="shared" si="209"/>
        <v>0</v>
      </c>
      <c r="D739">
        <f t="shared" si="210"/>
        <v>1</v>
      </c>
      <c r="E739" t="s">
        <v>609</v>
      </c>
      <c r="F739" t="s">
        <v>633</v>
      </c>
      <c r="G739" s="1">
        <v>29485</v>
      </c>
      <c r="H739" s="2">
        <f t="shared" ca="1" si="211"/>
        <v>46</v>
      </c>
      <c r="I739" s="2">
        <f t="shared" ca="1" si="212"/>
        <v>0.3</v>
      </c>
      <c r="J739" t="s">
        <v>45</v>
      </c>
      <c r="K739" t="s">
        <v>37</v>
      </c>
      <c r="L739">
        <f t="shared" si="213"/>
        <v>1</v>
      </c>
      <c r="M739">
        <f t="shared" si="214"/>
        <v>0</v>
      </c>
      <c r="N739">
        <f t="shared" si="215"/>
        <v>0</v>
      </c>
      <c r="O739" t="s">
        <v>592</v>
      </c>
      <c r="P739">
        <f t="shared" si="216"/>
        <v>0</v>
      </c>
      <c r="Q739">
        <f t="shared" si="217"/>
        <v>0</v>
      </c>
      <c r="R739">
        <f t="shared" si="218"/>
        <v>0</v>
      </c>
      <c r="S739">
        <f t="shared" si="219"/>
        <v>0</v>
      </c>
      <c r="T739">
        <f t="shared" si="220"/>
        <v>0</v>
      </c>
      <c r="U739">
        <f t="shared" si="221"/>
        <v>0</v>
      </c>
      <c r="V739">
        <f t="shared" si="222"/>
        <v>0</v>
      </c>
      <c r="W739" t="s">
        <v>39</v>
      </c>
      <c r="X739">
        <f t="shared" si="223"/>
        <v>1</v>
      </c>
      <c r="Y739">
        <f t="shared" si="224"/>
        <v>0</v>
      </c>
      <c r="Z739">
        <v>5</v>
      </c>
      <c r="AA739">
        <f t="shared" si="225"/>
        <v>1</v>
      </c>
      <c r="AB739" t="s">
        <v>46</v>
      </c>
      <c r="AC739">
        <f t="shared" si="226"/>
        <v>0</v>
      </c>
      <c r="AD739">
        <f t="shared" si="227"/>
        <v>0</v>
      </c>
      <c r="AE739" t="s">
        <v>41</v>
      </c>
      <c r="AF739">
        <f>IF(AE739="website",1,0)</f>
        <v>1</v>
      </c>
    </row>
    <row r="740" spans="1:32">
      <c r="A740" t="s">
        <v>1367</v>
      </c>
      <c r="B740" t="s">
        <v>33</v>
      </c>
      <c r="C740" s="3">
        <f t="shared" si="209"/>
        <v>0</v>
      </c>
      <c r="D740">
        <f t="shared" si="210"/>
        <v>1</v>
      </c>
      <c r="E740" t="s">
        <v>677</v>
      </c>
      <c r="F740" t="s">
        <v>430</v>
      </c>
      <c r="G740" s="1">
        <v>23817</v>
      </c>
      <c r="H740" s="2">
        <f t="shared" ca="1" si="211"/>
        <v>61</v>
      </c>
      <c r="I740" s="2">
        <f t="shared" ca="1" si="212"/>
        <v>0.51428571428571423</v>
      </c>
      <c r="J740" t="s">
        <v>45</v>
      </c>
      <c r="K740" t="s">
        <v>37</v>
      </c>
      <c r="L740">
        <f t="shared" si="213"/>
        <v>1</v>
      </c>
      <c r="M740">
        <f t="shared" si="214"/>
        <v>0</v>
      </c>
      <c r="N740">
        <f t="shared" si="215"/>
        <v>0</v>
      </c>
      <c r="O740" t="s">
        <v>38</v>
      </c>
      <c r="P740">
        <f t="shared" si="216"/>
        <v>1</v>
      </c>
      <c r="Q740">
        <f t="shared" si="217"/>
        <v>0</v>
      </c>
      <c r="R740">
        <f t="shared" si="218"/>
        <v>0</v>
      </c>
      <c r="S740">
        <f t="shared" si="219"/>
        <v>0</v>
      </c>
      <c r="T740">
        <f t="shared" si="220"/>
        <v>0</v>
      </c>
      <c r="U740">
        <f t="shared" si="221"/>
        <v>0</v>
      </c>
      <c r="V740">
        <f t="shared" si="222"/>
        <v>0</v>
      </c>
      <c r="W740" t="s">
        <v>39</v>
      </c>
      <c r="X740">
        <f t="shared" si="223"/>
        <v>1</v>
      </c>
      <c r="Y740">
        <f t="shared" si="224"/>
        <v>0</v>
      </c>
      <c r="Z740">
        <v>2</v>
      </c>
      <c r="AA740">
        <f t="shared" si="225"/>
        <v>0.25</v>
      </c>
      <c r="AB740" t="s">
        <v>46</v>
      </c>
      <c r="AC740">
        <f t="shared" si="226"/>
        <v>1</v>
      </c>
      <c r="AD740">
        <f t="shared" si="227"/>
        <v>0</v>
      </c>
      <c r="AE740" t="s">
        <v>50</v>
      </c>
      <c r="AF740">
        <f>IF(AE740="website",1,0)</f>
        <v>0</v>
      </c>
    </row>
    <row r="741" spans="1:32">
      <c r="A741" t="s">
        <v>1368</v>
      </c>
      <c r="B741" t="s">
        <v>33</v>
      </c>
      <c r="C741" s="3">
        <f t="shared" si="209"/>
        <v>0</v>
      </c>
      <c r="D741">
        <f t="shared" si="210"/>
        <v>1</v>
      </c>
      <c r="E741" t="s">
        <v>699</v>
      </c>
      <c r="F741" t="s">
        <v>818</v>
      </c>
      <c r="G741" s="1">
        <v>24449</v>
      </c>
      <c r="H741" s="2">
        <f t="shared" ca="1" si="211"/>
        <v>59</v>
      </c>
      <c r="I741" s="2">
        <f t="shared" ca="1" si="212"/>
        <v>0.48571428571428571</v>
      </c>
      <c r="J741" t="s">
        <v>36</v>
      </c>
      <c r="K741" t="s">
        <v>37</v>
      </c>
      <c r="L741">
        <f t="shared" si="213"/>
        <v>1</v>
      </c>
      <c r="M741">
        <f t="shared" si="214"/>
        <v>0</v>
      </c>
      <c r="N741">
        <f t="shared" si="215"/>
        <v>0</v>
      </c>
      <c r="O741" t="s">
        <v>183</v>
      </c>
      <c r="P741">
        <f t="shared" si="216"/>
        <v>0</v>
      </c>
      <c r="Q741">
        <f t="shared" si="217"/>
        <v>0</v>
      </c>
      <c r="R741">
        <f t="shared" si="218"/>
        <v>0</v>
      </c>
      <c r="S741">
        <f t="shared" si="219"/>
        <v>0</v>
      </c>
      <c r="T741">
        <f t="shared" si="220"/>
        <v>0</v>
      </c>
      <c r="U741">
        <f t="shared" si="221"/>
        <v>0</v>
      </c>
      <c r="V741">
        <f t="shared" si="222"/>
        <v>0</v>
      </c>
      <c r="W741" t="s">
        <v>58</v>
      </c>
      <c r="X741">
        <f t="shared" si="223"/>
        <v>0</v>
      </c>
      <c r="Y741">
        <f t="shared" si="224"/>
        <v>1</v>
      </c>
      <c r="Z741">
        <v>1</v>
      </c>
      <c r="AA741">
        <f t="shared" si="225"/>
        <v>0</v>
      </c>
      <c r="AB741" t="s">
        <v>46</v>
      </c>
      <c r="AC741">
        <f t="shared" si="226"/>
        <v>0</v>
      </c>
      <c r="AD741">
        <f t="shared" si="227"/>
        <v>1</v>
      </c>
      <c r="AE741" t="s">
        <v>90</v>
      </c>
      <c r="AF741">
        <f>IF(AE741="website",1,0)</f>
        <v>0</v>
      </c>
    </row>
    <row r="742" spans="1:32">
      <c r="A742" t="s">
        <v>1369</v>
      </c>
      <c r="B742" t="s">
        <v>33</v>
      </c>
      <c r="C742" s="3">
        <f t="shared" si="209"/>
        <v>0</v>
      </c>
      <c r="D742">
        <f t="shared" si="210"/>
        <v>1</v>
      </c>
      <c r="E742" t="s">
        <v>1370</v>
      </c>
      <c r="F742" t="s">
        <v>691</v>
      </c>
      <c r="G742" s="1">
        <v>22869</v>
      </c>
      <c r="H742" s="2">
        <f t="shared" ca="1" si="211"/>
        <v>64</v>
      </c>
      <c r="I742" s="2">
        <f t="shared" ca="1" si="212"/>
        <v>0.55714285714285716</v>
      </c>
      <c r="J742" t="s">
        <v>36</v>
      </c>
      <c r="K742" t="s">
        <v>37</v>
      </c>
      <c r="L742">
        <f t="shared" si="213"/>
        <v>1</v>
      </c>
      <c r="M742">
        <f t="shared" si="214"/>
        <v>0</v>
      </c>
      <c r="N742">
        <f t="shared" si="215"/>
        <v>0</v>
      </c>
      <c r="O742" t="s">
        <v>38</v>
      </c>
      <c r="P742">
        <f t="shared" si="216"/>
        <v>1</v>
      </c>
      <c r="Q742">
        <f t="shared" si="217"/>
        <v>0</v>
      </c>
      <c r="R742">
        <f t="shared" si="218"/>
        <v>0</v>
      </c>
      <c r="S742">
        <f t="shared" si="219"/>
        <v>0</v>
      </c>
      <c r="T742">
        <f t="shared" si="220"/>
        <v>0</v>
      </c>
      <c r="U742">
        <f t="shared" si="221"/>
        <v>0</v>
      </c>
      <c r="V742">
        <f t="shared" si="222"/>
        <v>0</v>
      </c>
      <c r="W742" t="s">
        <v>39</v>
      </c>
      <c r="X742">
        <f t="shared" si="223"/>
        <v>1</v>
      </c>
      <c r="Y742">
        <f t="shared" si="224"/>
        <v>0</v>
      </c>
      <c r="Z742">
        <v>2</v>
      </c>
      <c r="AA742">
        <f t="shared" si="225"/>
        <v>0.25</v>
      </c>
      <c r="AB742" t="s">
        <v>46</v>
      </c>
      <c r="AC742">
        <f t="shared" si="226"/>
        <v>0</v>
      </c>
      <c r="AD742">
        <f t="shared" si="227"/>
        <v>0</v>
      </c>
      <c r="AE742" t="s">
        <v>41</v>
      </c>
      <c r="AF742">
        <f>IF(AE742="website",1,0)</f>
        <v>1</v>
      </c>
    </row>
    <row r="743" spans="1:32">
      <c r="A743" t="s">
        <v>1371</v>
      </c>
      <c r="B743" t="s">
        <v>33</v>
      </c>
      <c r="C743" s="3">
        <f t="shared" si="209"/>
        <v>0</v>
      </c>
      <c r="D743">
        <f t="shared" si="210"/>
        <v>1</v>
      </c>
      <c r="E743" t="s">
        <v>1147</v>
      </c>
      <c r="F743" t="s">
        <v>339</v>
      </c>
      <c r="G743" s="1">
        <v>29454</v>
      </c>
      <c r="H743" s="2">
        <f t="shared" ca="1" si="211"/>
        <v>46</v>
      </c>
      <c r="I743" s="2">
        <f t="shared" ca="1" si="212"/>
        <v>0.3</v>
      </c>
      <c r="J743" t="s">
        <v>45</v>
      </c>
      <c r="K743" t="s">
        <v>248</v>
      </c>
      <c r="L743">
        <f t="shared" si="213"/>
        <v>0</v>
      </c>
      <c r="M743">
        <f t="shared" si="214"/>
        <v>0</v>
      </c>
      <c r="N743">
        <f t="shared" si="215"/>
        <v>0</v>
      </c>
      <c r="O743" t="s">
        <v>836</v>
      </c>
      <c r="P743">
        <f t="shared" si="216"/>
        <v>0</v>
      </c>
      <c r="Q743">
        <f t="shared" si="217"/>
        <v>0</v>
      </c>
      <c r="R743">
        <f t="shared" si="218"/>
        <v>0</v>
      </c>
      <c r="S743">
        <f t="shared" si="219"/>
        <v>0</v>
      </c>
      <c r="T743">
        <f t="shared" si="220"/>
        <v>0</v>
      </c>
      <c r="U743">
        <f t="shared" si="221"/>
        <v>0</v>
      </c>
      <c r="V743">
        <f t="shared" si="222"/>
        <v>0</v>
      </c>
      <c r="W743" t="s">
        <v>39</v>
      </c>
      <c r="X743">
        <f t="shared" si="223"/>
        <v>1</v>
      </c>
      <c r="Y743">
        <f t="shared" si="224"/>
        <v>0</v>
      </c>
      <c r="Z743">
        <v>1</v>
      </c>
      <c r="AA743">
        <f t="shared" si="225"/>
        <v>0</v>
      </c>
      <c r="AB743" t="s">
        <v>40</v>
      </c>
      <c r="AC743">
        <f t="shared" si="226"/>
        <v>0</v>
      </c>
      <c r="AD743">
        <f t="shared" si="227"/>
        <v>0</v>
      </c>
      <c r="AE743" t="s">
        <v>41</v>
      </c>
      <c r="AF743">
        <f>IF(AE743="website",1,0)</f>
        <v>1</v>
      </c>
    </row>
    <row r="744" spans="1:32">
      <c r="A744" t="s">
        <v>1372</v>
      </c>
      <c r="B744" t="s">
        <v>33</v>
      </c>
      <c r="C744" s="3">
        <f t="shared" si="209"/>
        <v>0</v>
      </c>
      <c r="D744">
        <f t="shared" si="210"/>
        <v>1</v>
      </c>
      <c r="E744" t="s">
        <v>910</v>
      </c>
      <c r="F744" t="s">
        <v>720</v>
      </c>
      <c r="G744" s="1">
        <v>26552</v>
      </c>
      <c r="H744" s="2">
        <f t="shared" ca="1" si="211"/>
        <v>54</v>
      </c>
      <c r="I744" s="2">
        <f t="shared" ca="1" si="212"/>
        <v>0.41428571428571431</v>
      </c>
      <c r="J744" t="s">
        <v>45</v>
      </c>
      <c r="K744" t="s">
        <v>37</v>
      </c>
      <c r="L744">
        <f t="shared" si="213"/>
        <v>1</v>
      </c>
      <c r="M744">
        <f t="shared" si="214"/>
        <v>0</v>
      </c>
      <c r="N744">
        <f t="shared" si="215"/>
        <v>0</v>
      </c>
      <c r="O744" t="s">
        <v>76</v>
      </c>
      <c r="P744">
        <f t="shared" si="216"/>
        <v>0</v>
      </c>
      <c r="Q744">
        <f t="shared" si="217"/>
        <v>1</v>
      </c>
      <c r="R744">
        <f t="shared" si="218"/>
        <v>0</v>
      </c>
      <c r="S744">
        <f t="shared" si="219"/>
        <v>0</v>
      </c>
      <c r="T744">
        <f t="shared" si="220"/>
        <v>0</v>
      </c>
      <c r="U744">
        <f t="shared" si="221"/>
        <v>0</v>
      </c>
      <c r="V744">
        <f t="shared" si="222"/>
        <v>0</v>
      </c>
      <c r="W744" t="s">
        <v>58</v>
      </c>
      <c r="X744">
        <f t="shared" si="223"/>
        <v>0</v>
      </c>
      <c r="Y744">
        <f t="shared" si="224"/>
        <v>1</v>
      </c>
      <c r="Z744">
        <v>4</v>
      </c>
      <c r="AA744">
        <f t="shared" si="225"/>
        <v>0.75</v>
      </c>
      <c r="AB744" t="s">
        <v>40</v>
      </c>
      <c r="AC744">
        <f t="shared" si="226"/>
        <v>0</v>
      </c>
      <c r="AD744">
        <f t="shared" si="227"/>
        <v>0</v>
      </c>
      <c r="AE744" t="s">
        <v>41</v>
      </c>
      <c r="AF744">
        <f>IF(AE744="website",1,0)</f>
        <v>1</v>
      </c>
    </row>
    <row r="745" spans="1:32">
      <c r="A745" t="s">
        <v>1373</v>
      </c>
      <c r="B745" t="s">
        <v>33</v>
      </c>
      <c r="C745" s="3">
        <f t="shared" si="209"/>
        <v>0</v>
      </c>
      <c r="D745">
        <f t="shared" si="210"/>
        <v>1</v>
      </c>
      <c r="E745" t="s">
        <v>259</v>
      </c>
      <c r="F745" t="s">
        <v>730</v>
      </c>
      <c r="G745" s="1">
        <v>18577</v>
      </c>
      <c r="H745" s="2">
        <f t="shared" ca="1" si="211"/>
        <v>75</v>
      </c>
      <c r="I745" s="2">
        <f t="shared" ca="1" si="212"/>
        <v>0.7142857142857143</v>
      </c>
      <c r="J745" t="s">
        <v>36</v>
      </c>
      <c r="K745" t="s">
        <v>37</v>
      </c>
      <c r="L745">
        <f t="shared" si="213"/>
        <v>1</v>
      </c>
      <c r="M745">
        <f t="shared" si="214"/>
        <v>0</v>
      </c>
      <c r="N745">
        <f t="shared" si="215"/>
        <v>0</v>
      </c>
      <c r="O745" t="s">
        <v>305</v>
      </c>
      <c r="P745">
        <f t="shared" si="216"/>
        <v>0</v>
      </c>
      <c r="Q745">
        <f t="shared" si="217"/>
        <v>0</v>
      </c>
      <c r="R745">
        <f t="shared" si="218"/>
        <v>0</v>
      </c>
      <c r="S745">
        <f t="shared" si="219"/>
        <v>0</v>
      </c>
      <c r="T745">
        <f t="shared" si="220"/>
        <v>0</v>
      </c>
      <c r="U745">
        <f t="shared" si="221"/>
        <v>0</v>
      </c>
      <c r="V745">
        <f t="shared" si="222"/>
        <v>0</v>
      </c>
      <c r="W745" t="s">
        <v>39</v>
      </c>
      <c r="X745">
        <f t="shared" si="223"/>
        <v>1</v>
      </c>
      <c r="Y745">
        <f t="shared" si="224"/>
        <v>0</v>
      </c>
      <c r="Z745">
        <v>1</v>
      </c>
      <c r="AA745">
        <f t="shared" si="225"/>
        <v>0</v>
      </c>
      <c r="AB745" t="s">
        <v>46</v>
      </c>
      <c r="AC745">
        <f t="shared" si="226"/>
        <v>0</v>
      </c>
      <c r="AD745">
        <f t="shared" si="227"/>
        <v>0</v>
      </c>
      <c r="AE745" t="s">
        <v>41</v>
      </c>
      <c r="AF745">
        <f>IF(AE745="website",1,0)</f>
        <v>1</v>
      </c>
    </row>
    <row r="746" spans="1:32">
      <c r="A746" t="s">
        <v>1374</v>
      </c>
      <c r="B746" t="s">
        <v>33</v>
      </c>
      <c r="C746" s="3">
        <f t="shared" si="209"/>
        <v>0</v>
      </c>
      <c r="D746">
        <f t="shared" si="210"/>
        <v>1</v>
      </c>
      <c r="E746" t="s">
        <v>809</v>
      </c>
      <c r="F746" t="s">
        <v>745</v>
      </c>
      <c r="G746" s="1">
        <v>35599</v>
      </c>
      <c r="H746" s="2">
        <f t="shared" ca="1" si="211"/>
        <v>29</v>
      </c>
      <c r="I746" s="2">
        <f t="shared" ca="1" si="212"/>
        <v>5.7142857142857141E-2</v>
      </c>
      <c r="J746" t="s">
        <v>36</v>
      </c>
      <c r="K746" t="s">
        <v>37</v>
      </c>
      <c r="L746">
        <f t="shared" si="213"/>
        <v>1</v>
      </c>
      <c r="M746">
        <f t="shared" si="214"/>
        <v>0</v>
      </c>
      <c r="N746">
        <f t="shared" si="215"/>
        <v>0</v>
      </c>
      <c r="O746" t="s">
        <v>38</v>
      </c>
      <c r="P746">
        <f t="shared" si="216"/>
        <v>1</v>
      </c>
      <c r="Q746">
        <f t="shared" si="217"/>
        <v>0</v>
      </c>
      <c r="R746">
        <f t="shared" si="218"/>
        <v>0</v>
      </c>
      <c r="S746">
        <f t="shared" si="219"/>
        <v>0</v>
      </c>
      <c r="T746">
        <f t="shared" si="220"/>
        <v>0</v>
      </c>
      <c r="U746">
        <f t="shared" si="221"/>
        <v>0</v>
      </c>
      <c r="V746">
        <f t="shared" si="222"/>
        <v>0</v>
      </c>
      <c r="W746" t="s">
        <v>58</v>
      </c>
      <c r="X746">
        <f t="shared" si="223"/>
        <v>0</v>
      </c>
      <c r="Y746">
        <f t="shared" si="224"/>
        <v>1</v>
      </c>
      <c r="Z746">
        <v>5</v>
      </c>
      <c r="AA746">
        <f t="shared" si="225"/>
        <v>1</v>
      </c>
      <c r="AB746" t="s">
        <v>46</v>
      </c>
      <c r="AC746">
        <f t="shared" si="226"/>
        <v>0</v>
      </c>
      <c r="AD746">
        <f t="shared" si="227"/>
        <v>0</v>
      </c>
      <c r="AE746" t="s">
        <v>41</v>
      </c>
      <c r="AF746">
        <f>IF(AE746="website",1,0)</f>
        <v>1</v>
      </c>
    </row>
    <row r="747" spans="1:32">
      <c r="A747" t="s">
        <v>1375</v>
      </c>
      <c r="B747" t="s">
        <v>33</v>
      </c>
      <c r="C747" s="3">
        <f t="shared" si="209"/>
        <v>0</v>
      </c>
      <c r="D747">
        <f t="shared" si="210"/>
        <v>1</v>
      </c>
      <c r="E747" t="s">
        <v>1073</v>
      </c>
      <c r="F747" t="s">
        <v>641</v>
      </c>
      <c r="G747" s="1">
        <v>20741</v>
      </c>
      <c r="H747" s="2">
        <f t="shared" ca="1" si="211"/>
        <v>69</v>
      </c>
      <c r="I747" s="2">
        <f t="shared" ca="1" si="212"/>
        <v>0.62857142857142856</v>
      </c>
      <c r="J747" t="s">
        <v>45</v>
      </c>
      <c r="K747" t="s">
        <v>248</v>
      </c>
      <c r="L747">
        <f t="shared" si="213"/>
        <v>0</v>
      </c>
      <c r="M747">
        <f t="shared" si="214"/>
        <v>0</v>
      </c>
      <c r="N747">
        <f t="shared" si="215"/>
        <v>0</v>
      </c>
      <c r="O747" t="s">
        <v>411</v>
      </c>
      <c r="P747">
        <f t="shared" si="216"/>
        <v>0</v>
      </c>
      <c r="Q747">
        <f t="shared" si="217"/>
        <v>0</v>
      </c>
      <c r="R747">
        <f t="shared" si="218"/>
        <v>0</v>
      </c>
      <c r="S747">
        <f t="shared" si="219"/>
        <v>0</v>
      </c>
      <c r="T747">
        <f t="shared" si="220"/>
        <v>0</v>
      </c>
      <c r="U747">
        <f t="shared" si="221"/>
        <v>0</v>
      </c>
      <c r="V747">
        <f t="shared" si="222"/>
        <v>0</v>
      </c>
      <c r="W747" t="s">
        <v>39</v>
      </c>
      <c r="X747">
        <f t="shared" si="223"/>
        <v>1</v>
      </c>
      <c r="Y747">
        <f t="shared" si="224"/>
        <v>0</v>
      </c>
      <c r="Z747">
        <v>4</v>
      </c>
      <c r="AA747">
        <f t="shared" si="225"/>
        <v>0.75</v>
      </c>
      <c r="AB747" t="s">
        <v>46</v>
      </c>
      <c r="AC747">
        <f t="shared" si="226"/>
        <v>0</v>
      </c>
      <c r="AD747">
        <f t="shared" si="227"/>
        <v>0</v>
      </c>
      <c r="AE747" t="s">
        <v>41</v>
      </c>
      <c r="AF747">
        <f>IF(AE747="website",1,0)</f>
        <v>1</v>
      </c>
    </row>
    <row r="748" spans="1:32">
      <c r="A748" t="s">
        <v>1376</v>
      </c>
      <c r="B748" t="s">
        <v>33</v>
      </c>
      <c r="C748" s="3">
        <f t="shared" si="209"/>
        <v>0</v>
      </c>
      <c r="D748">
        <f t="shared" si="210"/>
        <v>1</v>
      </c>
      <c r="E748" t="s">
        <v>936</v>
      </c>
      <c r="F748" t="s">
        <v>726</v>
      </c>
      <c r="G748" s="1">
        <v>33712</v>
      </c>
      <c r="H748" s="2">
        <f t="shared" ca="1" si="211"/>
        <v>34</v>
      </c>
      <c r="I748" s="2">
        <f t="shared" ca="1" si="212"/>
        <v>0.12857142857142856</v>
      </c>
      <c r="J748" t="s">
        <v>45</v>
      </c>
      <c r="K748" t="s">
        <v>37</v>
      </c>
      <c r="L748">
        <f t="shared" si="213"/>
        <v>1</v>
      </c>
      <c r="M748">
        <f t="shared" si="214"/>
        <v>0</v>
      </c>
      <c r="N748">
        <f t="shared" si="215"/>
        <v>0</v>
      </c>
      <c r="O748" t="s">
        <v>600</v>
      </c>
      <c r="P748">
        <f t="shared" si="216"/>
        <v>0</v>
      </c>
      <c r="Q748">
        <f t="shared" si="217"/>
        <v>0</v>
      </c>
      <c r="R748">
        <f t="shared" si="218"/>
        <v>0</v>
      </c>
      <c r="S748">
        <f t="shared" si="219"/>
        <v>0</v>
      </c>
      <c r="T748">
        <f t="shared" si="220"/>
        <v>0</v>
      </c>
      <c r="U748">
        <f t="shared" si="221"/>
        <v>0</v>
      </c>
      <c r="V748">
        <f t="shared" si="222"/>
        <v>0</v>
      </c>
      <c r="W748" t="s">
        <v>39</v>
      </c>
      <c r="X748">
        <f t="shared" si="223"/>
        <v>1</v>
      </c>
      <c r="Y748">
        <f t="shared" si="224"/>
        <v>0</v>
      </c>
      <c r="Z748">
        <v>4</v>
      </c>
      <c r="AA748">
        <f t="shared" si="225"/>
        <v>0.75</v>
      </c>
      <c r="AB748" t="s">
        <v>40</v>
      </c>
      <c r="AC748">
        <f t="shared" si="226"/>
        <v>0</v>
      </c>
      <c r="AD748">
        <f t="shared" si="227"/>
        <v>0</v>
      </c>
      <c r="AE748" t="s">
        <v>41</v>
      </c>
      <c r="AF748">
        <f>IF(AE748="website",1,0)</f>
        <v>1</v>
      </c>
    </row>
    <row r="749" spans="1:32">
      <c r="A749" t="s">
        <v>1377</v>
      </c>
      <c r="B749" t="s">
        <v>55</v>
      </c>
      <c r="C749" s="3">
        <f t="shared" si="209"/>
        <v>1</v>
      </c>
      <c r="D749">
        <f t="shared" si="210"/>
        <v>0</v>
      </c>
      <c r="E749" t="s">
        <v>1378</v>
      </c>
      <c r="F749" t="s">
        <v>57</v>
      </c>
      <c r="G749" s="1">
        <v>27093</v>
      </c>
      <c r="H749" s="2">
        <f t="shared" ca="1" si="211"/>
        <v>52</v>
      </c>
      <c r="I749" s="2">
        <f t="shared" ca="1" si="212"/>
        <v>0.38571428571428573</v>
      </c>
      <c r="J749" t="s">
        <v>36</v>
      </c>
      <c r="K749" t="s">
        <v>37</v>
      </c>
      <c r="L749">
        <f t="shared" si="213"/>
        <v>1</v>
      </c>
      <c r="M749">
        <f t="shared" si="214"/>
        <v>0</v>
      </c>
      <c r="N749">
        <f t="shared" si="215"/>
        <v>0</v>
      </c>
      <c r="O749" t="s">
        <v>38</v>
      </c>
      <c r="P749">
        <f t="shared" si="216"/>
        <v>1</v>
      </c>
      <c r="Q749">
        <f t="shared" si="217"/>
        <v>0</v>
      </c>
      <c r="R749">
        <f t="shared" si="218"/>
        <v>0</v>
      </c>
      <c r="S749">
        <f t="shared" si="219"/>
        <v>0</v>
      </c>
      <c r="T749">
        <f t="shared" si="220"/>
        <v>0</v>
      </c>
      <c r="U749">
        <f t="shared" si="221"/>
        <v>0</v>
      </c>
      <c r="V749">
        <f t="shared" si="222"/>
        <v>0</v>
      </c>
      <c r="W749" t="s">
        <v>39</v>
      </c>
      <c r="X749">
        <f t="shared" si="223"/>
        <v>1</v>
      </c>
      <c r="Y749">
        <f t="shared" si="224"/>
        <v>0</v>
      </c>
      <c r="Z749">
        <v>1</v>
      </c>
      <c r="AA749">
        <f t="shared" si="225"/>
        <v>0</v>
      </c>
      <c r="AB749" t="s">
        <v>40</v>
      </c>
      <c r="AC749">
        <f t="shared" si="226"/>
        <v>0</v>
      </c>
      <c r="AD749">
        <f t="shared" si="227"/>
        <v>1</v>
      </c>
      <c r="AE749" t="s">
        <v>90</v>
      </c>
      <c r="AF749">
        <f>IF(AE749="website",1,0)</f>
        <v>0</v>
      </c>
    </row>
    <row r="750" spans="1:32">
      <c r="A750" t="s">
        <v>1379</v>
      </c>
      <c r="B750" t="s">
        <v>33</v>
      </c>
      <c r="C750" s="3">
        <f t="shared" si="209"/>
        <v>0</v>
      </c>
      <c r="D750">
        <f t="shared" si="210"/>
        <v>1</v>
      </c>
      <c r="E750" t="s">
        <v>1210</v>
      </c>
      <c r="F750" t="s">
        <v>366</v>
      </c>
      <c r="G750" s="1">
        <v>33934</v>
      </c>
      <c r="H750" s="2">
        <f t="shared" ca="1" si="211"/>
        <v>33</v>
      </c>
      <c r="I750" s="2">
        <f t="shared" ca="1" si="212"/>
        <v>0.11428571428571428</v>
      </c>
      <c r="J750" t="s">
        <v>36</v>
      </c>
      <c r="K750" t="s">
        <v>37</v>
      </c>
      <c r="L750">
        <f t="shared" si="213"/>
        <v>1</v>
      </c>
      <c r="M750">
        <f t="shared" si="214"/>
        <v>0</v>
      </c>
      <c r="N750">
        <f t="shared" si="215"/>
        <v>0</v>
      </c>
      <c r="O750" t="s">
        <v>717</v>
      </c>
      <c r="P750">
        <f t="shared" si="216"/>
        <v>0</v>
      </c>
      <c r="Q750">
        <f t="shared" si="217"/>
        <v>0</v>
      </c>
      <c r="R750">
        <f t="shared" si="218"/>
        <v>0</v>
      </c>
      <c r="S750">
        <f t="shared" si="219"/>
        <v>0</v>
      </c>
      <c r="T750">
        <f t="shared" si="220"/>
        <v>0</v>
      </c>
      <c r="U750">
        <f t="shared" si="221"/>
        <v>0</v>
      </c>
      <c r="V750">
        <f t="shared" si="222"/>
        <v>0</v>
      </c>
      <c r="W750" t="s">
        <v>39</v>
      </c>
      <c r="X750">
        <f t="shared" si="223"/>
        <v>1</v>
      </c>
      <c r="Y750">
        <f t="shared" si="224"/>
        <v>0</v>
      </c>
      <c r="Z750">
        <v>5</v>
      </c>
      <c r="AA750">
        <f t="shared" si="225"/>
        <v>1</v>
      </c>
      <c r="AB750" t="s">
        <v>46</v>
      </c>
      <c r="AC750">
        <f t="shared" si="226"/>
        <v>1</v>
      </c>
      <c r="AD750">
        <f t="shared" si="227"/>
        <v>0</v>
      </c>
      <c r="AE750" t="s">
        <v>50</v>
      </c>
      <c r="AF750">
        <f>IF(AE750="website",1,0)</f>
        <v>0</v>
      </c>
    </row>
    <row r="751" spans="1:32">
      <c r="A751" t="s">
        <v>1380</v>
      </c>
      <c r="B751" t="s">
        <v>33</v>
      </c>
      <c r="C751" s="3">
        <f t="shared" si="209"/>
        <v>0</v>
      </c>
      <c r="D751">
        <f t="shared" si="210"/>
        <v>1</v>
      </c>
      <c r="E751" t="s">
        <v>663</v>
      </c>
      <c r="F751" t="s">
        <v>664</v>
      </c>
      <c r="G751" s="1">
        <v>27919</v>
      </c>
      <c r="H751" s="2">
        <f t="shared" ca="1" si="211"/>
        <v>50</v>
      </c>
      <c r="I751" s="2">
        <f t="shared" ca="1" si="212"/>
        <v>0.35714285714285715</v>
      </c>
      <c r="J751" t="s">
        <v>36</v>
      </c>
      <c r="K751" t="s">
        <v>37</v>
      </c>
      <c r="L751">
        <f t="shared" si="213"/>
        <v>1</v>
      </c>
      <c r="M751">
        <f t="shared" si="214"/>
        <v>0</v>
      </c>
      <c r="N751">
        <f t="shared" si="215"/>
        <v>0</v>
      </c>
      <c r="O751" t="s">
        <v>124</v>
      </c>
      <c r="P751">
        <f t="shared" si="216"/>
        <v>0</v>
      </c>
      <c r="Q751">
        <f t="shared" si="217"/>
        <v>0</v>
      </c>
      <c r="R751">
        <f t="shared" si="218"/>
        <v>0</v>
      </c>
      <c r="S751">
        <f t="shared" si="219"/>
        <v>0</v>
      </c>
      <c r="T751">
        <f t="shared" si="220"/>
        <v>0</v>
      </c>
      <c r="U751">
        <f t="shared" si="221"/>
        <v>1</v>
      </c>
      <c r="V751">
        <f t="shared" si="222"/>
        <v>0</v>
      </c>
      <c r="W751" t="s">
        <v>58</v>
      </c>
      <c r="X751">
        <f t="shared" si="223"/>
        <v>0</v>
      </c>
      <c r="Y751">
        <f t="shared" si="224"/>
        <v>1</v>
      </c>
      <c r="Z751">
        <v>1</v>
      </c>
      <c r="AA751">
        <f t="shared" si="225"/>
        <v>0</v>
      </c>
      <c r="AB751" t="s">
        <v>46</v>
      </c>
      <c r="AC751">
        <f t="shared" si="226"/>
        <v>1</v>
      </c>
      <c r="AD751">
        <f t="shared" si="227"/>
        <v>0</v>
      </c>
      <c r="AE751" t="s">
        <v>50</v>
      </c>
      <c r="AF751">
        <f>IF(AE751="website",1,0)</f>
        <v>0</v>
      </c>
    </row>
    <row r="752" spans="1:32">
      <c r="A752" t="s">
        <v>1381</v>
      </c>
      <c r="B752" t="s">
        <v>33</v>
      </c>
      <c r="C752" s="3">
        <f t="shared" si="209"/>
        <v>0</v>
      </c>
      <c r="D752">
        <f t="shared" si="210"/>
        <v>1</v>
      </c>
      <c r="E752" t="s">
        <v>903</v>
      </c>
      <c r="F752" t="s">
        <v>538</v>
      </c>
      <c r="G752" s="1">
        <v>27291</v>
      </c>
      <c r="H752" s="2">
        <f t="shared" ca="1" si="211"/>
        <v>52</v>
      </c>
      <c r="I752" s="2">
        <f t="shared" ca="1" si="212"/>
        <v>0.38571428571428573</v>
      </c>
      <c r="J752" t="s">
        <v>45</v>
      </c>
      <c r="K752" t="s">
        <v>37</v>
      </c>
      <c r="L752">
        <f t="shared" si="213"/>
        <v>1</v>
      </c>
      <c r="M752">
        <f t="shared" si="214"/>
        <v>0</v>
      </c>
      <c r="N752">
        <f t="shared" si="215"/>
        <v>0</v>
      </c>
      <c r="O752" t="s">
        <v>38</v>
      </c>
      <c r="P752">
        <f t="shared" si="216"/>
        <v>1</v>
      </c>
      <c r="Q752">
        <f t="shared" si="217"/>
        <v>0</v>
      </c>
      <c r="R752">
        <f t="shared" si="218"/>
        <v>0</v>
      </c>
      <c r="S752">
        <f t="shared" si="219"/>
        <v>0</v>
      </c>
      <c r="T752">
        <f t="shared" si="220"/>
        <v>0</v>
      </c>
      <c r="U752">
        <f t="shared" si="221"/>
        <v>0</v>
      </c>
      <c r="V752">
        <f t="shared" si="222"/>
        <v>0</v>
      </c>
      <c r="W752" t="s">
        <v>39</v>
      </c>
      <c r="X752">
        <f t="shared" si="223"/>
        <v>1</v>
      </c>
      <c r="Y752">
        <f t="shared" si="224"/>
        <v>0</v>
      </c>
      <c r="Z752">
        <v>5</v>
      </c>
      <c r="AA752">
        <f t="shared" si="225"/>
        <v>1</v>
      </c>
      <c r="AB752" t="s">
        <v>46</v>
      </c>
      <c r="AC752">
        <f t="shared" si="226"/>
        <v>0</v>
      </c>
      <c r="AD752">
        <f t="shared" si="227"/>
        <v>1</v>
      </c>
      <c r="AE752" t="s">
        <v>90</v>
      </c>
      <c r="AF752">
        <f>IF(AE752="website",1,0)</f>
        <v>0</v>
      </c>
    </row>
    <row r="753" spans="1:32">
      <c r="A753" t="s">
        <v>1382</v>
      </c>
      <c r="B753" t="s">
        <v>33</v>
      </c>
      <c r="C753" s="3">
        <f t="shared" si="209"/>
        <v>0</v>
      </c>
      <c r="D753">
        <f t="shared" si="210"/>
        <v>1</v>
      </c>
      <c r="E753" t="s">
        <v>845</v>
      </c>
      <c r="F753" t="s">
        <v>796</v>
      </c>
      <c r="G753" s="1">
        <v>20075</v>
      </c>
      <c r="H753" s="2">
        <f t="shared" ca="1" si="211"/>
        <v>71</v>
      </c>
      <c r="I753" s="2">
        <f t="shared" ca="1" si="212"/>
        <v>0.65714285714285714</v>
      </c>
      <c r="J753" t="s">
        <v>36</v>
      </c>
      <c r="K753" t="s">
        <v>153</v>
      </c>
      <c r="L753">
        <f t="shared" si="213"/>
        <v>0</v>
      </c>
      <c r="M753">
        <f t="shared" si="214"/>
        <v>0</v>
      </c>
      <c r="N753">
        <f t="shared" si="215"/>
        <v>0</v>
      </c>
      <c r="O753" t="s">
        <v>154</v>
      </c>
      <c r="P753">
        <f t="shared" si="216"/>
        <v>0</v>
      </c>
      <c r="Q753">
        <f t="shared" si="217"/>
        <v>0</v>
      </c>
      <c r="R753">
        <f t="shared" si="218"/>
        <v>0</v>
      </c>
      <c r="S753">
        <f t="shared" si="219"/>
        <v>0</v>
      </c>
      <c r="T753">
        <f t="shared" si="220"/>
        <v>0</v>
      </c>
      <c r="U753">
        <f t="shared" si="221"/>
        <v>0</v>
      </c>
      <c r="V753">
        <f t="shared" si="222"/>
        <v>0</v>
      </c>
      <c r="W753" t="s">
        <v>58</v>
      </c>
      <c r="X753">
        <f t="shared" si="223"/>
        <v>0</v>
      </c>
      <c r="Y753">
        <f t="shared" si="224"/>
        <v>1</v>
      </c>
      <c r="Z753">
        <v>3</v>
      </c>
      <c r="AA753">
        <f t="shared" si="225"/>
        <v>0.5</v>
      </c>
      <c r="AB753" t="s">
        <v>46</v>
      </c>
      <c r="AC753">
        <f t="shared" si="226"/>
        <v>1</v>
      </c>
      <c r="AD753">
        <f t="shared" si="227"/>
        <v>0</v>
      </c>
      <c r="AE753" t="s">
        <v>50</v>
      </c>
      <c r="AF753">
        <f>IF(AE753="website",1,0)</f>
        <v>0</v>
      </c>
    </row>
    <row r="754" spans="1:32">
      <c r="A754" t="s">
        <v>1383</v>
      </c>
      <c r="B754" t="s">
        <v>33</v>
      </c>
      <c r="C754" s="3">
        <f t="shared" si="209"/>
        <v>0</v>
      </c>
      <c r="D754">
        <f t="shared" si="210"/>
        <v>1</v>
      </c>
      <c r="E754" t="s">
        <v>596</v>
      </c>
      <c r="F754" t="s">
        <v>726</v>
      </c>
      <c r="G754" s="1">
        <v>22272</v>
      </c>
      <c r="H754" s="2">
        <f t="shared" ca="1" si="211"/>
        <v>65</v>
      </c>
      <c r="I754" s="2">
        <f t="shared" ca="1" si="212"/>
        <v>0.5714285714285714</v>
      </c>
      <c r="J754" t="s">
        <v>45</v>
      </c>
      <c r="K754" t="s">
        <v>113</v>
      </c>
      <c r="L754">
        <f t="shared" si="213"/>
        <v>0</v>
      </c>
      <c r="M754">
        <f t="shared" si="214"/>
        <v>0</v>
      </c>
      <c r="N754">
        <f t="shared" si="215"/>
        <v>1</v>
      </c>
      <c r="O754" t="s">
        <v>675</v>
      </c>
      <c r="P754">
        <f t="shared" si="216"/>
        <v>0</v>
      </c>
      <c r="Q754">
        <f t="shared" si="217"/>
        <v>0</v>
      </c>
      <c r="R754">
        <f t="shared" si="218"/>
        <v>0</v>
      </c>
      <c r="S754">
        <f t="shared" si="219"/>
        <v>0</v>
      </c>
      <c r="T754">
        <f t="shared" si="220"/>
        <v>0</v>
      </c>
      <c r="U754">
        <f t="shared" si="221"/>
        <v>0</v>
      </c>
      <c r="V754">
        <f t="shared" si="222"/>
        <v>0</v>
      </c>
      <c r="W754" t="s">
        <v>39</v>
      </c>
      <c r="X754">
        <f t="shared" si="223"/>
        <v>1</v>
      </c>
      <c r="Y754">
        <f t="shared" si="224"/>
        <v>0</v>
      </c>
      <c r="Z754">
        <v>5</v>
      </c>
      <c r="AA754">
        <f t="shared" si="225"/>
        <v>1</v>
      </c>
      <c r="AB754" t="s">
        <v>46</v>
      </c>
      <c r="AC754">
        <f t="shared" si="226"/>
        <v>0</v>
      </c>
      <c r="AD754">
        <f t="shared" si="227"/>
        <v>0</v>
      </c>
      <c r="AE754" t="s">
        <v>41</v>
      </c>
      <c r="AF754">
        <f>IF(AE754="website",1,0)</f>
        <v>1</v>
      </c>
    </row>
    <row r="755" spans="1:32">
      <c r="A755" t="s">
        <v>1384</v>
      </c>
      <c r="B755" t="s">
        <v>33</v>
      </c>
      <c r="C755" s="3">
        <f t="shared" si="209"/>
        <v>0</v>
      </c>
      <c r="D755">
        <f t="shared" si="210"/>
        <v>1</v>
      </c>
      <c r="E755" t="s">
        <v>947</v>
      </c>
      <c r="F755" t="s">
        <v>616</v>
      </c>
      <c r="G755" s="1">
        <v>25797</v>
      </c>
      <c r="H755" s="2">
        <f t="shared" ca="1" si="211"/>
        <v>56</v>
      </c>
      <c r="I755" s="2">
        <f t="shared" ca="1" si="212"/>
        <v>0.44285714285714284</v>
      </c>
      <c r="J755" t="s">
        <v>36</v>
      </c>
      <c r="K755" t="s">
        <v>37</v>
      </c>
      <c r="L755">
        <f t="shared" si="213"/>
        <v>1</v>
      </c>
      <c r="M755">
        <f t="shared" si="214"/>
        <v>0</v>
      </c>
      <c r="N755">
        <f t="shared" si="215"/>
        <v>0</v>
      </c>
      <c r="O755" t="s">
        <v>97</v>
      </c>
      <c r="P755">
        <f t="shared" si="216"/>
        <v>0</v>
      </c>
      <c r="Q755">
        <f t="shared" si="217"/>
        <v>0</v>
      </c>
      <c r="R755">
        <f t="shared" si="218"/>
        <v>0</v>
      </c>
      <c r="S755">
        <f t="shared" si="219"/>
        <v>0</v>
      </c>
      <c r="T755">
        <f t="shared" si="220"/>
        <v>1</v>
      </c>
      <c r="U755">
        <f t="shared" si="221"/>
        <v>0</v>
      </c>
      <c r="V755">
        <f t="shared" si="222"/>
        <v>0</v>
      </c>
      <c r="W755" t="s">
        <v>58</v>
      </c>
      <c r="X755">
        <f t="shared" si="223"/>
        <v>0</v>
      </c>
      <c r="Y755">
        <f t="shared" si="224"/>
        <v>1</v>
      </c>
      <c r="Z755">
        <v>3</v>
      </c>
      <c r="AA755">
        <f t="shared" si="225"/>
        <v>0.5</v>
      </c>
      <c r="AB755" t="s">
        <v>46</v>
      </c>
      <c r="AC755">
        <f t="shared" si="226"/>
        <v>0</v>
      </c>
      <c r="AD755">
        <f t="shared" si="227"/>
        <v>0</v>
      </c>
      <c r="AE755" t="s">
        <v>41</v>
      </c>
      <c r="AF755">
        <f>IF(AE755="website",1,0)</f>
        <v>1</v>
      </c>
    </row>
    <row r="756" spans="1:32">
      <c r="A756" t="s">
        <v>1385</v>
      </c>
      <c r="B756" t="s">
        <v>55</v>
      </c>
      <c r="C756" s="3">
        <f t="shared" si="209"/>
        <v>1</v>
      </c>
      <c r="D756">
        <f t="shared" si="210"/>
        <v>0</v>
      </c>
      <c r="E756" t="s">
        <v>770</v>
      </c>
      <c r="F756" t="s">
        <v>57</v>
      </c>
      <c r="G756" s="1">
        <v>24829</v>
      </c>
      <c r="H756" s="2">
        <f t="shared" ca="1" si="211"/>
        <v>58</v>
      </c>
      <c r="I756" s="2">
        <f t="shared" ca="1" si="212"/>
        <v>0.47142857142857142</v>
      </c>
      <c r="J756" t="s">
        <v>36</v>
      </c>
      <c r="K756" t="s">
        <v>37</v>
      </c>
      <c r="L756">
        <f t="shared" si="213"/>
        <v>1</v>
      </c>
      <c r="M756">
        <f t="shared" si="214"/>
        <v>0</v>
      </c>
      <c r="N756">
        <f t="shared" si="215"/>
        <v>0</v>
      </c>
      <c r="O756" t="s">
        <v>38</v>
      </c>
      <c r="P756">
        <f t="shared" si="216"/>
        <v>1</v>
      </c>
      <c r="Q756">
        <f t="shared" si="217"/>
        <v>0</v>
      </c>
      <c r="R756">
        <f t="shared" si="218"/>
        <v>0</v>
      </c>
      <c r="S756">
        <f t="shared" si="219"/>
        <v>0</v>
      </c>
      <c r="T756">
        <f t="shared" si="220"/>
        <v>0</v>
      </c>
      <c r="U756">
        <f t="shared" si="221"/>
        <v>0</v>
      </c>
      <c r="V756">
        <f t="shared" si="222"/>
        <v>0</v>
      </c>
      <c r="W756" t="s">
        <v>39</v>
      </c>
      <c r="X756">
        <f t="shared" si="223"/>
        <v>1</v>
      </c>
      <c r="Y756">
        <f t="shared" si="224"/>
        <v>0</v>
      </c>
      <c r="Z756">
        <v>5</v>
      </c>
      <c r="AA756">
        <f t="shared" si="225"/>
        <v>1</v>
      </c>
      <c r="AB756" t="s">
        <v>46</v>
      </c>
      <c r="AC756">
        <f t="shared" si="226"/>
        <v>0</v>
      </c>
      <c r="AD756">
        <f t="shared" si="227"/>
        <v>0</v>
      </c>
      <c r="AE756" t="s">
        <v>41</v>
      </c>
      <c r="AF756">
        <f>IF(AE756="website",1,0)</f>
        <v>1</v>
      </c>
    </row>
    <row r="757" spans="1:32">
      <c r="A757" t="s">
        <v>1386</v>
      </c>
      <c r="B757" t="s">
        <v>33</v>
      </c>
      <c r="C757" s="3">
        <f t="shared" si="209"/>
        <v>0</v>
      </c>
      <c r="D757">
        <f t="shared" si="210"/>
        <v>1</v>
      </c>
      <c r="E757" t="s">
        <v>968</v>
      </c>
      <c r="F757" t="s">
        <v>726</v>
      </c>
      <c r="G757" s="1">
        <v>23089</v>
      </c>
      <c r="H757" s="2">
        <f t="shared" ca="1" si="211"/>
        <v>63</v>
      </c>
      <c r="I757" s="2">
        <f t="shared" ca="1" si="212"/>
        <v>0.54285714285714282</v>
      </c>
      <c r="J757" t="s">
        <v>36</v>
      </c>
      <c r="K757" t="s">
        <v>37</v>
      </c>
      <c r="L757">
        <f t="shared" si="213"/>
        <v>1</v>
      </c>
      <c r="M757">
        <f t="shared" si="214"/>
        <v>0</v>
      </c>
      <c r="N757">
        <f t="shared" si="215"/>
        <v>0</v>
      </c>
      <c r="O757" t="s">
        <v>183</v>
      </c>
      <c r="P757">
        <f t="shared" si="216"/>
        <v>0</v>
      </c>
      <c r="Q757">
        <f t="shared" si="217"/>
        <v>0</v>
      </c>
      <c r="R757">
        <f t="shared" si="218"/>
        <v>0</v>
      </c>
      <c r="S757">
        <f t="shared" si="219"/>
        <v>0</v>
      </c>
      <c r="T757">
        <f t="shared" si="220"/>
        <v>0</v>
      </c>
      <c r="U757">
        <f t="shared" si="221"/>
        <v>0</v>
      </c>
      <c r="V757">
        <f t="shared" si="222"/>
        <v>0</v>
      </c>
      <c r="W757" t="s">
        <v>39</v>
      </c>
      <c r="X757">
        <f t="shared" si="223"/>
        <v>1</v>
      </c>
      <c r="Y757">
        <f t="shared" si="224"/>
        <v>0</v>
      </c>
      <c r="Z757">
        <v>5</v>
      </c>
      <c r="AA757">
        <f t="shared" si="225"/>
        <v>1</v>
      </c>
      <c r="AB757" t="s">
        <v>40</v>
      </c>
      <c r="AC757">
        <f t="shared" si="226"/>
        <v>0</v>
      </c>
      <c r="AD757">
        <f t="shared" si="227"/>
        <v>0</v>
      </c>
      <c r="AE757" t="s">
        <v>41</v>
      </c>
      <c r="AF757">
        <f>IF(AE757="website",1,0)</f>
        <v>1</v>
      </c>
    </row>
    <row r="758" spans="1:32">
      <c r="A758" t="s">
        <v>1387</v>
      </c>
      <c r="B758" t="s">
        <v>33</v>
      </c>
      <c r="C758" s="3">
        <f t="shared" si="209"/>
        <v>0</v>
      </c>
      <c r="D758">
        <f t="shared" si="210"/>
        <v>1</v>
      </c>
      <c r="E758" t="s">
        <v>903</v>
      </c>
      <c r="F758" t="s">
        <v>117</v>
      </c>
      <c r="G758" s="1">
        <v>16931</v>
      </c>
      <c r="H758" s="2">
        <f t="shared" ca="1" si="211"/>
        <v>80</v>
      </c>
      <c r="I758" s="2">
        <f t="shared" ca="1" si="212"/>
        <v>0.7857142857142857</v>
      </c>
      <c r="J758" t="s">
        <v>45</v>
      </c>
      <c r="K758" t="s">
        <v>37</v>
      </c>
      <c r="L758">
        <f t="shared" si="213"/>
        <v>1</v>
      </c>
      <c r="M758">
        <f t="shared" si="214"/>
        <v>0</v>
      </c>
      <c r="N758">
        <f t="shared" si="215"/>
        <v>0</v>
      </c>
      <c r="O758" t="s">
        <v>76</v>
      </c>
      <c r="P758">
        <f t="shared" si="216"/>
        <v>0</v>
      </c>
      <c r="Q758">
        <f t="shared" si="217"/>
        <v>1</v>
      </c>
      <c r="R758">
        <f t="shared" si="218"/>
        <v>0</v>
      </c>
      <c r="S758">
        <f t="shared" si="219"/>
        <v>0</v>
      </c>
      <c r="T758">
        <f t="shared" si="220"/>
        <v>0</v>
      </c>
      <c r="U758">
        <f t="shared" si="221"/>
        <v>0</v>
      </c>
      <c r="V758">
        <f t="shared" si="222"/>
        <v>0</v>
      </c>
      <c r="W758" t="s">
        <v>39</v>
      </c>
      <c r="X758">
        <f t="shared" si="223"/>
        <v>1</v>
      </c>
      <c r="Y758">
        <f t="shared" si="224"/>
        <v>0</v>
      </c>
      <c r="Z758">
        <v>3</v>
      </c>
      <c r="AA758">
        <f t="shared" si="225"/>
        <v>0.5</v>
      </c>
      <c r="AB758" t="s">
        <v>40</v>
      </c>
      <c r="AC758">
        <f t="shared" si="226"/>
        <v>0</v>
      </c>
      <c r="AD758">
        <f t="shared" si="227"/>
        <v>0</v>
      </c>
      <c r="AE758" t="s">
        <v>41</v>
      </c>
      <c r="AF758">
        <f>IF(AE758="website",1,0)</f>
        <v>1</v>
      </c>
    </row>
    <row r="759" spans="1:32">
      <c r="A759" t="s">
        <v>1388</v>
      </c>
      <c r="B759" t="s">
        <v>33</v>
      </c>
      <c r="C759" s="3">
        <f t="shared" si="209"/>
        <v>0</v>
      </c>
      <c r="D759">
        <f t="shared" si="210"/>
        <v>1</v>
      </c>
      <c r="E759" t="s">
        <v>1389</v>
      </c>
      <c r="F759" t="s">
        <v>720</v>
      </c>
      <c r="G759" s="1">
        <v>21409</v>
      </c>
      <c r="H759" s="2">
        <f t="shared" ca="1" si="211"/>
        <v>68</v>
      </c>
      <c r="I759" s="2">
        <f t="shared" ca="1" si="212"/>
        <v>0.61428571428571432</v>
      </c>
      <c r="J759" t="s">
        <v>45</v>
      </c>
      <c r="K759" t="s">
        <v>37</v>
      </c>
      <c r="L759">
        <f t="shared" si="213"/>
        <v>1</v>
      </c>
      <c r="M759">
        <f t="shared" si="214"/>
        <v>0</v>
      </c>
      <c r="N759">
        <f t="shared" si="215"/>
        <v>0</v>
      </c>
      <c r="O759" t="s">
        <v>38</v>
      </c>
      <c r="P759">
        <f t="shared" si="216"/>
        <v>1</v>
      </c>
      <c r="Q759">
        <f t="shared" si="217"/>
        <v>0</v>
      </c>
      <c r="R759">
        <f t="shared" si="218"/>
        <v>0</v>
      </c>
      <c r="S759">
        <f t="shared" si="219"/>
        <v>0</v>
      </c>
      <c r="T759">
        <f t="shared" si="220"/>
        <v>0</v>
      </c>
      <c r="U759">
        <f t="shared" si="221"/>
        <v>0</v>
      </c>
      <c r="V759">
        <f t="shared" si="222"/>
        <v>0</v>
      </c>
      <c r="W759" t="s">
        <v>58</v>
      </c>
      <c r="X759">
        <f t="shared" si="223"/>
        <v>0</v>
      </c>
      <c r="Y759">
        <f t="shared" si="224"/>
        <v>1</v>
      </c>
      <c r="Z759">
        <v>2</v>
      </c>
      <c r="AA759">
        <f t="shared" si="225"/>
        <v>0.25</v>
      </c>
      <c r="AB759" t="s">
        <v>46</v>
      </c>
      <c r="AC759">
        <f t="shared" si="226"/>
        <v>0</v>
      </c>
      <c r="AD759">
        <f t="shared" si="227"/>
        <v>0</v>
      </c>
      <c r="AE759" t="s">
        <v>41</v>
      </c>
      <c r="AF759">
        <f>IF(AE759="website",1,0)</f>
        <v>1</v>
      </c>
    </row>
    <row r="760" spans="1:32">
      <c r="A760" t="s">
        <v>1390</v>
      </c>
      <c r="B760" t="s">
        <v>33</v>
      </c>
      <c r="C760" s="3">
        <f t="shared" si="209"/>
        <v>0</v>
      </c>
      <c r="D760">
        <f t="shared" si="210"/>
        <v>1</v>
      </c>
      <c r="E760" t="s">
        <v>852</v>
      </c>
      <c r="F760" t="s">
        <v>366</v>
      </c>
      <c r="G760" s="1">
        <v>33538</v>
      </c>
      <c r="H760" s="2">
        <f t="shared" ca="1" si="211"/>
        <v>34</v>
      </c>
      <c r="I760" s="2">
        <f t="shared" ca="1" si="212"/>
        <v>0.12857142857142856</v>
      </c>
      <c r="J760" t="s">
        <v>45</v>
      </c>
      <c r="K760" t="s">
        <v>37</v>
      </c>
      <c r="L760">
        <f t="shared" si="213"/>
        <v>1</v>
      </c>
      <c r="M760">
        <f t="shared" si="214"/>
        <v>0</v>
      </c>
      <c r="N760">
        <f t="shared" si="215"/>
        <v>0</v>
      </c>
      <c r="O760" t="s">
        <v>600</v>
      </c>
      <c r="P760">
        <f t="shared" si="216"/>
        <v>0</v>
      </c>
      <c r="Q760">
        <f t="shared" si="217"/>
        <v>0</v>
      </c>
      <c r="R760">
        <f t="shared" si="218"/>
        <v>0</v>
      </c>
      <c r="S760">
        <f t="shared" si="219"/>
        <v>0</v>
      </c>
      <c r="T760">
        <f t="shared" si="220"/>
        <v>0</v>
      </c>
      <c r="U760">
        <f t="shared" si="221"/>
        <v>0</v>
      </c>
      <c r="V760">
        <f t="shared" si="222"/>
        <v>0</v>
      </c>
      <c r="W760" t="s">
        <v>39</v>
      </c>
      <c r="X760">
        <f t="shared" si="223"/>
        <v>1</v>
      </c>
      <c r="Y760">
        <f t="shared" si="224"/>
        <v>0</v>
      </c>
      <c r="Z760">
        <v>4</v>
      </c>
      <c r="AA760">
        <f t="shared" si="225"/>
        <v>0.75</v>
      </c>
      <c r="AB760" t="s">
        <v>46</v>
      </c>
      <c r="AC760">
        <f t="shared" si="226"/>
        <v>0</v>
      </c>
      <c r="AD760">
        <f t="shared" si="227"/>
        <v>0</v>
      </c>
      <c r="AE760" t="s">
        <v>41</v>
      </c>
      <c r="AF760">
        <f>IF(AE760="website",1,0)</f>
        <v>1</v>
      </c>
    </row>
    <row r="761" spans="1:32">
      <c r="A761" t="s">
        <v>1391</v>
      </c>
      <c r="B761" t="s">
        <v>33</v>
      </c>
      <c r="C761" s="3">
        <f t="shared" si="209"/>
        <v>0</v>
      </c>
      <c r="D761">
        <f t="shared" si="210"/>
        <v>1</v>
      </c>
      <c r="E761" t="s">
        <v>404</v>
      </c>
      <c r="F761" t="s">
        <v>613</v>
      </c>
      <c r="G761" s="1">
        <v>23738</v>
      </c>
      <c r="H761" s="2">
        <f t="shared" ca="1" si="211"/>
        <v>61</v>
      </c>
      <c r="I761" s="2">
        <f t="shared" ca="1" si="212"/>
        <v>0.51428571428571423</v>
      </c>
      <c r="J761" t="s">
        <v>36</v>
      </c>
      <c r="K761" t="s">
        <v>37</v>
      </c>
      <c r="L761">
        <f t="shared" si="213"/>
        <v>1</v>
      </c>
      <c r="M761">
        <f t="shared" si="214"/>
        <v>0</v>
      </c>
      <c r="N761">
        <f t="shared" si="215"/>
        <v>0</v>
      </c>
      <c r="O761" t="s">
        <v>38</v>
      </c>
      <c r="P761">
        <f t="shared" si="216"/>
        <v>1</v>
      </c>
      <c r="Q761">
        <f t="shared" si="217"/>
        <v>0</v>
      </c>
      <c r="R761">
        <f t="shared" si="218"/>
        <v>0</v>
      </c>
      <c r="S761">
        <f t="shared" si="219"/>
        <v>0</v>
      </c>
      <c r="T761">
        <f t="shared" si="220"/>
        <v>0</v>
      </c>
      <c r="U761">
        <f t="shared" si="221"/>
        <v>0</v>
      </c>
      <c r="V761">
        <f t="shared" si="222"/>
        <v>0</v>
      </c>
      <c r="W761" t="s">
        <v>58</v>
      </c>
      <c r="X761">
        <f t="shared" si="223"/>
        <v>0</v>
      </c>
      <c r="Y761">
        <f t="shared" si="224"/>
        <v>1</v>
      </c>
      <c r="Z761">
        <v>3</v>
      </c>
      <c r="AA761">
        <f t="shared" si="225"/>
        <v>0.5</v>
      </c>
      <c r="AB761" t="s">
        <v>46</v>
      </c>
      <c r="AC761">
        <f t="shared" si="226"/>
        <v>0</v>
      </c>
      <c r="AD761">
        <f t="shared" si="227"/>
        <v>0</v>
      </c>
      <c r="AE761" t="s">
        <v>41</v>
      </c>
      <c r="AF761">
        <f>IF(AE761="website",1,0)</f>
        <v>1</v>
      </c>
    </row>
    <row r="762" spans="1:32">
      <c r="A762" t="s">
        <v>1392</v>
      </c>
      <c r="B762" t="s">
        <v>33</v>
      </c>
      <c r="C762" s="3">
        <f t="shared" si="209"/>
        <v>0</v>
      </c>
      <c r="D762">
        <f t="shared" si="210"/>
        <v>1</v>
      </c>
      <c r="E762" t="s">
        <v>647</v>
      </c>
      <c r="F762" t="s">
        <v>726</v>
      </c>
      <c r="G762" s="1">
        <v>29822</v>
      </c>
      <c r="H762" s="2">
        <f t="shared" ca="1" si="211"/>
        <v>45</v>
      </c>
      <c r="I762" s="2">
        <f t="shared" ca="1" si="212"/>
        <v>0.2857142857142857</v>
      </c>
      <c r="J762" t="s">
        <v>36</v>
      </c>
      <c r="K762" t="s">
        <v>153</v>
      </c>
      <c r="L762">
        <f t="shared" si="213"/>
        <v>0</v>
      </c>
      <c r="M762">
        <f t="shared" si="214"/>
        <v>0</v>
      </c>
      <c r="N762">
        <f t="shared" si="215"/>
        <v>0</v>
      </c>
      <c r="O762" t="s">
        <v>778</v>
      </c>
      <c r="P762">
        <f t="shared" si="216"/>
        <v>0</v>
      </c>
      <c r="Q762">
        <f t="shared" si="217"/>
        <v>0</v>
      </c>
      <c r="R762">
        <f t="shared" si="218"/>
        <v>0</v>
      </c>
      <c r="S762">
        <f t="shared" si="219"/>
        <v>0</v>
      </c>
      <c r="T762">
        <f t="shared" si="220"/>
        <v>0</v>
      </c>
      <c r="U762">
        <f t="shared" si="221"/>
        <v>0</v>
      </c>
      <c r="V762">
        <f t="shared" si="222"/>
        <v>0</v>
      </c>
      <c r="W762" t="s">
        <v>39</v>
      </c>
      <c r="X762">
        <f t="shared" si="223"/>
        <v>1</v>
      </c>
      <c r="Y762">
        <f t="shared" si="224"/>
        <v>0</v>
      </c>
      <c r="Z762">
        <v>2</v>
      </c>
      <c r="AA762">
        <f t="shared" si="225"/>
        <v>0.25</v>
      </c>
      <c r="AB762" t="s">
        <v>46</v>
      </c>
      <c r="AC762">
        <f t="shared" si="226"/>
        <v>1</v>
      </c>
      <c r="AD762">
        <f t="shared" si="227"/>
        <v>0</v>
      </c>
      <c r="AE762" t="s">
        <v>50</v>
      </c>
      <c r="AF762">
        <f>IF(AE762="website",1,0)</f>
        <v>0</v>
      </c>
    </row>
    <row r="763" spans="1:32">
      <c r="A763" t="s">
        <v>1393</v>
      </c>
      <c r="B763" t="s">
        <v>33</v>
      </c>
      <c r="C763" s="3">
        <f t="shared" si="209"/>
        <v>0</v>
      </c>
      <c r="D763">
        <f t="shared" si="210"/>
        <v>1</v>
      </c>
      <c r="E763" t="s">
        <v>612</v>
      </c>
      <c r="F763" t="s">
        <v>796</v>
      </c>
      <c r="G763" s="1">
        <v>24654</v>
      </c>
      <c r="H763" s="2">
        <f t="shared" ca="1" si="211"/>
        <v>59</v>
      </c>
      <c r="I763" s="2">
        <f t="shared" ca="1" si="212"/>
        <v>0.48571428571428571</v>
      </c>
      <c r="J763" t="s">
        <v>36</v>
      </c>
      <c r="K763" t="s">
        <v>37</v>
      </c>
      <c r="L763">
        <f t="shared" si="213"/>
        <v>1</v>
      </c>
      <c r="M763">
        <f t="shared" si="214"/>
        <v>0</v>
      </c>
      <c r="N763">
        <f t="shared" si="215"/>
        <v>0</v>
      </c>
      <c r="O763" t="s">
        <v>559</v>
      </c>
      <c r="P763">
        <f t="shared" si="216"/>
        <v>0</v>
      </c>
      <c r="Q763">
        <f t="shared" si="217"/>
        <v>0</v>
      </c>
      <c r="R763">
        <f t="shared" si="218"/>
        <v>0</v>
      </c>
      <c r="S763">
        <f t="shared" si="219"/>
        <v>0</v>
      </c>
      <c r="T763">
        <f t="shared" si="220"/>
        <v>0</v>
      </c>
      <c r="U763">
        <f t="shared" si="221"/>
        <v>0</v>
      </c>
      <c r="V763">
        <f t="shared" si="222"/>
        <v>0</v>
      </c>
      <c r="W763" t="s">
        <v>39</v>
      </c>
      <c r="X763">
        <f t="shared" si="223"/>
        <v>1</v>
      </c>
      <c r="Y763">
        <f t="shared" si="224"/>
        <v>0</v>
      </c>
      <c r="Z763">
        <v>4</v>
      </c>
      <c r="AA763">
        <f t="shared" si="225"/>
        <v>0.75</v>
      </c>
      <c r="AB763" t="s">
        <v>46</v>
      </c>
      <c r="AC763">
        <f t="shared" si="226"/>
        <v>0</v>
      </c>
      <c r="AD763">
        <f t="shared" si="227"/>
        <v>0</v>
      </c>
      <c r="AE763" t="s">
        <v>41</v>
      </c>
      <c r="AF763">
        <f>IF(AE763="website",1,0)</f>
        <v>1</v>
      </c>
    </row>
    <row r="764" spans="1:32">
      <c r="A764" t="s">
        <v>1394</v>
      </c>
      <c r="B764" t="s">
        <v>55</v>
      </c>
      <c r="C764" s="3">
        <f t="shared" si="209"/>
        <v>1</v>
      </c>
      <c r="D764">
        <f t="shared" si="210"/>
        <v>0</v>
      </c>
      <c r="E764" t="s">
        <v>1395</v>
      </c>
      <c r="F764" t="s">
        <v>57</v>
      </c>
      <c r="G764" s="1">
        <v>26132</v>
      </c>
      <c r="H764" s="2">
        <f t="shared" ca="1" si="211"/>
        <v>55</v>
      </c>
      <c r="I764" s="2">
        <f t="shared" ca="1" si="212"/>
        <v>0.42857142857142855</v>
      </c>
      <c r="J764" t="s">
        <v>36</v>
      </c>
      <c r="K764" t="s">
        <v>37</v>
      </c>
      <c r="L764">
        <f t="shared" si="213"/>
        <v>1</v>
      </c>
      <c r="M764">
        <f t="shared" si="214"/>
        <v>0</v>
      </c>
      <c r="N764">
        <f t="shared" si="215"/>
        <v>0</v>
      </c>
      <c r="O764" t="s">
        <v>785</v>
      </c>
      <c r="P764">
        <f t="shared" si="216"/>
        <v>0</v>
      </c>
      <c r="Q764">
        <f t="shared" si="217"/>
        <v>0</v>
      </c>
      <c r="R764">
        <f t="shared" si="218"/>
        <v>0</v>
      </c>
      <c r="S764">
        <f t="shared" si="219"/>
        <v>0</v>
      </c>
      <c r="T764">
        <f t="shared" si="220"/>
        <v>0</v>
      </c>
      <c r="U764">
        <f t="shared" si="221"/>
        <v>0</v>
      </c>
      <c r="V764">
        <f t="shared" si="222"/>
        <v>0</v>
      </c>
      <c r="W764" t="s">
        <v>39</v>
      </c>
      <c r="X764">
        <f t="shared" si="223"/>
        <v>1</v>
      </c>
      <c r="Y764">
        <f t="shared" si="224"/>
        <v>0</v>
      </c>
      <c r="Z764">
        <v>3</v>
      </c>
      <c r="AA764">
        <f t="shared" si="225"/>
        <v>0.5</v>
      </c>
      <c r="AB764" t="s">
        <v>46</v>
      </c>
      <c r="AC764">
        <f t="shared" si="226"/>
        <v>1</v>
      </c>
      <c r="AD764">
        <f t="shared" si="227"/>
        <v>0</v>
      </c>
      <c r="AE764" t="s">
        <v>50</v>
      </c>
      <c r="AF764">
        <f>IF(AE764="website",1,0)</f>
        <v>0</v>
      </c>
    </row>
    <row r="765" spans="1:32">
      <c r="A765" t="s">
        <v>1396</v>
      </c>
      <c r="B765" t="s">
        <v>33</v>
      </c>
      <c r="C765" s="3">
        <f t="shared" si="209"/>
        <v>0</v>
      </c>
      <c r="D765">
        <f t="shared" si="210"/>
        <v>1</v>
      </c>
      <c r="E765" t="s">
        <v>1010</v>
      </c>
      <c r="F765" t="s">
        <v>538</v>
      </c>
      <c r="G765" s="1">
        <v>30356</v>
      </c>
      <c r="H765" s="2">
        <f t="shared" ca="1" si="211"/>
        <v>43</v>
      </c>
      <c r="I765" s="2">
        <f t="shared" ca="1" si="212"/>
        <v>0.25714285714285712</v>
      </c>
      <c r="J765" t="s">
        <v>36</v>
      </c>
      <c r="K765" t="s">
        <v>248</v>
      </c>
      <c r="L765">
        <f t="shared" si="213"/>
        <v>0</v>
      </c>
      <c r="M765">
        <f t="shared" si="214"/>
        <v>0</v>
      </c>
      <c r="N765">
        <f t="shared" si="215"/>
        <v>0</v>
      </c>
      <c r="O765" t="s">
        <v>249</v>
      </c>
      <c r="P765">
        <f t="shared" si="216"/>
        <v>0</v>
      </c>
      <c r="Q765">
        <f t="shared" si="217"/>
        <v>0</v>
      </c>
      <c r="R765">
        <f t="shared" si="218"/>
        <v>0</v>
      </c>
      <c r="S765">
        <f t="shared" si="219"/>
        <v>0</v>
      </c>
      <c r="T765">
        <f t="shared" si="220"/>
        <v>0</v>
      </c>
      <c r="U765">
        <f t="shared" si="221"/>
        <v>0</v>
      </c>
      <c r="V765">
        <f t="shared" si="222"/>
        <v>0</v>
      </c>
      <c r="W765" t="s">
        <v>58</v>
      </c>
      <c r="X765">
        <f t="shared" si="223"/>
        <v>0</v>
      </c>
      <c r="Y765">
        <f t="shared" si="224"/>
        <v>1</v>
      </c>
      <c r="Z765">
        <v>4</v>
      </c>
      <c r="AA765">
        <f t="shared" si="225"/>
        <v>0.75</v>
      </c>
      <c r="AB765" t="s">
        <v>46</v>
      </c>
      <c r="AC765">
        <f t="shared" si="226"/>
        <v>0</v>
      </c>
      <c r="AD765">
        <f t="shared" si="227"/>
        <v>1</v>
      </c>
      <c r="AE765" t="s">
        <v>90</v>
      </c>
      <c r="AF765">
        <f>IF(AE765="website",1,0)</f>
        <v>0</v>
      </c>
    </row>
    <row r="766" spans="1:32">
      <c r="A766" t="s">
        <v>1397</v>
      </c>
      <c r="B766" t="s">
        <v>33</v>
      </c>
      <c r="C766" s="3">
        <f t="shared" si="209"/>
        <v>0</v>
      </c>
      <c r="D766">
        <f t="shared" si="210"/>
        <v>1</v>
      </c>
      <c r="E766" t="s">
        <v>1389</v>
      </c>
      <c r="F766" t="s">
        <v>554</v>
      </c>
      <c r="G766" s="1">
        <v>24645</v>
      </c>
      <c r="H766" s="2">
        <f t="shared" ca="1" si="211"/>
        <v>59</v>
      </c>
      <c r="I766" s="2">
        <f t="shared" ca="1" si="212"/>
        <v>0.48571428571428571</v>
      </c>
      <c r="J766" t="s">
        <v>45</v>
      </c>
      <c r="K766" t="s">
        <v>626</v>
      </c>
      <c r="L766">
        <f t="shared" si="213"/>
        <v>0</v>
      </c>
      <c r="M766">
        <f t="shared" si="214"/>
        <v>0</v>
      </c>
      <c r="N766">
        <f t="shared" si="215"/>
        <v>0</v>
      </c>
      <c r="O766" t="s">
        <v>1117</v>
      </c>
      <c r="P766">
        <f t="shared" si="216"/>
        <v>0</v>
      </c>
      <c r="Q766">
        <f t="shared" si="217"/>
        <v>0</v>
      </c>
      <c r="R766">
        <f t="shared" si="218"/>
        <v>0</v>
      </c>
      <c r="S766">
        <f t="shared" si="219"/>
        <v>0</v>
      </c>
      <c r="T766">
        <f t="shared" si="220"/>
        <v>0</v>
      </c>
      <c r="U766">
        <f t="shared" si="221"/>
        <v>0</v>
      </c>
      <c r="V766">
        <f t="shared" si="222"/>
        <v>0</v>
      </c>
      <c r="W766" t="s">
        <v>39</v>
      </c>
      <c r="X766">
        <f t="shared" si="223"/>
        <v>1</v>
      </c>
      <c r="Y766">
        <f t="shared" si="224"/>
        <v>0</v>
      </c>
      <c r="Z766">
        <v>3</v>
      </c>
      <c r="AA766">
        <f t="shared" si="225"/>
        <v>0.5</v>
      </c>
      <c r="AB766" t="s">
        <v>46</v>
      </c>
      <c r="AC766">
        <f t="shared" si="226"/>
        <v>0</v>
      </c>
      <c r="AD766">
        <f t="shared" si="227"/>
        <v>0</v>
      </c>
      <c r="AE766" t="s">
        <v>41</v>
      </c>
      <c r="AF766">
        <f>IF(AE766="website",1,0)</f>
        <v>1</v>
      </c>
    </row>
    <row r="767" spans="1:32">
      <c r="A767" t="s">
        <v>1398</v>
      </c>
      <c r="B767" t="s">
        <v>33</v>
      </c>
      <c r="C767" s="3">
        <f t="shared" si="209"/>
        <v>0</v>
      </c>
      <c r="D767">
        <f t="shared" si="210"/>
        <v>1</v>
      </c>
      <c r="E767" t="s">
        <v>1288</v>
      </c>
      <c r="F767" t="s">
        <v>378</v>
      </c>
      <c r="G767" s="1">
        <v>34581</v>
      </c>
      <c r="H767" s="2">
        <f t="shared" ca="1" si="211"/>
        <v>32</v>
      </c>
      <c r="I767" s="2">
        <f t="shared" ca="1" si="212"/>
        <v>0.1</v>
      </c>
      <c r="J767" t="s">
        <v>45</v>
      </c>
      <c r="K767" t="s">
        <v>113</v>
      </c>
      <c r="L767">
        <f t="shared" si="213"/>
        <v>0</v>
      </c>
      <c r="M767">
        <f t="shared" si="214"/>
        <v>0</v>
      </c>
      <c r="N767">
        <f t="shared" si="215"/>
        <v>1</v>
      </c>
      <c r="O767" t="s">
        <v>594</v>
      </c>
      <c r="P767">
        <f t="shared" si="216"/>
        <v>0</v>
      </c>
      <c r="Q767">
        <f t="shared" si="217"/>
        <v>0</v>
      </c>
      <c r="R767">
        <f t="shared" si="218"/>
        <v>0</v>
      </c>
      <c r="S767">
        <f t="shared" si="219"/>
        <v>0</v>
      </c>
      <c r="T767">
        <f t="shared" si="220"/>
        <v>0</v>
      </c>
      <c r="U767">
        <f t="shared" si="221"/>
        <v>0</v>
      </c>
      <c r="V767">
        <f t="shared" si="222"/>
        <v>0</v>
      </c>
      <c r="W767" t="s">
        <v>39</v>
      </c>
      <c r="X767">
        <f t="shared" si="223"/>
        <v>1</v>
      </c>
      <c r="Y767">
        <f t="shared" si="224"/>
        <v>0</v>
      </c>
      <c r="Z767">
        <v>3</v>
      </c>
      <c r="AA767">
        <f t="shared" si="225"/>
        <v>0.5</v>
      </c>
      <c r="AB767" t="s">
        <v>40</v>
      </c>
      <c r="AC767">
        <f t="shared" si="226"/>
        <v>0</v>
      </c>
      <c r="AD767">
        <f t="shared" si="227"/>
        <v>1</v>
      </c>
      <c r="AE767" t="s">
        <v>90</v>
      </c>
      <c r="AF767">
        <f>IF(AE767="website",1,0)</f>
        <v>0</v>
      </c>
    </row>
    <row r="768" spans="1:32">
      <c r="A768" t="s">
        <v>1399</v>
      </c>
      <c r="B768" t="s">
        <v>33</v>
      </c>
      <c r="C768" s="3">
        <f t="shared" si="209"/>
        <v>0</v>
      </c>
      <c r="D768">
        <f t="shared" si="210"/>
        <v>1</v>
      </c>
      <c r="E768" t="s">
        <v>787</v>
      </c>
      <c r="F768" t="s">
        <v>247</v>
      </c>
      <c r="G768" s="1">
        <v>22314</v>
      </c>
      <c r="H768" s="2">
        <f t="shared" ca="1" si="211"/>
        <v>65</v>
      </c>
      <c r="I768" s="2">
        <f t="shared" ca="1" si="212"/>
        <v>0.5714285714285714</v>
      </c>
      <c r="J768" t="s">
        <v>45</v>
      </c>
      <c r="K768" t="s">
        <v>65</v>
      </c>
      <c r="L768">
        <f t="shared" si="213"/>
        <v>0</v>
      </c>
      <c r="M768">
        <f t="shared" si="214"/>
        <v>1</v>
      </c>
      <c r="N768">
        <f t="shared" si="215"/>
        <v>0</v>
      </c>
      <c r="O768" t="s">
        <v>642</v>
      </c>
      <c r="P768">
        <f t="shared" si="216"/>
        <v>0</v>
      </c>
      <c r="Q768">
        <f t="shared" si="217"/>
        <v>0</v>
      </c>
      <c r="R768">
        <f t="shared" si="218"/>
        <v>0</v>
      </c>
      <c r="S768">
        <f t="shared" si="219"/>
        <v>0</v>
      </c>
      <c r="T768">
        <f t="shared" si="220"/>
        <v>0</v>
      </c>
      <c r="U768">
        <f t="shared" si="221"/>
        <v>0</v>
      </c>
      <c r="V768">
        <f t="shared" si="222"/>
        <v>0</v>
      </c>
      <c r="W768" t="s">
        <v>58</v>
      </c>
      <c r="X768">
        <f t="shared" si="223"/>
        <v>0</v>
      </c>
      <c r="Y768">
        <f t="shared" si="224"/>
        <v>1</v>
      </c>
      <c r="Z768">
        <v>2</v>
      </c>
      <c r="AA768">
        <f t="shared" si="225"/>
        <v>0.25</v>
      </c>
      <c r="AB768" t="s">
        <v>46</v>
      </c>
      <c r="AC768">
        <f t="shared" si="226"/>
        <v>1</v>
      </c>
      <c r="AD768">
        <f t="shared" si="227"/>
        <v>0</v>
      </c>
      <c r="AE768" t="s">
        <v>50</v>
      </c>
      <c r="AF768">
        <f>IF(AE768="website",1,0)</f>
        <v>0</v>
      </c>
    </row>
    <row r="769" spans="1:32">
      <c r="A769" t="s">
        <v>1400</v>
      </c>
      <c r="B769" t="s">
        <v>33</v>
      </c>
      <c r="C769" s="3">
        <f t="shared" si="209"/>
        <v>0</v>
      </c>
      <c r="D769">
        <f t="shared" si="210"/>
        <v>1</v>
      </c>
      <c r="E769" t="s">
        <v>546</v>
      </c>
      <c r="F769" t="s">
        <v>552</v>
      </c>
      <c r="G769" s="1">
        <v>33807</v>
      </c>
      <c r="H769" s="2">
        <f t="shared" ca="1" si="211"/>
        <v>34</v>
      </c>
      <c r="I769" s="2">
        <f t="shared" ca="1" si="212"/>
        <v>0.12857142857142856</v>
      </c>
      <c r="J769" t="s">
        <v>45</v>
      </c>
      <c r="K769" t="s">
        <v>276</v>
      </c>
      <c r="L769">
        <f t="shared" si="213"/>
        <v>0</v>
      </c>
      <c r="M769">
        <f t="shared" si="214"/>
        <v>0</v>
      </c>
      <c r="N769">
        <f t="shared" si="215"/>
        <v>0</v>
      </c>
      <c r="O769" t="s">
        <v>1401</v>
      </c>
      <c r="P769">
        <f t="shared" si="216"/>
        <v>0</v>
      </c>
      <c r="Q769">
        <f t="shared" si="217"/>
        <v>0</v>
      </c>
      <c r="R769">
        <f t="shared" si="218"/>
        <v>0</v>
      </c>
      <c r="S769">
        <f t="shared" si="219"/>
        <v>0</v>
      </c>
      <c r="T769">
        <f t="shared" si="220"/>
        <v>0</v>
      </c>
      <c r="U769">
        <f t="shared" si="221"/>
        <v>0</v>
      </c>
      <c r="V769">
        <f t="shared" si="222"/>
        <v>0</v>
      </c>
      <c r="W769" t="s">
        <v>58</v>
      </c>
      <c r="X769">
        <f t="shared" si="223"/>
        <v>0</v>
      </c>
      <c r="Y769">
        <f t="shared" si="224"/>
        <v>1</v>
      </c>
      <c r="Z769">
        <v>5</v>
      </c>
      <c r="AA769">
        <f t="shared" si="225"/>
        <v>1</v>
      </c>
      <c r="AB769" t="s">
        <v>40</v>
      </c>
      <c r="AC769">
        <f t="shared" si="226"/>
        <v>0</v>
      </c>
      <c r="AD769">
        <f t="shared" si="227"/>
        <v>0</v>
      </c>
      <c r="AE769" t="s">
        <v>41</v>
      </c>
      <c r="AF769">
        <f>IF(AE769="website",1,0)</f>
        <v>1</v>
      </c>
    </row>
    <row r="770" spans="1:32">
      <c r="A770" t="s">
        <v>1402</v>
      </c>
      <c r="B770" t="s">
        <v>33</v>
      </c>
      <c r="C770" s="3">
        <f t="shared" ref="C770:C833" si="228">IF(B770="company",1,0)</f>
        <v>0</v>
      </c>
      <c r="D770">
        <f t="shared" ref="D770:D833" si="229">IF(B770="individual",1,0)</f>
        <v>1</v>
      </c>
      <c r="E770" t="s">
        <v>976</v>
      </c>
      <c r="F770" t="s">
        <v>738</v>
      </c>
      <c r="G770" s="1">
        <v>21237</v>
      </c>
      <c r="H770" s="2">
        <f t="shared" ref="H770:H833" ca="1" si="230">DATEDIF(G770,TODAY(),"Y")</f>
        <v>68</v>
      </c>
      <c r="I770" s="2">
        <f t="shared" ref="I770:I833" ca="1" si="231">(H770-MIN(H:H))/(MAX(H:H)-MIN(H:H))</f>
        <v>0.61428571428571432</v>
      </c>
      <c r="J770" t="s">
        <v>36</v>
      </c>
      <c r="K770" t="s">
        <v>37</v>
      </c>
      <c r="L770">
        <f t="shared" ref="L770:L833" si="232">IF(K770="usa",1,0)</f>
        <v>1</v>
      </c>
      <c r="M770">
        <f t="shared" ref="M770:M833" si="233">IF(K770="canada",1,0)</f>
        <v>0</v>
      </c>
      <c r="N770">
        <f t="shared" ref="N770:N833" si="234">IF(K770="germany",1,0)</f>
        <v>0</v>
      </c>
      <c r="O770" t="s">
        <v>559</v>
      </c>
      <c r="P770">
        <f t="shared" ref="P770:P833" si="235">IF(O770="california",1,0)</f>
        <v>0</v>
      </c>
      <c r="Q770">
        <f t="shared" ref="Q770:Q833" si="236">IF(O770="oregon",1,0)</f>
        <v>0</v>
      </c>
      <c r="R770">
        <f t="shared" ref="R770:R833" si="237">IF(O770="quebec",1,0)</f>
        <v>0</v>
      </c>
      <c r="S770">
        <f t="shared" ref="S770:S833" si="238">IF(O770="berlin",1,0)</f>
        <v>0</v>
      </c>
      <c r="T770">
        <f t="shared" ref="T770:T833" si="239">IF(O770="arizona",1,0)</f>
        <v>0</v>
      </c>
      <c r="U770">
        <f t="shared" ref="U770:U833" si="240">IF(O770="nevada",1,0)</f>
        <v>0</v>
      </c>
      <c r="V770">
        <f t="shared" ref="V770:V833" si="241">IF(O770="colardo",1,0)</f>
        <v>0</v>
      </c>
      <c r="W770" t="s">
        <v>39</v>
      </c>
      <c r="X770">
        <f t="shared" ref="X770:X833" si="242">IF(W770="home",1,0)</f>
        <v>1</v>
      </c>
      <c r="Y770">
        <f t="shared" ref="Y770:Y833" si="243">IF(W770="investment",1,0)</f>
        <v>0</v>
      </c>
      <c r="Z770">
        <v>4</v>
      </c>
      <c r="AA770">
        <f t="shared" ref="AA770:AA833" si="244">(Z770-1)/4</f>
        <v>0.75</v>
      </c>
      <c r="AB770" t="s">
        <v>46</v>
      </c>
      <c r="AC770">
        <f t="shared" ref="AC770:AC833" si="245">IF(AE770="agency",1,0)</f>
        <v>1</v>
      </c>
      <c r="AD770">
        <f t="shared" ref="AD770:AD833" si="246">IF(AE770="client",1,0)</f>
        <v>0</v>
      </c>
      <c r="AE770" t="s">
        <v>50</v>
      </c>
      <c r="AF770">
        <f>IF(AE770="website",1,0)</f>
        <v>0</v>
      </c>
    </row>
    <row r="771" spans="1:32">
      <c r="A771" t="s">
        <v>1403</v>
      </c>
      <c r="B771" t="s">
        <v>33</v>
      </c>
      <c r="C771" s="3">
        <f t="shared" si="228"/>
        <v>0</v>
      </c>
      <c r="D771">
        <f t="shared" si="229"/>
        <v>1</v>
      </c>
      <c r="E771" t="s">
        <v>681</v>
      </c>
      <c r="F771" t="s">
        <v>549</v>
      </c>
      <c r="G771" s="1">
        <v>18668</v>
      </c>
      <c r="H771" s="2">
        <f t="shared" ca="1" si="230"/>
        <v>75</v>
      </c>
      <c r="I771" s="2">
        <f t="shared" ca="1" si="231"/>
        <v>0.7142857142857143</v>
      </c>
      <c r="J771" t="s">
        <v>36</v>
      </c>
      <c r="K771" t="s">
        <v>172</v>
      </c>
      <c r="L771">
        <f t="shared" si="232"/>
        <v>0</v>
      </c>
      <c r="M771">
        <f t="shared" si="233"/>
        <v>0</v>
      </c>
      <c r="N771">
        <f t="shared" si="234"/>
        <v>0</v>
      </c>
      <c r="O771" t="s">
        <v>173</v>
      </c>
      <c r="P771">
        <f t="shared" si="235"/>
        <v>0</v>
      </c>
      <c r="Q771">
        <f t="shared" si="236"/>
        <v>0</v>
      </c>
      <c r="R771">
        <f t="shared" si="237"/>
        <v>0</v>
      </c>
      <c r="S771">
        <f t="shared" si="238"/>
        <v>0</v>
      </c>
      <c r="T771">
        <f t="shared" si="239"/>
        <v>0</v>
      </c>
      <c r="U771">
        <f t="shared" si="240"/>
        <v>0</v>
      </c>
      <c r="V771">
        <f t="shared" si="241"/>
        <v>0</v>
      </c>
      <c r="W771" t="s">
        <v>39</v>
      </c>
      <c r="X771">
        <f t="shared" si="242"/>
        <v>1</v>
      </c>
      <c r="Y771">
        <f t="shared" si="243"/>
        <v>0</v>
      </c>
      <c r="Z771">
        <v>4</v>
      </c>
      <c r="AA771">
        <f t="shared" si="244"/>
        <v>0.75</v>
      </c>
      <c r="AB771" t="s">
        <v>46</v>
      </c>
      <c r="AC771">
        <f t="shared" si="245"/>
        <v>0</v>
      </c>
      <c r="AD771">
        <f t="shared" si="246"/>
        <v>0</v>
      </c>
      <c r="AE771" t="s">
        <v>41</v>
      </c>
      <c r="AF771">
        <f>IF(AE771="website",1,0)</f>
        <v>1</v>
      </c>
    </row>
    <row r="772" spans="1:32">
      <c r="A772" t="s">
        <v>1404</v>
      </c>
      <c r="B772" t="s">
        <v>55</v>
      </c>
      <c r="C772" s="3">
        <f t="shared" si="228"/>
        <v>1</v>
      </c>
      <c r="D772">
        <f t="shared" si="229"/>
        <v>0</v>
      </c>
      <c r="E772" t="s">
        <v>1405</v>
      </c>
      <c r="F772" t="s">
        <v>57</v>
      </c>
      <c r="G772" s="1">
        <v>30842</v>
      </c>
      <c r="H772" s="2">
        <f t="shared" ca="1" si="230"/>
        <v>42</v>
      </c>
      <c r="I772" s="2">
        <f t="shared" ca="1" si="231"/>
        <v>0.24285714285714285</v>
      </c>
      <c r="J772" t="s">
        <v>45</v>
      </c>
      <c r="K772" t="s">
        <v>37</v>
      </c>
      <c r="L772">
        <f t="shared" si="232"/>
        <v>1</v>
      </c>
      <c r="M772">
        <f t="shared" si="233"/>
        <v>0</v>
      </c>
      <c r="N772">
        <f t="shared" si="234"/>
        <v>0</v>
      </c>
      <c r="O772" t="s">
        <v>38</v>
      </c>
      <c r="P772">
        <f t="shared" si="235"/>
        <v>1</v>
      </c>
      <c r="Q772">
        <f t="shared" si="236"/>
        <v>0</v>
      </c>
      <c r="R772">
        <f t="shared" si="237"/>
        <v>0</v>
      </c>
      <c r="S772">
        <f t="shared" si="238"/>
        <v>0</v>
      </c>
      <c r="T772">
        <f t="shared" si="239"/>
        <v>0</v>
      </c>
      <c r="U772">
        <f t="shared" si="240"/>
        <v>0</v>
      </c>
      <c r="V772">
        <f t="shared" si="241"/>
        <v>0</v>
      </c>
      <c r="W772" t="s">
        <v>39</v>
      </c>
      <c r="X772">
        <f t="shared" si="242"/>
        <v>1</v>
      </c>
      <c r="Y772">
        <f t="shared" si="243"/>
        <v>0</v>
      </c>
      <c r="Z772">
        <v>1</v>
      </c>
      <c r="AA772">
        <f t="shared" si="244"/>
        <v>0</v>
      </c>
      <c r="AB772" t="s">
        <v>46</v>
      </c>
      <c r="AC772">
        <f t="shared" si="245"/>
        <v>0</v>
      </c>
      <c r="AD772">
        <f t="shared" si="246"/>
        <v>0</v>
      </c>
      <c r="AE772" t="s">
        <v>41</v>
      </c>
      <c r="AF772">
        <f>IF(AE772="website",1,0)</f>
        <v>1</v>
      </c>
    </row>
    <row r="773" spans="1:32">
      <c r="A773" t="s">
        <v>1406</v>
      </c>
      <c r="B773" t="s">
        <v>33</v>
      </c>
      <c r="C773" s="3">
        <f t="shared" si="228"/>
        <v>0</v>
      </c>
      <c r="D773">
        <f t="shared" si="229"/>
        <v>1</v>
      </c>
      <c r="E773" t="s">
        <v>1407</v>
      </c>
      <c r="F773" t="s">
        <v>633</v>
      </c>
      <c r="G773" s="1">
        <v>33506</v>
      </c>
      <c r="H773" s="2">
        <f t="shared" ca="1" si="230"/>
        <v>35</v>
      </c>
      <c r="I773" s="2">
        <f t="shared" ca="1" si="231"/>
        <v>0.14285714285714285</v>
      </c>
      <c r="J773" t="s">
        <v>45</v>
      </c>
      <c r="K773" t="s">
        <v>37</v>
      </c>
      <c r="L773">
        <f t="shared" si="232"/>
        <v>1</v>
      </c>
      <c r="M773">
        <f t="shared" si="233"/>
        <v>0</v>
      </c>
      <c r="N773">
        <f t="shared" si="234"/>
        <v>0</v>
      </c>
      <c r="O773" t="s">
        <v>38</v>
      </c>
      <c r="P773">
        <f t="shared" si="235"/>
        <v>1</v>
      </c>
      <c r="Q773">
        <f t="shared" si="236"/>
        <v>0</v>
      </c>
      <c r="R773">
        <f t="shared" si="237"/>
        <v>0</v>
      </c>
      <c r="S773">
        <f t="shared" si="238"/>
        <v>0</v>
      </c>
      <c r="T773">
        <f t="shared" si="239"/>
        <v>0</v>
      </c>
      <c r="U773">
        <f t="shared" si="240"/>
        <v>0</v>
      </c>
      <c r="V773">
        <f t="shared" si="241"/>
        <v>0</v>
      </c>
      <c r="W773" t="s">
        <v>58</v>
      </c>
      <c r="X773">
        <f t="shared" si="242"/>
        <v>0</v>
      </c>
      <c r="Y773">
        <f t="shared" si="243"/>
        <v>1</v>
      </c>
      <c r="Z773">
        <v>1</v>
      </c>
      <c r="AA773">
        <f t="shared" si="244"/>
        <v>0</v>
      </c>
      <c r="AB773" t="s">
        <v>46</v>
      </c>
      <c r="AC773">
        <f t="shared" si="245"/>
        <v>0</v>
      </c>
      <c r="AD773">
        <f t="shared" si="246"/>
        <v>1</v>
      </c>
      <c r="AE773" t="s">
        <v>90</v>
      </c>
      <c r="AF773">
        <f>IF(AE773="website",1,0)</f>
        <v>0</v>
      </c>
    </row>
    <row r="774" spans="1:32">
      <c r="A774" t="s">
        <v>1408</v>
      </c>
      <c r="B774" t="s">
        <v>33</v>
      </c>
      <c r="C774" s="3">
        <f t="shared" si="228"/>
        <v>0</v>
      </c>
      <c r="D774">
        <f t="shared" si="229"/>
        <v>1</v>
      </c>
      <c r="E774" t="s">
        <v>690</v>
      </c>
      <c r="F774" t="s">
        <v>117</v>
      </c>
      <c r="G774" s="1">
        <v>23720</v>
      </c>
      <c r="H774" s="2">
        <f t="shared" ca="1" si="230"/>
        <v>61</v>
      </c>
      <c r="I774" s="2">
        <f t="shared" ca="1" si="231"/>
        <v>0.51428571428571423</v>
      </c>
      <c r="J774" t="s">
        <v>45</v>
      </c>
      <c r="K774" t="s">
        <v>172</v>
      </c>
      <c r="L774">
        <f t="shared" si="232"/>
        <v>0</v>
      </c>
      <c r="M774">
        <f t="shared" si="233"/>
        <v>0</v>
      </c>
      <c r="N774">
        <f t="shared" si="234"/>
        <v>0</v>
      </c>
      <c r="O774" t="s">
        <v>355</v>
      </c>
      <c r="P774">
        <f t="shared" si="235"/>
        <v>0</v>
      </c>
      <c r="Q774">
        <f t="shared" si="236"/>
        <v>0</v>
      </c>
      <c r="R774">
        <f t="shared" si="237"/>
        <v>0</v>
      </c>
      <c r="S774">
        <f t="shared" si="238"/>
        <v>0</v>
      </c>
      <c r="T774">
        <f t="shared" si="239"/>
        <v>0</v>
      </c>
      <c r="U774">
        <f t="shared" si="240"/>
        <v>0</v>
      </c>
      <c r="V774">
        <f t="shared" si="241"/>
        <v>0</v>
      </c>
      <c r="W774" t="s">
        <v>39</v>
      </c>
      <c r="X774">
        <f t="shared" si="242"/>
        <v>1</v>
      </c>
      <c r="Y774">
        <f t="shared" si="243"/>
        <v>0</v>
      </c>
      <c r="Z774">
        <v>1</v>
      </c>
      <c r="AA774">
        <f t="shared" si="244"/>
        <v>0</v>
      </c>
      <c r="AB774" t="s">
        <v>46</v>
      </c>
      <c r="AC774">
        <f t="shared" si="245"/>
        <v>0</v>
      </c>
      <c r="AD774">
        <f t="shared" si="246"/>
        <v>0</v>
      </c>
      <c r="AE774" t="s">
        <v>41</v>
      </c>
      <c r="AF774">
        <f>IF(AE774="website",1,0)</f>
        <v>1</v>
      </c>
    </row>
    <row r="775" spans="1:32">
      <c r="A775" t="s">
        <v>1409</v>
      </c>
      <c r="B775" t="s">
        <v>33</v>
      </c>
      <c r="C775" s="3">
        <f t="shared" si="228"/>
        <v>0</v>
      </c>
      <c r="D775">
        <f t="shared" si="229"/>
        <v>1</v>
      </c>
      <c r="E775" t="s">
        <v>787</v>
      </c>
      <c r="F775" t="s">
        <v>669</v>
      </c>
      <c r="G775" s="1">
        <v>30398</v>
      </c>
      <c r="H775" s="2">
        <f t="shared" ca="1" si="230"/>
        <v>43</v>
      </c>
      <c r="I775" s="2">
        <f t="shared" ca="1" si="231"/>
        <v>0.25714285714285712</v>
      </c>
      <c r="J775" t="s">
        <v>45</v>
      </c>
      <c r="K775" t="s">
        <v>37</v>
      </c>
      <c r="L775">
        <f t="shared" si="232"/>
        <v>1</v>
      </c>
      <c r="M775">
        <f t="shared" si="233"/>
        <v>0</v>
      </c>
      <c r="N775">
        <f t="shared" si="234"/>
        <v>0</v>
      </c>
      <c r="O775" t="s">
        <v>785</v>
      </c>
      <c r="P775">
        <f t="shared" si="235"/>
        <v>0</v>
      </c>
      <c r="Q775">
        <f t="shared" si="236"/>
        <v>0</v>
      </c>
      <c r="R775">
        <f t="shared" si="237"/>
        <v>0</v>
      </c>
      <c r="S775">
        <f t="shared" si="238"/>
        <v>0</v>
      </c>
      <c r="T775">
        <f t="shared" si="239"/>
        <v>0</v>
      </c>
      <c r="U775">
        <f t="shared" si="240"/>
        <v>0</v>
      </c>
      <c r="V775">
        <f t="shared" si="241"/>
        <v>0</v>
      </c>
      <c r="W775" t="s">
        <v>39</v>
      </c>
      <c r="X775">
        <f t="shared" si="242"/>
        <v>1</v>
      </c>
      <c r="Y775">
        <f t="shared" si="243"/>
        <v>0</v>
      </c>
      <c r="Z775">
        <v>5</v>
      </c>
      <c r="AA775">
        <f t="shared" si="244"/>
        <v>1</v>
      </c>
      <c r="AB775" t="s">
        <v>40</v>
      </c>
      <c r="AC775">
        <f t="shared" si="245"/>
        <v>1</v>
      </c>
      <c r="AD775">
        <f t="shared" si="246"/>
        <v>0</v>
      </c>
      <c r="AE775" t="s">
        <v>50</v>
      </c>
      <c r="AF775">
        <f>IF(AE775="website",1,0)</f>
        <v>0</v>
      </c>
    </row>
    <row r="776" spans="1:32">
      <c r="A776" t="s">
        <v>1410</v>
      </c>
      <c r="B776" t="s">
        <v>33</v>
      </c>
      <c r="C776" s="3">
        <f t="shared" si="228"/>
        <v>0</v>
      </c>
      <c r="D776">
        <f t="shared" si="229"/>
        <v>1</v>
      </c>
      <c r="E776" t="s">
        <v>602</v>
      </c>
      <c r="F776" t="s">
        <v>641</v>
      </c>
      <c r="G776" s="1">
        <v>27753</v>
      </c>
      <c r="H776" s="2">
        <f t="shared" ca="1" si="230"/>
        <v>50</v>
      </c>
      <c r="I776" s="2">
        <f t="shared" ca="1" si="231"/>
        <v>0.35714285714285715</v>
      </c>
      <c r="J776" t="s">
        <v>36</v>
      </c>
      <c r="K776" t="s">
        <v>37</v>
      </c>
      <c r="L776">
        <f t="shared" si="232"/>
        <v>1</v>
      </c>
      <c r="M776">
        <f t="shared" si="233"/>
        <v>0</v>
      </c>
      <c r="N776">
        <f t="shared" si="234"/>
        <v>0</v>
      </c>
      <c r="O776" t="s">
        <v>97</v>
      </c>
      <c r="P776">
        <f t="shared" si="235"/>
        <v>0</v>
      </c>
      <c r="Q776">
        <f t="shared" si="236"/>
        <v>0</v>
      </c>
      <c r="R776">
        <f t="shared" si="237"/>
        <v>0</v>
      </c>
      <c r="S776">
        <f t="shared" si="238"/>
        <v>0</v>
      </c>
      <c r="T776">
        <f t="shared" si="239"/>
        <v>1</v>
      </c>
      <c r="U776">
        <f t="shared" si="240"/>
        <v>0</v>
      </c>
      <c r="V776">
        <f t="shared" si="241"/>
        <v>0</v>
      </c>
      <c r="W776" t="s">
        <v>39</v>
      </c>
      <c r="X776">
        <f t="shared" si="242"/>
        <v>1</v>
      </c>
      <c r="Y776">
        <f t="shared" si="243"/>
        <v>0</v>
      </c>
      <c r="Z776">
        <v>1</v>
      </c>
      <c r="AA776">
        <f t="shared" si="244"/>
        <v>0</v>
      </c>
      <c r="AB776" t="s">
        <v>46</v>
      </c>
      <c r="AC776">
        <f t="shared" si="245"/>
        <v>1</v>
      </c>
      <c r="AD776">
        <f t="shared" si="246"/>
        <v>0</v>
      </c>
      <c r="AE776" t="s">
        <v>50</v>
      </c>
      <c r="AF776">
        <f>IF(AE776="website",1,0)</f>
        <v>0</v>
      </c>
    </row>
    <row r="777" spans="1:32">
      <c r="A777" t="s">
        <v>1411</v>
      </c>
      <c r="B777" t="s">
        <v>33</v>
      </c>
      <c r="C777" s="3">
        <f t="shared" si="228"/>
        <v>0</v>
      </c>
      <c r="D777">
        <f t="shared" si="229"/>
        <v>1</v>
      </c>
      <c r="E777" t="s">
        <v>587</v>
      </c>
      <c r="F777" t="s">
        <v>730</v>
      </c>
      <c r="G777" s="1">
        <v>24269</v>
      </c>
      <c r="H777" s="2">
        <f t="shared" ca="1" si="230"/>
        <v>60</v>
      </c>
      <c r="I777" s="2">
        <f t="shared" ca="1" si="231"/>
        <v>0.5</v>
      </c>
      <c r="J777" t="s">
        <v>36</v>
      </c>
      <c r="K777" t="s">
        <v>113</v>
      </c>
      <c r="L777">
        <f t="shared" si="232"/>
        <v>0</v>
      </c>
      <c r="M777">
        <f t="shared" si="233"/>
        <v>0</v>
      </c>
      <c r="N777">
        <f t="shared" si="234"/>
        <v>1</v>
      </c>
      <c r="O777" t="s">
        <v>1137</v>
      </c>
      <c r="P777">
        <f t="shared" si="235"/>
        <v>0</v>
      </c>
      <c r="Q777">
        <f t="shared" si="236"/>
        <v>0</v>
      </c>
      <c r="R777">
        <f t="shared" si="237"/>
        <v>0</v>
      </c>
      <c r="S777">
        <f t="shared" si="238"/>
        <v>0</v>
      </c>
      <c r="T777">
        <f t="shared" si="239"/>
        <v>0</v>
      </c>
      <c r="U777">
        <f t="shared" si="240"/>
        <v>0</v>
      </c>
      <c r="V777">
        <f t="shared" si="241"/>
        <v>0</v>
      </c>
      <c r="W777" t="s">
        <v>39</v>
      </c>
      <c r="X777">
        <f t="shared" si="242"/>
        <v>1</v>
      </c>
      <c r="Y777">
        <f t="shared" si="243"/>
        <v>0</v>
      </c>
      <c r="Z777">
        <v>4</v>
      </c>
      <c r="AA777">
        <f t="shared" si="244"/>
        <v>0.75</v>
      </c>
      <c r="AB777" t="s">
        <v>40</v>
      </c>
      <c r="AC777">
        <f t="shared" si="245"/>
        <v>1</v>
      </c>
      <c r="AD777">
        <f t="shared" si="246"/>
        <v>0</v>
      </c>
      <c r="AE777" t="s">
        <v>50</v>
      </c>
      <c r="AF777">
        <f>IF(AE777="website",1,0)</f>
        <v>0</v>
      </c>
    </row>
    <row r="778" spans="1:32">
      <c r="A778" t="s">
        <v>1412</v>
      </c>
      <c r="B778" t="s">
        <v>55</v>
      </c>
      <c r="C778" s="3">
        <f t="shared" si="228"/>
        <v>1</v>
      </c>
      <c r="D778">
        <f t="shared" si="229"/>
        <v>0</v>
      </c>
      <c r="E778" t="s">
        <v>1413</v>
      </c>
      <c r="F778" t="s">
        <v>57</v>
      </c>
      <c r="G778" s="1">
        <v>30086</v>
      </c>
      <c r="H778" s="2">
        <f t="shared" ca="1" si="230"/>
        <v>44</v>
      </c>
      <c r="I778" s="2">
        <f t="shared" ca="1" si="231"/>
        <v>0.27142857142857141</v>
      </c>
      <c r="J778" t="s">
        <v>45</v>
      </c>
      <c r="K778" t="s">
        <v>37</v>
      </c>
      <c r="L778">
        <f t="shared" si="232"/>
        <v>1</v>
      </c>
      <c r="M778">
        <f t="shared" si="233"/>
        <v>0</v>
      </c>
      <c r="N778">
        <f t="shared" si="234"/>
        <v>0</v>
      </c>
      <c r="O778" t="s">
        <v>97</v>
      </c>
      <c r="P778">
        <f t="shared" si="235"/>
        <v>0</v>
      </c>
      <c r="Q778">
        <f t="shared" si="236"/>
        <v>0</v>
      </c>
      <c r="R778">
        <f t="shared" si="237"/>
        <v>0</v>
      </c>
      <c r="S778">
        <f t="shared" si="238"/>
        <v>0</v>
      </c>
      <c r="T778">
        <f t="shared" si="239"/>
        <v>1</v>
      </c>
      <c r="U778">
        <f t="shared" si="240"/>
        <v>0</v>
      </c>
      <c r="V778">
        <f t="shared" si="241"/>
        <v>0</v>
      </c>
      <c r="W778" t="s">
        <v>39</v>
      </c>
      <c r="X778">
        <f t="shared" si="242"/>
        <v>1</v>
      </c>
      <c r="Y778">
        <f t="shared" si="243"/>
        <v>0</v>
      </c>
      <c r="Z778">
        <v>1</v>
      </c>
      <c r="AA778">
        <f t="shared" si="244"/>
        <v>0</v>
      </c>
      <c r="AB778" t="s">
        <v>46</v>
      </c>
      <c r="AC778">
        <f t="shared" si="245"/>
        <v>0</v>
      </c>
      <c r="AD778">
        <f t="shared" si="246"/>
        <v>1</v>
      </c>
      <c r="AE778" t="s">
        <v>90</v>
      </c>
      <c r="AF778">
        <f>IF(AE778="website",1,0)</f>
        <v>0</v>
      </c>
    </row>
    <row r="779" spans="1:32">
      <c r="A779" t="s">
        <v>1414</v>
      </c>
      <c r="B779" t="s">
        <v>33</v>
      </c>
      <c r="C779" s="3">
        <f t="shared" si="228"/>
        <v>0</v>
      </c>
      <c r="D779">
        <f t="shared" si="229"/>
        <v>1</v>
      </c>
      <c r="E779" t="s">
        <v>936</v>
      </c>
      <c r="F779" t="s">
        <v>599</v>
      </c>
      <c r="G779" s="1">
        <v>35998</v>
      </c>
      <c r="H779" s="2">
        <f t="shared" ca="1" si="230"/>
        <v>28</v>
      </c>
      <c r="I779" s="2">
        <f t="shared" ca="1" si="231"/>
        <v>4.2857142857142858E-2</v>
      </c>
      <c r="J779" t="s">
        <v>45</v>
      </c>
      <c r="K779" t="s">
        <v>37</v>
      </c>
      <c r="L779">
        <f t="shared" si="232"/>
        <v>1</v>
      </c>
      <c r="M779">
        <f t="shared" si="233"/>
        <v>0</v>
      </c>
      <c r="N779">
        <f t="shared" si="234"/>
        <v>0</v>
      </c>
      <c r="O779" t="s">
        <v>38</v>
      </c>
      <c r="P779">
        <f t="shared" si="235"/>
        <v>1</v>
      </c>
      <c r="Q779">
        <f t="shared" si="236"/>
        <v>0</v>
      </c>
      <c r="R779">
        <f t="shared" si="237"/>
        <v>0</v>
      </c>
      <c r="S779">
        <f t="shared" si="238"/>
        <v>0</v>
      </c>
      <c r="T779">
        <f t="shared" si="239"/>
        <v>0</v>
      </c>
      <c r="U779">
        <f t="shared" si="240"/>
        <v>0</v>
      </c>
      <c r="V779">
        <f t="shared" si="241"/>
        <v>0</v>
      </c>
      <c r="W779" t="s">
        <v>58</v>
      </c>
      <c r="X779">
        <f t="shared" si="242"/>
        <v>0</v>
      </c>
      <c r="Y779">
        <f t="shared" si="243"/>
        <v>1</v>
      </c>
      <c r="Z779">
        <v>4</v>
      </c>
      <c r="AA779">
        <f t="shared" si="244"/>
        <v>0.75</v>
      </c>
      <c r="AB779" t="s">
        <v>40</v>
      </c>
      <c r="AC779">
        <f t="shared" si="245"/>
        <v>1</v>
      </c>
      <c r="AD779">
        <f t="shared" si="246"/>
        <v>0</v>
      </c>
      <c r="AE779" t="s">
        <v>50</v>
      </c>
      <c r="AF779">
        <f>IF(AE779="website",1,0)</f>
        <v>0</v>
      </c>
    </row>
    <row r="780" spans="1:32">
      <c r="A780" t="s">
        <v>1415</v>
      </c>
      <c r="B780" t="s">
        <v>33</v>
      </c>
      <c r="C780" s="3">
        <f t="shared" si="228"/>
        <v>0</v>
      </c>
      <c r="D780">
        <f t="shared" si="229"/>
        <v>1</v>
      </c>
      <c r="E780" t="s">
        <v>845</v>
      </c>
      <c r="F780" t="s">
        <v>716</v>
      </c>
      <c r="G780" s="1">
        <v>19454</v>
      </c>
      <c r="H780" s="2">
        <f t="shared" ca="1" si="230"/>
        <v>73</v>
      </c>
      <c r="I780" s="2">
        <f t="shared" ca="1" si="231"/>
        <v>0.68571428571428572</v>
      </c>
      <c r="J780" t="s">
        <v>36</v>
      </c>
      <c r="K780" t="s">
        <v>37</v>
      </c>
      <c r="L780">
        <f t="shared" si="232"/>
        <v>1</v>
      </c>
      <c r="M780">
        <f t="shared" si="233"/>
        <v>0</v>
      </c>
      <c r="N780">
        <f t="shared" si="234"/>
        <v>0</v>
      </c>
      <c r="O780" t="s">
        <v>38</v>
      </c>
      <c r="P780">
        <f t="shared" si="235"/>
        <v>1</v>
      </c>
      <c r="Q780">
        <f t="shared" si="236"/>
        <v>0</v>
      </c>
      <c r="R780">
        <f t="shared" si="237"/>
        <v>0</v>
      </c>
      <c r="S780">
        <f t="shared" si="238"/>
        <v>0</v>
      </c>
      <c r="T780">
        <f t="shared" si="239"/>
        <v>0</v>
      </c>
      <c r="U780">
        <f t="shared" si="240"/>
        <v>0</v>
      </c>
      <c r="V780">
        <f t="shared" si="241"/>
        <v>0</v>
      </c>
      <c r="W780" t="s">
        <v>39</v>
      </c>
      <c r="X780">
        <f t="shared" si="242"/>
        <v>1</v>
      </c>
      <c r="Y780">
        <f t="shared" si="243"/>
        <v>0</v>
      </c>
      <c r="Z780">
        <v>5</v>
      </c>
      <c r="AA780">
        <f t="shared" si="244"/>
        <v>1</v>
      </c>
      <c r="AB780" t="s">
        <v>40</v>
      </c>
      <c r="AC780">
        <f t="shared" si="245"/>
        <v>1</v>
      </c>
      <c r="AD780">
        <f t="shared" si="246"/>
        <v>0</v>
      </c>
      <c r="AE780" t="s">
        <v>50</v>
      </c>
      <c r="AF780">
        <f>IF(AE780="website",1,0)</f>
        <v>0</v>
      </c>
    </row>
    <row r="781" spans="1:32">
      <c r="A781" t="s">
        <v>1416</v>
      </c>
      <c r="B781" t="s">
        <v>33</v>
      </c>
      <c r="C781" s="3">
        <f t="shared" si="228"/>
        <v>0</v>
      </c>
      <c r="D781">
        <f t="shared" si="229"/>
        <v>1</v>
      </c>
      <c r="E781" t="s">
        <v>1346</v>
      </c>
      <c r="F781" t="s">
        <v>513</v>
      </c>
      <c r="G781" s="1">
        <v>17380</v>
      </c>
      <c r="H781" s="2">
        <f t="shared" ca="1" si="230"/>
        <v>79</v>
      </c>
      <c r="I781" s="2">
        <f t="shared" ca="1" si="231"/>
        <v>0.77142857142857146</v>
      </c>
      <c r="J781" t="s">
        <v>36</v>
      </c>
      <c r="K781" t="s">
        <v>37</v>
      </c>
      <c r="L781">
        <f t="shared" si="232"/>
        <v>1</v>
      </c>
      <c r="M781">
        <f t="shared" si="233"/>
        <v>0</v>
      </c>
      <c r="N781">
        <f t="shared" si="234"/>
        <v>0</v>
      </c>
      <c r="O781" t="s">
        <v>38</v>
      </c>
      <c r="P781">
        <f t="shared" si="235"/>
        <v>1</v>
      </c>
      <c r="Q781">
        <f t="shared" si="236"/>
        <v>0</v>
      </c>
      <c r="R781">
        <f t="shared" si="237"/>
        <v>0</v>
      </c>
      <c r="S781">
        <f t="shared" si="238"/>
        <v>0</v>
      </c>
      <c r="T781">
        <f t="shared" si="239"/>
        <v>0</v>
      </c>
      <c r="U781">
        <f t="shared" si="240"/>
        <v>0</v>
      </c>
      <c r="V781">
        <f t="shared" si="241"/>
        <v>0</v>
      </c>
      <c r="W781" t="s">
        <v>39</v>
      </c>
      <c r="X781">
        <f t="shared" si="242"/>
        <v>1</v>
      </c>
      <c r="Y781">
        <f t="shared" si="243"/>
        <v>0</v>
      </c>
      <c r="Z781">
        <v>3</v>
      </c>
      <c r="AA781">
        <f t="shared" si="244"/>
        <v>0.5</v>
      </c>
      <c r="AB781" t="s">
        <v>46</v>
      </c>
      <c r="AC781">
        <f t="shared" si="245"/>
        <v>0</v>
      </c>
      <c r="AD781">
        <f t="shared" si="246"/>
        <v>0</v>
      </c>
      <c r="AE781" t="s">
        <v>41</v>
      </c>
      <c r="AF781">
        <f>IF(AE781="website",1,0)</f>
        <v>1</v>
      </c>
    </row>
    <row r="782" spans="1:32">
      <c r="A782" t="s">
        <v>1417</v>
      </c>
      <c r="B782" t="s">
        <v>33</v>
      </c>
      <c r="C782" s="3">
        <f t="shared" si="228"/>
        <v>0</v>
      </c>
      <c r="D782">
        <f t="shared" si="229"/>
        <v>1</v>
      </c>
      <c r="E782" t="s">
        <v>722</v>
      </c>
      <c r="F782" t="s">
        <v>557</v>
      </c>
      <c r="G782" s="1">
        <v>14943</v>
      </c>
      <c r="H782" s="2">
        <f t="shared" ca="1" si="230"/>
        <v>85</v>
      </c>
      <c r="I782" s="2">
        <f t="shared" ca="1" si="231"/>
        <v>0.8571428571428571</v>
      </c>
      <c r="J782" t="s">
        <v>45</v>
      </c>
      <c r="K782" t="s">
        <v>37</v>
      </c>
      <c r="L782">
        <f t="shared" si="232"/>
        <v>1</v>
      </c>
      <c r="M782">
        <f t="shared" si="233"/>
        <v>0</v>
      </c>
      <c r="N782">
        <f t="shared" si="234"/>
        <v>0</v>
      </c>
      <c r="O782" t="s">
        <v>38</v>
      </c>
      <c r="P782">
        <f t="shared" si="235"/>
        <v>1</v>
      </c>
      <c r="Q782">
        <f t="shared" si="236"/>
        <v>0</v>
      </c>
      <c r="R782">
        <f t="shared" si="237"/>
        <v>0</v>
      </c>
      <c r="S782">
        <f t="shared" si="238"/>
        <v>0</v>
      </c>
      <c r="T782">
        <f t="shared" si="239"/>
        <v>0</v>
      </c>
      <c r="U782">
        <f t="shared" si="240"/>
        <v>0</v>
      </c>
      <c r="V782">
        <f t="shared" si="241"/>
        <v>0</v>
      </c>
      <c r="W782" t="s">
        <v>58</v>
      </c>
      <c r="X782">
        <f t="shared" si="242"/>
        <v>0</v>
      </c>
      <c r="Y782">
        <f t="shared" si="243"/>
        <v>1</v>
      </c>
      <c r="Z782">
        <v>5</v>
      </c>
      <c r="AA782">
        <f t="shared" si="244"/>
        <v>1</v>
      </c>
      <c r="AB782" t="s">
        <v>40</v>
      </c>
      <c r="AC782">
        <f t="shared" si="245"/>
        <v>0</v>
      </c>
      <c r="AD782">
        <f t="shared" si="246"/>
        <v>0</v>
      </c>
      <c r="AE782" t="s">
        <v>41</v>
      </c>
      <c r="AF782">
        <f>IF(AE782="website",1,0)</f>
        <v>1</v>
      </c>
    </row>
    <row r="783" spans="1:32">
      <c r="A783" t="s">
        <v>1418</v>
      </c>
      <c r="B783" t="s">
        <v>33</v>
      </c>
      <c r="C783" s="3">
        <f t="shared" si="228"/>
        <v>0</v>
      </c>
      <c r="D783">
        <f t="shared" si="229"/>
        <v>1</v>
      </c>
      <c r="E783" t="s">
        <v>1407</v>
      </c>
      <c r="F783" t="s">
        <v>579</v>
      </c>
      <c r="G783" s="1">
        <v>25843</v>
      </c>
      <c r="H783" s="2">
        <f t="shared" ca="1" si="230"/>
        <v>56</v>
      </c>
      <c r="I783" s="2">
        <f t="shared" ca="1" si="231"/>
        <v>0.44285714285714284</v>
      </c>
      <c r="J783" t="s">
        <v>45</v>
      </c>
      <c r="K783" t="s">
        <v>37</v>
      </c>
      <c r="L783">
        <f t="shared" si="232"/>
        <v>1</v>
      </c>
      <c r="M783">
        <f t="shared" si="233"/>
        <v>0</v>
      </c>
      <c r="N783">
        <f t="shared" si="234"/>
        <v>0</v>
      </c>
      <c r="O783" t="s">
        <v>183</v>
      </c>
      <c r="P783">
        <f t="shared" si="235"/>
        <v>0</v>
      </c>
      <c r="Q783">
        <f t="shared" si="236"/>
        <v>0</v>
      </c>
      <c r="R783">
        <f t="shared" si="237"/>
        <v>0</v>
      </c>
      <c r="S783">
        <f t="shared" si="238"/>
        <v>0</v>
      </c>
      <c r="T783">
        <f t="shared" si="239"/>
        <v>0</v>
      </c>
      <c r="U783">
        <f t="shared" si="240"/>
        <v>0</v>
      </c>
      <c r="V783">
        <f t="shared" si="241"/>
        <v>0</v>
      </c>
      <c r="W783" t="s">
        <v>58</v>
      </c>
      <c r="X783">
        <f t="shared" si="242"/>
        <v>0</v>
      </c>
      <c r="Y783">
        <f t="shared" si="243"/>
        <v>1</v>
      </c>
      <c r="Z783">
        <v>2</v>
      </c>
      <c r="AA783">
        <f t="shared" si="244"/>
        <v>0.25</v>
      </c>
      <c r="AB783" t="s">
        <v>40</v>
      </c>
      <c r="AC783">
        <f t="shared" si="245"/>
        <v>0</v>
      </c>
      <c r="AD783">
        <f t="shared" si="246"/>
        <v>0</v>
      </c>
      <c r="AE783" t="s">
        <v>41</v>
      </c>
      <c r="AF783">
        <f>IF(AE783="website",1,0)</f>
        <v>1</v>
      </c>
    </row>
    <row r="784" spans="1:32">
      <c r="A784" t="s">
        <v>1419</v>
      </c>
      <c r="B784" t="s">
        <v>33</v>
      </c>
      <c r="C784" s="3">
        <f t="shared" si="228"/>
        <v>0</v>
      </c>
      <c r="D784">
        <f t="shared" si="229"/>
        <v>1</v>
      </c>
      <c r="E784" t="s">
        <v>755</v>
      </c>
      <c r="F784" t="s">
        <v>557</v>
      </c>
      <c r="G784" s="1">
        <v>22367</v>
      </c>
      <c r="H784" s="2">
        <f t="shared" ca="1" si="230"/>
        <v>65</v>
      </c>
      <c r="I784" s="2">
        <f t="shared" ca="1" si="231"/>
        <v>0.5714285714285714</v>
      </c>
      <c r="J784" t="s">
        <v>36</v>
      </c>
      <c r="K784" t="s">
        <v>65</v>
      </c>
      <c r="L784">
        <f t="shared" si="232"/>
        <v>0</v>
      </c>
      <c r="M784">
        <f t="shared" si="233"/>
        <v>1</v>
      </c>
      <c r="N784">
        <f t="shared" si="234"/>
        <v>0</v>
      </c>
      <c r="O784" t="s">
        <v>843</v>
      </c>
      <c r="P784">
        <f t="shared" si="235"/>
        <v>0</v>
      </c>
      <c r="Q784">
        <f t="shared" si="236"/>
        <v>0</v>
      </c>
      <c r="R784">
        <f t="shared" si="237"/>
        <v>0</v>
      </c>
      <c r="S784">
        <f t="shared" si="238"/>
        <v>0</v>
      </c>
      <c r="T784">
        <f t="shared" si="239"/>
        <v>0</v>
      </c>
      <c r="U784">
        <f t="shared" si="240"/>
        <v>0</v>
      </c>
      <c r="V784">
        <f t="shared" si="241"/>
        <v>0</v>
      </c>
      <c r="W784" t="s">
        <v>39</v>
      </c>
      <c r="X784">
        <f t="shared" si="242"/>
        <v>1</v>
      </c>
      <c r="Y784">
        <f t="shared" si="243"/>
        <v>0</v>
      </c>
      <c r="Z784">
        <v>1</v>
      </c>
      <c r="AA784">
        <f t="shared" si="244"/>
        <v>0</v>
      </c>
      <c r="AB784" t="s">
        <v>40</v>
      </c>
      <c r="AC784">
        <f t="shared" si="245"/>
        <v>1</v>
      </c>
      <c r="AD784">
        <f t="shared" si="246"/>
        <v>0</v>
      </c>
      <c r="AE784" t="s">
        <v>50</v>
      </c>
      <c r="AF784">
        <f>IF(AE784="website",1,0)</f>
        <v>0</v>
      </c>
    </row>
    <row r="785" spans="1:32">
      <c r="A785" t="s">
        <v>1420</v>
      </c>
      <c r="B785" t="s">
        <v>33</v>
      </c>
      <c r="C785" s="3">
        <f t="shared" si="228"/>
        <v>0</v>
      </c>
      <c r="D785">
        <f t="shared" si="229"/>
        <v>1</v>
      </c>
      <c r="E785" t="s">
        <v>527</v>
      </c>
      <c r="F785" t="s">
        <v>728</v>
      </c>
      <c r="G785" s="1">
        <v>26841</v>
      </c>
      <c r="H785" s="2">
        <f t="shared" ca="1" si="230"/>
        <v>53</v>
      </c>
      <c r="I785" s="2">
        <f t="shared" ca="1" si="231"/>
        <v>0.4</v>
      </c>
      <c r="J785" t="s">
        <v>45</v>
      </c>
      <c r="K785" t="s">
        <v>158</v>
      </c>
      <c r="L785">
        <f t="shared" si="232"/>
        <v>0</v>
      </c>
      <c r="M785">
        <f t="shared" si="233"/>
        <v>0</v>
      </c>
      <c r="N785">
        <f t="shared" si="234"/>
        <v>0</v>
      </c>
      <c r="O785" t="s">
        <v>867</v>
      </c>
      <c r="P785">
        <f t="shared" si="235"/>
        <v>0</v>
      </c>
      <c r="Q785">
        <f t="shared" si="236"/>
        <v>0</v>
      </c>
      <c r="R785">
        <f t="shared" si="237"/>
        <v>0</v>
      </c>
      <c r="S785">
        <f t="shared" si="238"/>
        <v>0</v>
      </c>
      <c r="T785">
        <f t="shared" si="239"/>
        <v>0</v>
      </c>
      <c r="U785">
        <f t="shared" si="240"/>
        <v>0</v>
      </c>
      <c r="V785">
        <f t="shared" si="241"/>
        <v>0</v>
      </c>
      <c r="W785" t="s">
        <v>58</v>
      </c>
      <c r="X785">
        <f t="shared" si="242"/>
        <v>0</v>
      </c>
      <c r="Y785">
        <f t="shared" si="243"/>
        <v>1</v>
      </c>
      <c r="Z785">
        <v>4</v>
      </c>
      <c r="AA785">
        <f t="shared" si="244"/>
        <v>0.75</v>
      </c>
      <c r="AB785" t="s">
        <v>46</v>
      </c>
      <c r="AC785">
        <f t="shared" si="245"/>
        <v>0</v>
      </c>
      <c r="AD785">
        <f t="shared" si="246"/>
        <v>0</v>
      </c>
      <c r="AE785" t="s">
        <v>41</v>
      </c>
      <c r="AF785">
        <f>IF(AE785="website",1,0)</f>
        <v>1</v>
      </c>
    </row>
    <row r="786" spans="1:32">
      <c r="A786" t="s">
        <v>1421</v>
      </c>
      <c r="B786" t="s">
        <v>55</v>
      </c>
      <c r="C786" s="3">
        <f t="shared" si="228"/>
        <v>1</v>
      </c>
      <c r="D786">
        <f t="shared" si="229"/>
        <v>0</v>
      </c>
      <c r="E786" t="s">
        <v>1422</v>
      </c>
      <c r="F786" t="s">
        <v>57</v>
      </c>
      <c r="G786" s="1">
        <v>26019</v>
      </c>
      <c r="H786" s="2">
        <f t="shared" ca="1" si="230"/>
        <v>55</v>
      </c>
      <c r="I786" s="2">
        <f t="shared" ca="1" si="231"/>
        <v>0.42857142857142855</v>
      </c>
      <c r="J786" t="s">
        <v>36</v>
      </c>
      <c r="K786" t="s">
        <v>37</v>
      </c>
      <c r="L786">
        <f t="shared" si="232"/>
        <v>1</v>
      </c>
      <c r="M786">
        <f t="shared" si="233"/>
        <v>0</v>
      </c>
      <c r="N786">
        <f t="shared" si="234"/>
        <v>0</v>
      </c>
      <c r="O786" t="s">
        <v>38</v>
      </c>
      <c r="P786">
        <f t="shared" si="235"/>
        <v>1</v>
      </c>
      <c r="Q786">
        <f t="shared" si="236"/>
        <v>0</v>
      </c>
      <c r="R786">
        <f t="shared" si="237"/>
        <v>0</v>
      </c>
      <c r="S786">
        <f t="shared" si="238"/>
        <v>0</v>
      </c>
      <c r="T786">
        <f t="shared" si="239"/>
        <v>0</v>
      </c>
      <c r="U786">
        <f t="shared" si="240"/>
        <v>0</v>
      </c>
      <c r="V786">
        <f t="shared" si="241"/>
        <v>0</v>
      </c>
      <c r="W786" t="s">
        <v>39</v>
      </c>
      <c r="X786">
        <f t="shared" si="242"/>
        <v>1</v>
      </c>
      <c r="Y786">
        <f t="shared" si="243"/>
        <v>0</v>
      </c>
      <c r="Z786">
        <v>2</v>
      </c>
      <c r="AA786">
        <f t="shared" si="244"/>
        <v>0.25</v>
      </c>
      <c r="AB786" t="s">
        <v>46</v>
      </c>
      <c r="AC786">
        <f t="shared" si="245"/>
        <v>0</v>
      </c>
      <c r="AD786">
        <f t="shared" si="246"/>
        <v>0</v>
      </c>
      <c r="AE786" t="s">
        <v>41</v>
      </c>
      <c r="AF786">
        <f>IF(AE786="website",1,0)</f>
        <v>1</v>
      </c>
    </row>
    <row r="787" spans="1:32">
      <c r="A787" t="s">
        <v>1423</v>
      </c>
      <c r="B787" t="s">
        <v>33</v>
      </c>
      <c r="C787" s="3">
        <f t="shared" si="228"/>
        <v>0</v>
      </c>
      <c r="D787">
        <f t="shared" si="229"/>
        <v>1</v>
      </c>
      <c r="E787" t="s">
        <v>581</v>
      </c>
      <c r="F787" t="s">
        <v>610</v>
      </c>
      <c r="G787" s="1">
        <v>30400</v>
      </c>
      <c r="H787" s="2">
        <f t="shared" ca="1" si="230"/>
        <v>43</v>
      </c>
      <c r="I787" s="2">
        <f t="shared" ca="1" si="231"/>
        <v>0.25714285714285712</v>
      </c>
      <c r="J787" t="s">
        <v>36</v>
      </c>
      <c r="K787" t="s">
        <v>37</v>
      </c>
      <c r="L787">
        <f t="shared" si="232"/>
        <v>1</v>
      </c>
      <c r="M787">
        <f t="shared" si="233"/>
        <v>0</v>
      </c>
      <c r="N787">
        <f t="shared" si="234"/>
        <v>0</v>
      </c>
      <c r="O787" t="s">
        <v>38</v>
      </c>
      <c r="P787">
        <f t="shared" si="235"/>
        <v>1</v>
      </c>
      <c r="Q787">
        <f t="shared" si="236"/>
        <v>0</v>
      </c>
      <c r="R787">
        <f t="shared" si="237"/>
        <v>0</v>
      </c>
      <c r="S787">
        <f t="shared" si="238"/>
        <v>0</v>
      </c>
      <c r="T787">
        <f t="shared" si="239"/>
        <v>0</v>
      </c>
      <c r="U787">
        <f t="shared" si="240"/>
        <v>0</v>
      </c>
      <c r="V787">
        <f t="shared" si="241"/>
        <v>0</v>
      </c>
      <c r="W787" t="s">
        <v>58</v>
      </c>
      <c r="X787">
        <f t="shared" si="242"/>
        <v>0</v>
      </c>
      <c r="Y787">
        <f t="shared" si="243"/>
        <v>1</v>
      </c>
      <c r="Z787">
        <v>3</v>
      </c>
      <c r="AA787">
        <f t="shared" si="244"/>
        <v>0.5</v>
      </c>
      <c r="AB787" t="s">
        <v>46</v>
      </c>
      <c r="AC787">
        <f t="shared" si="245"/>
        <v>0</v>
      </c>
      <c r="AD787">
        <f t="shared" si="246"/>
        <v>0</v>
      </c>
      <c r="AE787" t="s">
        <v>41</v>
      </c>
      <c r="AF787">
        <f>IF(AE787="website",1,0)</f>
        <v>1</v>
      </c>
    </row>
    <row r="788" spans="1:32">
      <c r="A788" t="s">
        <v>1424</v>
      </c>
      <c r="B788" t="s">
        <v>33</v>
      </c>
      <c r="C788" s="3">
        <f t="shared" si="228"/>
        <v>0</v>
      </c>
      <c r="D788">
        <f t="shared" si="229"/>
        <v>1</v>
      </c>
      <c r="E788" t="s">
        <v>865</v>
      </c>
      <c r="F788" t="s">
        <v>911</v>
      </c>
      <c r="G788" s="1">
        <v>18587</v>
      </c>
      <c r="H788" s="2">
        <f t="shared" ca="1" si="230"/>
        <v>75</v>
      </c>
      <c r="I788" s="2">
        <f t="shared" ca="1" si="231"/>
        <v>0.7142857142857143</v>
      </c>
      <c r="J788" t="s">
        <v>45</v>
      </c>
      <c r="K788" t="s">
        <v>37</v>
      </c>
      <c r="L788">
        <f t="shared" si="232"/>
        <v>1</v>
      </c>
      <c r="M788">
        <f t="shared" si="233"/>
        <v>0</v>
      </c>
      <c r="N788">
        <f t="shared" si="234"/>
        <v>0</v>
      </c>
      <c r="O788" t="s">
        <v>565</v>
      </c>
      <c r="P788">
        <f t="shared" si="235"/>
        <v>0</v>
      </c>
      <c r="Q788">
        <f t="shared" si="236"/>
        <v>0</v>
      </c>
      <c r="R788">
        <f t="shared" si="237"/>
        <v>0</v>
      </c>
      <c r="S788">
        <f t="shared" si="238"/>
        <v>0</v>
      </c>
      <c r="T788">
        <f t="shared" si="239"/>
        <v>0</v>
      </c>
      <c r="U788">
        <f t="shared" si="240"/>
        <v>0</v>
      </c>
      <c r="V788">
        <f t="shared" si="241"/>
        <v>0</v>
      </c>
      <c r="W788" t="s">
        <v>39</v>
      </c>
      <c r="X788">
        <f t="shared" si="242"/>
        <v>1</v>
      </c>
      <c r="Y788">
        <f t="shared" si="243"/>
        <v>0</v>
      </c>
      <c r="Z788">
        <v>1</v>
      </c>
      <c r="AA788">
        <f t="shared" si="244"/>
        <v>0</v>
      </c>
      <c r="AB788" t="s">
        <v>46</v>
      </c>
      <c r="AC788">
        <f t="shared" si="245"/>
        <v>0</v>
      </c>
      <c r="AD788">
        <f t="shared" si="246"/>
        <v>0</v>
      </c>
      <c r="AE788" t="s">
        <v>41</v>
      </c>
      <c r="AF788">
        <f>IF(AE788="website",1,0)</f>
        <v>1</v>
      </c>
    </row>
    <row r="789" spans="1:32">
      <c r="A789" t="s">
        <v>1425</v>
      </c>
      <c r="B789" t="s">
        <v>33</v>
      </c>
      <c r="C789" s="3">
        <f t="shared" si="228"/>
        <v>0</v>
      </c>
      <c r="D789">
        <f t="shared" si="229"/>
        <v>1</v>
      </c>
      <c r="E789" t="s">
        <v>546</v>
      </c>
      <c r="F789" t="s">
        <v>691</v>
      </c>
      <c r="G789" s="1">
        <v>16206</v>
      </c>
      <c r="H789" s="2">
        <f t="shared" ca="1" si="230"/>
        <v>82</v>
      </c>
      <c r="I789" s="2">
        <f t="shared" ca="1" si="231"/>
        <v>0.81428571428571428</v>
      </c>
      <c r="J789" t="s">
        <v>45</v>
      </c>
      <c r="K789" t="s">
        <v>626</v>
      </c>
      <c r="L789">
        <f t="shared" si="232"/>
        <v>0</v>
      </c>
      <c r="M789">
        <f t="shared" si="233"/>
        <v>0</v>
      </c>
      <c r="N789">
        <f t="shared" si="234"/>
        <v>0</v>
      </c>
      <c r="O789" t="s">
        <v>1117</v>
      </c>
      <c r="P789">
        <f t="shared" si="235"/>
        <v>0</v>
      </c>
      <c r="Q789">
        <f t="shared" si="236"/>
        <v>0</v>
      </c>
      <c r="R789">
        <f t="shared" si="237"/>
        <v>0</v>
      </c>
      <c r="S789">
        <f t="shared" si="238"/>
        <v>0</v>
      </c>
      <c r="T789">
        <f t="shared" si="239"/>
        <v>0</v>
      </c>
      <c r="U789">
        <f t="shared" si="240"/>
        <v>0</v>
      </c>
      <c r="V789">
        <f t="shared" si="241"/>
        <v>0</v>
      </c>
      <c r="W789" t="s">
        <v>58</v>
      </c>
      <c r="X789">
        <f t="shared" si="242"/>
        <v>0</v>
      </c>
      <c r="Y789">
        <f t="shared" si="243"/>
        <v>1</v>
      </c>
      <c r="Z789">
        <v>4</v>
      </c>
      <c r="AA789">
        <f t="shared" si="244"/>
        <v>0.75</v>
      </c>
      <c r="AB789" t="s">
        <v>46</v>
      </c>
      <c r="AC789">
        <f t="shared" si="245"/>
        <v>0</v>
      </c>
      <c r="AD789">
        <f t="shared" si="246"/>
        <v>0</v>
      </c>
      <c r="AE789" t="s">
        <v>41</v>
      </c>
      <c r="AF789">
        <f>IF(AE789="website",1,0)</f>
        <v>1</v>
      </c>
    </row>
    <row r="790" spans="1:32">
      <c r="A790" t="s">
        <v>1426</v>
      </c>
      <c r="B790" t="s">
        <v>33</v>
      </c>
      <c r="C790" s="3">
        <f t="shared" si="228"/>
        <v>0</v>
      </c>
      <c r="D790">
        <f t="shared" si="229"/>
        <v>1</v>
      </c>
      <c r="E790" t="s">
        <v>950</v>
      </c>
      <c r="F790" t="s">
        <v>664</v>
      </c>
      <c r="G790" s="1">
        <v>27125</v>
      </c>
      <c r="H790" s="2">
        <f t="shared" ca="1" si="230"/>
        <v>52</v>
      </c>
      <c r="I790" s="2">
        <f t="shared" ca="1" si="231"/>
        <v>0.38571428571428573</v>
      </c>
      <c r="J790" t="s">
        <v>36</v>
      </c>
      <c r="K790" t="s">
        <v>65</v>
      </c>
      <c r="L790">
        <f t="shared" si="232"/>
        <v>0</v>
      </c>
      <c r="M790">
        <f t="shared" si="233"/>
        <v>1</v>
      </c>
      <c r="N790">
        <f t="shared" si="234"/>
        <v>0</v>
      </c>
      <c r="O790" t="s">
        <v>686</v>
      </c>
      <c r="P790">
        <f t="shared" si="235"/>
        <v>0</v>
      </c>
      <c r="Q790">
        <f t="shared" si="236"/>
        <v>0</v>
      </c>
      <c r="R790">
        <f t="shared" si="237"/>
        <v>0</v>
      </c>
      <c r="S790">
        <f t="shared" si="238"/>
        <v>0</v>
      </c>
      <c r="T790">
        <f t="shared" si="239"/>
        <v>0</v>
      </c>
      <c r="U790">
        <f t="shared" si="240"/>
        <v>0</v>
      </c>
      <c r="V790">
        <f t="shared" si="241"/>
        <v>0</v>
      </c>
      <c r="W790" t="s">
        <v>58</v>
      </c>
      <c r="X790">
        <f t="shared" si="242"/>
        <v>0</v>
      </c>
      <c r="Y790">
        <f t="shared" si="243"/>
        <v>1</v>
      </c>
      <c r="Z790">
        <v>1</v>
      </c>
      <c r="AA790">
        <f t="shared" si="244"/>
        <v>0</v>
      </c>
      <c r="AB790" t="s">
        <v>46</v>
      </c>
      <c r="AC790">
        <f t="shared" si="245"/>
        <v>0</v>
      </c>
      <c r="AD790">
        <f t="shared" si="246"/>
        <v>0</v>
      </c>
      <c r="AE790" t="s">
        <v>41</v>
      </c>
      <c r="AF790">
        <f>IF(AE790="website",1,0)</f>
        <v>1</v>
      </c>
    </row>
    <row r="791" spans="1:32">
      <c r="A791" t="s">
        <v>1427</v>
      </c>
      <c r="B791" t="s">
        <v>33</v>
      </c>
      <c r="C791" s="3">
        <f t="shared" si="228"/>
        <v>0</v>
      </c>
      <c r="D791">
        <f t="shared" si="229"/>
        <v>1</v>
      </c>
      <c r="E791" t="s">
        <v>575</v>
      </c>
      <c r="F791" t="s">
        <v>861</v>
      </c>
      <c r="G791" s="1">
        <v>27047</v>
      </c>
      <c r="H791" s="2">
        <f t="shared" ca="1" si="230"/>
        <v>52</v>
      </c>
      <c r="I791" s="2">
        <f t="shared" ca="1" si="231"/>
        <v>0.38571428571428573</v>
      </c>
      <c r="J791" t="s">
        <v>45</v>
      </c>
      <c r="K791" t="s">
        <v>37</v>
      </c>
      <c r="L791">
        <f t="shared" si="232"/>
        <v>1</v>
      </c>
      <c r="M791">
        <f t="shared" si="233"/>
        <v>0</v>
      </c>
      <c r="N791">
        <f t="shared" si="234"/>
        <v>0</v>
      </c>
      <c r="O791" t="s">
        <v>38</v>
      </c>
      <c r="P791">
        <f t="shared" si="235"/>
        <v>1</v>
      </c>
      <c r="Q791">
        <f t="shared" si="236"/>
        <v>0</v>
      </c>
      <c r="R791">
        <f t="shared" si="237"/>
        <v>0</v>
      </c>
      <c r="S791">
        <f t="shared" si="238"/>
        <v>0</v>
      </c>
      <c r="T791">
        <f t="shared" si="239"/>
        <v>0</v>
      </c>
      <c r="U791">
        <f t="shared" si="240"/>
        <v>0</v>
      </c>
      <c r="V791">
        <f t="shared" si="241"/>
        <v>0</v>
      </c>
      <c r="W791" t="s">
        <v>39</v>
      </c>
      <c r="X791">
        <f t="shared" si="242"/>
        <v>1</v>
      </c>
      <c r="Y791">
        <f t="shared" si="243"/>
        <v>0</v>
      </c>
      <c r="Z791">
        <v>5</v>
      </c>
      <c r="AA791">
        <f t="shared" si="244"/>
        <v>1</v>
      </c>
      <c r="AB791" t="s">
        <v>40</v>
      </c>
      <c r="AC791">
        <f t="shared" si="245"/>
        <v>1</v>
      </c>
      <c r="AD791">
        <f t="shared" si="246"/>
        <v>0</v>
      </c>
      <c r="AE791" t="s">
        <v>50</v>
      </c>
      <c r="AF791">
        <f>IF(AE791="website",1,0)</f>
        <v>0</v>
      </c>
    </row>
    <row r="792" spans="1:32">
      <c r="A792" t="s">
        <v>1428</v>
      </c>
      <c r="B792" t="s">
        <v>33</v>
      </c>
      <c r="C792" s="3">
        <f t="shared" si="228"/>
        <v>0</v>
      </c>
      <c r="D792">
        <f t="shared" si="229"/>
        <v>1</v>
      </c>
      <c r="E792" t="s">
        <v>216</v>
      </c>
      <c r="F792" t="s">
        <v>613</v>
      </c>
      <c r="G792" s="1">
        <v>30323</v>
      </c>
      <c r="H792" s="2">
        <f t="shared" ca="1" si="230"/>
        <v>43</v>
      </c>
      <c r="I792" s="2">
        <f t="shared" ca="1" si="231"/>
        <v>0.25714285714285712</v>
      </c>
      <c r="J792" t="s">
        <v>45</v>
      </c>
      <c r="K792" t="s">
        <v>37</v>
      </c>
      <c r="L792">
        <f t="shared" si="232"/>
        <v>1</v>
      </c>
      <c r="M792">
        <f t="shared" si="233"/>
        <v>0</v>
      </c>
      <c r="N792">
        <f t="shared" si="234"/>
        <v>0</v>
      </c>
      <c r="O792" t="s">
        <v>592</v>
      </c>
      <c r="P792">
        <f t="shared" si="235"/>
        <v>0</v>
      </c>
      <c r="Q792">
        <f t="shared" si="236"/>
        <v>0</v>
      </c>
      <c r="R792">
        <f t="shared" si="237"/>
        <v>0</v>
      </c>
      <c r="S792">
        <f t="shared" si="238"/>
        <v>0</v>
      </c>
      <c r="T792">
        <f t="shared" si="239"/>
        <v>0</v>
      </c>
      <c r="U792">
        <f t="shared" si="240"/>
        <v>0</v>
      </c>
      <c r="V792">
        <f t="shared" si="241"/>
        <v>0</v>
      </c>
      <c r="W792" t="s">
        <v>39</v>
      </c>
      <c r="X792">
        <f t="shared" si="242"/>
        <v>1</v>
      </c>
      <c r="Y792">
        <f t="shared" si="243"/>
        <v>0</v>
      </c>
      <c r="Z792">
        <v>4</v>
      </c>
      <c r="AA792">
        <f t="shared" si="244"/>
        <v>0.75</v>
      </c>
      <c r="AB792" t="s">
        <v>46</v>
      </c>
      <c r="AC792">
        <f t="shared" si="245"/>
        <v>0</v>
      </c>
      <c r="AD792">
        <f t="shared" si="246"/>
        <v>0</v>
      </c>
      <c r="AE792" t="s">
        <v>41</v>
      </c>
      <c r="AF792">
        <f>IF(AE792="website",1,0)</f>
        <v>1</v>
      </c>
    </row>
    <row r="793" spans="1:32">
      <c r="A793" t="s">
        <v>1429</v>
      </c>
      <c r="B793" t="s">
        <v>33</v>
      </c>
      <c r="C793" s="3">
        <f t="shared" si="228"/>
        <v>0</v>
      </c>
      <c r="D793">
        <f t="shared" si="229"/>
        <v>1</v>
      </c>
      <c r="E793" t="s">
        <v>126</v>
      </c>
      <c r="F793" t="s">
        <v>695</v>
      </c>
      <c r="G793" s="1">
        <v>30055</v>
      </c>
      <c r="H793" s="2">
        <f t="shared" ca="1" si="230"/>
        <v>44</v>
      </c>
      <c r="I793" s="2">
        <f t="shared" ca="1" si="231"/>
        <v>0.27142857142857141</v>
      </c>
      <c r="J793" t="s">
        <v>45</v>
      </c>
      <c r="K793" t="s">
        <v>37</v>
      </c>
      <c r="L793">
        <f t="shared" si="232"/>
        <v>1</v>
      </c>
      <c r="M793">
        <f t="shared" si="233"/>
        <v>0</v>
      </c>
      <c r="N793">
        <f t="shared" si="234"/>
        <v>0</v>
      </c>
      <c r="O793" t="s">
        <v>38</v>
      </c>
      <c r="P793">
        <f t="shared" si="235"/>
        <v>1</v>
      </c>
      <c r="Q793">
        <f t="shared" si="236"/>
        <v>0</v>
      </c>
      <c r="R793">
        <f t="shared" si="237"/>
        <v>0</v>
      </c>
      <c r="S793">
        <f t="shared" si="238"/>
        <v>0</v>
      </c>
      <c r="T793">
        <f t="shared" si="239"/>
        <v>0</v>
      </c>
      <c r="U793">
        <f t="shared" si="240"/>
        <v>0</v>
      </c>
      <c r="V793">
        <f t="shared" si="241"/>
        <v>0</v>
      </c>
      <c r="W793" t="s">
        <v>58</v>
      </c>
      <c r="X793">
        <f t="shared" si="242"/>
        <v>0</v>
      </c>
      <c r="Y793">
        <f t="shared" si="243"/>
        <v>1</v>
      </c>
      <c r="Z793">
        <v>4</v>
      </c>
      <c r="AA793">
        <f t="shared" si="244"/>
        <v>0.75</v>
      </c>
      <c r="AB793" t="s">
        <v>40</v>
      </c>
      <c r="AC793">
        <f t="shared" si="245"/>
        <v>0</v>
      </c>
      <c r="AD793">
        <f t="shared" si="246"/>
        <v>0</v>
      </c>
      <c r="AE793" t="s">
        <v>41</v>
      </c>
      <c r="AF793">
        <f>IF(AE793="website",1,0)</f>
        <v>1</v>
      </c>
    </row>
    <row r="794" spans="1:32">
      <c r="A794" t="s">
        <v>1430</v>
      </c>
      <c r="B794" t="s">
        <v>33</v>
      </c>
      <c r="C794" s="3">
        <f t="shared" si="228"/>
        <v>0</v>
      </c>
      <c r="D794">
        <f t="shared" si="229"/>
        <v>1</v>
      </c>
      <c r="E794" t="s">
        <v>191</v>
      </c>
      <c r="F794" t="s">
        <v>247</v>
      </c>
      <c r="G794" s="1">
        <v>25450</v>
      </c>
      <c r="H794" s="2">
        <f t="shared" ca="1" si="230"/>
        <v>57</v>
      </c>
      <c r="I794" s="2">
        <f t="shared" ca="1" si="231"/>
        <v>0.45714285714285713</v>
      </c>
      <c r="J794" t="s">
        <v>45</v>
      </c>
      <c r="K794" t="s">
        <v>37</v>
      </c>
      <c r="L794">
        <f t="shared" si="232"/>
        <v>1</v>
      </c>
      <c r="M794">
        <f t="shared" si="233"/>
        <v>0</v>
      </c>
      <c r="N794">
        <f t="shared" si="234"/>
        <v>0</v>
      </c>
      <c r="O794" t="s">
        <v>717</v>
      </c>
      <c r="P794">
        <f t="shared" si="235"/>
        <v>0</v>
      </c>
      <c r="Q794">
        <f t="shared" si="236"/>
        <v>0</v>
      </c>
      <c r="R794">
        <f t="shared" si="237"/>
        <v>0</v>
      </c>
      <c r="S794">
        <f t="shared" si="238"/>
        <v>0</v>
      </c>
      <c r="T794">
        <f t="shared" si="239"/>
        <v>0</v>
      </c>
      <c r="U794">
        <f t="shared" si="240"/>
        <v>0</v>
      </c>
      <c r="V794">
        <f t="shared" si="241"/>
        <v>0</v>
      </c>
      <c r="W794" t="s">
        <v>39</v>
      </c>
      <c r="X794">
        <f t="shared" si="242"/>
        <v>1</v>
      </c>
      <c r="Y794">
        <f t="shared" si="243"/>
        <v>0</v>
      </c>
      <c r="Z794">
        <v>4</v>
      </c>
      <c r="AA794">
        <f t="shared" si="244"/>
        <v>0.75</v>
      </c>
      <c r="AB794" t="s">
        <v>46</v>
      </c>
      <c r="AC794">
        <f t="shared" si="245"/>
        <v>1</v>
      </c>
      <c r="AD794">
        <f t="shared" si="246"/>
        <v>0</v>
      </c>
      <c r="AE794" t="s">
        <v>50</v>
      </c>
      <c r="AF794">
        <f>IF(AE794="website",1,0)</f>
        <v>0</v>
      </c>
    </row>
    <row r="795" spans="1:32">
      <c r="A795" t="s">
        <v>1431</v>
      </c>
      <c r="B795" t="s">
        <v>33</v>
      </c>
      <c r="C795" s="3">
        <f t="shared" si="228"/>
        <v>0</v>
      </c>
      <c r="D795">
        <f t="shared" si="229"/>
        <v>1</v>
      </c>
      <c r="E795" t="s">
        <v>1032</v>
      </c>
      <c r="F795" t="s">
        <v>1270</v>
      </c>
      <c r="G795" s="1">
        <v>18670</v>
      </c>
      <c r="H795" s="2">
        <f t="shared" ca="1" si="230"/>
        <v>75</v>
      </c>
      <c r="I795" s="2">
        <f t="shared" ca="1" si="231"/>
        <v>0.7142857142857143</v>
      </c>
      <c r="J795" t="s">
        <v>45</v>
      </c>
      <c r="K795" t="s">
        <v>37</v>
      </c>
      <c r="L795">
        <f t="shared" si="232"/>
        <v>1</v>
      </c>
      <c r="M795">
        <f t="shared" si="233"/>
        <v>0</v>
      </c>
      <c r="N795">
        <f t="shared" si="234"/>
        <v>0</v>
      </c>
      <c r="O795" t="s">
        <v>38</v>
      </c>
      <c r="P795">
        <f t="shared" si="235"/>
        <v>1</v>
      </c>
      <c r="Q795">
        <f t="shared" si="236"/>
        <v>0</v>
      </c>
      <c r="R795">
        <f t="shared" si="237"/>
        <v>0</v>
      </c>
      <c r="S795">
        <f t="shared" si="238"/>
        <v>0</v>
      </c>
      <c r="T795">
        <f t="shared" si="239"/>
        <v>0</v>
      </c>
      <c r="U795">
        <f t="shared" si="240"/>
        <v>0</v>
      </c>
      <c r="V795">
        <f t="shared" si="241"/>
        <v>0</v>
      </c>
      <c r="W795" t="s">
        <v>39</v>
      </c>
      <c r="X795">
        <f t="shared" si="242"/>
        <v>1</v>
      </c>
      <c r="Y795">
        <f t="shared" si="243"/>
        <v>0</v>
      </c>
      <c r="Z795">
        <v>4</v>
      </c>
      <c r="AA795">
        <f t="shared" si="244"/>
        <v>0.75</v>
      </c>
      <c r="AB795" t="s">
        <v>40</v>
      </c>
      <c r="AC795">
        <f t="shared" si="245"/>
        <v>0</v>
      </c>
      <c r="AD795">
        <f t="shared" si="246"/>
        <v>0</v>
      </c>
      <c r="AE795" t="s">
        <v>41</v>
      </c>
      <c r="AF795">
        <f>IF(AE795="website",1,0)</f>
        <v>1</v>
      </c>
    </row>
    <row r="796" spans="1:32">
      <c r="A796" t="s">
        <v>1432</v>
      </c>
      <c r="B796" t="s">
        <v>33</v>
      </c>
      <c r="C796" s="3">
        <f t="shared" si="228"/>
        <v>0</v>
      </c>
      <c r="D796">
        <f t="shared" si="229"/>
        <v>1</v>
      </c>
      <c r="E796" t="s">
        <v>1125</v>
      </c>
      <c r="F796" t="s">
        <v>764</v>
      </c>
      <c r="G796" s="1">
        <v>25217</v>
      </c>
      <c r="H796" s="2">
        <f t="shared" ca="1" si="230"/>
        <v>57</v>
      </c>
      <c r="I796" s="2">
        <f t="shared" ca="1" si="231"/>
        <v>0.45714285714285713</v>
      </c>
      <c r="J796" t="s">
        <v>45</v>
      </c>
      <c r="K796" t="s">
        <v>37</v>
      </c>
      <c r="L796">
        <f t="shared" si="232"/>
        <v>1</v>
      </c>
      <c r="M796">
        <f t="shared" si="233"/>
        <v>0</v>
      </c>
      <c r="N796">
        <f t="shared" si="234"/>
        <v>0</v>
      </c>
      <c r="O796" t="s">
        <v>38</v>
      </c>
      <c r="P796">
        <f t="shared" si="235"/>
        <v>1</v>
      </c>
      <c r="Q796">
        <f t="shared" si="236"/>
        <v>0</v>
      </c>
      <c r="R796">
        <f t="shared" si="237"/>
        <v>0</v>
      </c>
      <c r="S796">
        <f t="shared" si="238"/>
        <v>0</v>
      </c>
      <c r="T796">
        <f t="shared" si="239"/>
        <v>0</v>
      </c>
      <c r="U796">
        <f t="shared" si="240"/>
        <v>0</v>
      </c>
      <c r="V796">
        <f t="shared" si="241"/>
        <v>0</v>
      </c>
      <c r="W796" t="s">
        <v>58</v>
      </c>
      <c r="X796">
        <f t="shared" si="242"/>
        <v>0</v>
      </c>
      <c r="Y796">
        <f t="shared" si="243"/>
        <v>1</v>
      </c>
      <c r="Z796">
        <v>4</v>
      </c>
      <c r="AA796">
        <f t="shared" si="244"/>
        <v>0.75</v>
      </c>
      <c r="AB796" t="s">
        <v>40</v>
      </c>
      <c r="AC796">
        <f t="shared" si="245"/>
        <v>0</v>
      </c>
      <c r="AD796">
        <f t="shared" si="246"/>
        <v>0</v>
      </c>
      <c r="AE796" t="s">
        <v>41</v>
      </c>
      <c r="AF796">
        <f>IF(AE796="website",1,0)</f>
        <v>1</v>
      </c>
    </row>
    <row r="797" spans="1:32">
      <c r="A797" t="s">
        <v>1433</v>
      </c>
      <c r="B797" t="s">
        <v>33</v>
      </c>
      <c r="C797" s="3">
        <f t="shared" si="228"/>
        <v>0</v>
      </c>
      <c r="D797">
        <f t="shared" si="229"/>
        <v>1</v>
      </c>
      <c r="E797" t="s">
        <v>747</v>
      </c>
      <c r="F797" t="s">
        <v>887</v>
      </c>
      <c r="G797" s="1">
        <v>30417</v>
      </c>
      <c r="H797" s="2">
        <f t="shared" ca="1" si="230"/>
        <v>43</v>
      </c>
      <c r="I797" s="2">
        <f t="shared" ca="1" si="231"/>
        <v>0.25714285714285712</v>
      </c>
      <c r="J797" t="s">
        <v>36</v>
      </c>
      <c r="K797" t="s">
        <v>37</v>
      </c>
      <c r="L797">
        <f t="shared" si="232"/>
        <v>1</v>
      </c>
      <c r="M797">
        <f t="shared" si="233"/>
        <v>0</v>
      </c>
      <c r="N797">
        <f t="shared" si="234"/>
        <v>0</v>
      </c>
      <c r="O797" t="s">
        <v>38</v>
      </c>
      <c r="P797">
        <f t="shared" si="235"/>
        <v>1</v>
      </c>
      <c r="Q797">
        <f t="shared" si="236"/>
        <v>0</v>
      </c>
      <c r="R797">
        <f t="shared" si="237"/>
        <v>0</v>
      </c>
      <c r="S797">
        <f t="shared" si="238"/>
        <v>0</v>
      </c>
      <c r="T797">
        <f t="shared" si="239"/>
        <v>0</v>
      </c>
      <c r="U797">
        <f t="shared" si="240"/>
        <v>0</v>
      </c>
      <c r="V797">
        <f t="shared" si="241"/>
        <v>0</v>
      </c>
      <c r="W797" t="s">
        <v>58</v>
      </c>
      <c r="X797">
        <f t="shared" si="242"/>
        <v>0</v>
      </c>
      <c r="Y797">
        <f t="shared" si="243"/>
        <v>1</v>
      </c>
      <c r="Z797">
        <v>5</v>
      </c>
      <c r="AA797">
        <f t="shared" si="244"/>
        <v>1</v>
      </c>
      <c r="AB797" t="s">
        <v>40</v>
      </c>
      <c r="AC797">
        <f t="shared" si="245"/>
        <v>0</v>
      </c>
      <c r="AD797">
        <f t="shared" si="246"/>
        <v>0</v>
      </c>
      <c r="AE797" t="s">
        <v>41</v>
      </c>
      <c r="AF797">
        <f>IF(AE797="website",1,0)</f>
        <v>1</v>
      </c>
    </row>
    <row r="798" spans="1:32">
      <c r="A798" t="s">
        <v>1434</v>
      </c>
      <c r="B798" t="s">
        <v>33</v>
      </c>
      <c r="C798" s="3">
        <f t="shared" si="228"/>
        <v>0</v>
      </c>
      <c r="D798">
        <f t="shared" si="229"/>
        <v>1</v>
      </c>
      <c r="E798" t="s">
        <v>817</v>
      </c>
      <c r="F798" t="s">
        <v>656</v>
      </c>
      <c r="G798" s="1">
        <v>33032</v>
      </c>
      <c r="H798" s="2">
        <f t="shared" ca="1" si="230"/>
        <v>36</v>
      </c>
      <c r="I798" s="2">
        <f t="shared" ca="1" si="231"/>
        <v>0.15714285714285714</v>
      </c>
      <c r="J798" t="s">
        <v>36</v>
      </c>
      <c r="K798" t="s">
        <v>37</v>
      </c>
      <c r="L798">
        <f t="shared" si="232"/>
        <v>1</v>
      </c>
      <c r="M798">
        <f t="shared" si="233"/>
        <v>0</v>
      </c>
      <c r="N798">
        <f t="shared" si="234"/>
        <v>0</v>
      </c>
      <c r="O798" t="s">
        <v>76</v>
      </c>
      <c r="P798">
        <f t="shared" si="235"/>
        <v>0</v>
      </c>
      <c r="Q798">
        <f t="shared" si="236"/>
        <v>1</v>
      </c>
      <c r="R798">
        <f t="shared" si="237"/>
        <v>0</v>
      </c>
      <c r="S798">
        <f t="shared" si="238"/>
        <v>0</v>
      </c>
      <c r="T798">
        <f t="shared" si="239"/>
        <v>0</v>
      </c>
      <c r="U798">
        <f t="shared" si="240"/>
        <v>0</v>
      </c>
      <c r="V798">
        <f t="shared" si="241"/>
        <v>0</v>
      </c>
      <c r="W798" t="s">
        <v>39</v>
      </c>
      <c r="X798">
        <f t="shared" si="242"/>
        <v>1</v>
      </c>
      <c r="Y798">
        <f t="shared" si="243"/>
        <v>0</v>
      </c>
      <c r="Z798">
        <v>5</v>
      </c>
      <c r="AA798">
        <f t="shared" si="244"/>
        <v>1</v>
      </c>
      <c r="AB798" t="s">
        <v>40</v>
      </c>
      <c r="AC798">
        <f t="shared" si="245"/>
        <v>1</v>
      </c>
      <c r="AD798">
        <f t="shared" si="246"/>
        <v>0</v>
      </c>
      <c r="AE798" t="s">
        <v>50</v>
      </c>
      <c r="AF798">
        <f>IF(AE798="website",1,0)</f>
        <v>0</v>
      </c>
    </row>
    <row r="799" spans="1:32">
      <c r="A799" t="s">
        <v>1435</v>
      </c>
      <c r="B799" t="s">
        <v>55</v>
      </c>
      <c r="C799" s="3">
        <f t="shared" si="228"/>
        <v>1</v>
      </c>
      <c r="D799">
        <f t="shared" si="229"/>
        <v>0</v>
      </c>
      <c r="E799" t="s">
        <v>962</v>
      </c>
      <c r="F799" t="s">
        <v>57</v>
      </c>
      <c r="G799" s="1">
        <v>24036</v>
      </c>
      <c r="H799" s="2">
        <f t="shared" ca="1" si="230"/>
        <v>60</v>
      </c>
      <c r="I799" s="2">
        <f t="shared" ca="1" si="231"/>
        <v>0.5</v>
      </c>
      <c r="J799" t="s">
        <v>45</v>
      </c>
      <c r="K799" t="s">
        <v>37</v>
      </c>
      <c r="L799">
        <f t="shared" si="232"/>
        <v>1</v>
      </c>
      <c r="M799">
        <f t="shared" si="233"/>
        <v>0</v>
      </c>
      <c r="N799">
        <f t="shared" si="234"/>
        <v>0</v>
      </c>
      <c r="O799" t="s">
        <v>124</v>
      </c>
      <c r="P799">
        <f t="shared" si="235"/>
        <v>0</v>
      </c>
      <c r="Q799">
        <f t="shared" si="236"/>
        <v>0</v>
      </c>
      <c r="R799">
        <f t="shared" si="237"/>
        <v>0</v>
      </c>
      <c r="S799">
        <f t="shared" si="238"/>
        <v>0</v>
      </c>
      <c r="T799">
        <f t="shared" si="239"/>
        <v>0</v>
      </c>
      <c r="U799">
        <f t="shared" si="240"/>
        <v>1</v>
      </c>
      <c r="V799">
        <f t="shared" si="241"/>
        <v>0</v>
      </c>
      <c r="W799" t="s">
        <v>39</v>
      </c>
      <c r="X799">
        <f t="shared" si="242"/>
        <v>1</v>
      </c>
      <c r="Y799">
        <f t="shared" si="243"/>
        <v>0</v>
      </c>
      <c r="Z799">
        <v>4</v>
      </c>
      <c r="AA799">
        <f t="shared" si="244"/>
        <v>0.75</v>
      </c>
      <c r="AB799" t="s">
        <v>40</v>
      </c>
      <c r="AC799">
        <f t="shared" si="245"/>
        <v>1</v>
      </c>
      <c r="AD799">
        <f t="shared" si="246"/>
        <v>0</v>
      </c>
      <c r="AE799" t="s">
        <v>50</v>
      </c>
      <c r="AF799">
        <f>IF(AE799="website",1,0)</f>
        <v>0</v>
      </c>
    </row>
    <row r="800" spans="1:32">
      <c r="A800" t="s">
        <v>1436</v>
      </c>
      <c r="B800" t="s">
        <v>33</v>
      </c>
      <c r="C800" s="3">
        <f t="shared" si="228"/>
        <v>0</v>
      </c>
      <c r="D800">
        <f t="shared" si="229"/>
        <v>1</v>
      </c>
      <c r="E800" t="s">
        <v>556</v>
      </c>
      <c r="F800" t="s">
        <v>616</v>
      </c>
      <c r="G800" s="1">
        <v>19929</v>
      </c>
      <c r="H800" s="2">
        <f t="shared" ca="1" si="230"/>
        <v>72</v>
      </c>
      <c r="I800" s="2">
        <f t="shared" ca="1" si="231"/>
        <v>0.67142857142857137</v>
      </c>
      <c r="J800" t="s">
        <v>36</v>
      </c>
      <c r="K800" t="s">
        <v>37</v>
      </c>
      <c r="L800">
        <f t="shared" si="232"/>
        <v>1</v>
      </c>
      <c r="M800">
        <f t="shared" si="233"/>
        <v>0</v>
      </c>
      <c r="N800">
        <f t="shared" si="234"/>
        <v>0</v>
      </c>
      <c r="O800" t="s">
        <v>38</v>
      </c>
      <c r="P800">
        <f t="shared" si="235"/>
        <v>1</v>
      </c>
      <c r="Q800">
        <f t="shared" si="236"/>
        <v>0</v>
      </c>
      <c r="R800">
        <f t="shared" si="237"/>
        <v>0</v>
      </c>
      <c r="S800">
        <f t="shared" si="238"/>
        <v>0</v>
      </c>
      <c r="T800">
        <f t="shared" si="239"/>
        <v>0</v>
      </c>
      <c r="U800">
        <f t="shared" si="240"/>
        <v>0</v>
      </c>
      <c r="V800">
        <f t="shared" si="241"/>
        <v>0</v>
      </c>
      <c r="W800" t="s">
        <v>39</v>
      </c>
      <c r="X800">
        <f t="shared" si="242"/>
        <v>1</v>
      </c>
      <c r="Y800">
        <f t="shared" si="243"/>
        <v>0</v>
      </c>
      <c r="Z800">
        <v>4</v>
      </c>
      <c r="AA800">
        <f t="shared" si="244"/>
        <v>0.75</v>
      </c>
      <c r="AB800" t="s">
        <v>46</v>
      </c>
      <c r="AC800">
        <f t="shared" si="245"/>
        <v>0</v>
      </c>
      <c r="AD800">
        <f t="shared" si="246"/>
        <v>0</v>
      </c>
      <c r="AE800" t="s">
        <v>41</v>
      </c>
      <c r="AF800">
        <f>IF(AE800="website",1,0)</f>
        <v>1</v>
      </c>
    </row>
    <row r="801" spans="1:32">
      <c r="A801" t="s">
        <v>1437</v>
      </c>
      <c r="B801" t="s">
        <v>33</v>
      </c>
      <c r="C801" s="3">
        <f t="shared" si="228"/>
        <v>0</v>
      </c>
      <c r="D801">
        <f t="shared" si="229"/>
        <v>1</v>
      </c>
      <c r="E801" t="s">
        <v>590</v>
      </c>
      <c r="F801" t="s">
        <v>953</v>
      </c>
      <c r="G801" s="1">
        <v>27031</v>
      </c>
      <c r="H801" s="2">
        <f t="shared" ca="1" si="230"/>
        <v>52</v>
      </c>
      <c r="I801" s="2">
        <f t="shared" ca="1" si="231"/>
        <v>0.38571428571428573</v>
      </c>
      <c r="J801" t="s">
        <v>45</v>
      </c>
      <c r="K801" t="s">
        <v>37</v>
      </c>
      <c r="L801">
        <f t="shared" si="232"/>
        <v>1</v>
      </c>
      <c r="M801">
        <f t="shared" si="233"/>
        <v>0</v>
      </c>
      <c r="N801">
        <f t="shared" si="234"/>
        <v>0</v>
      </c>
      <c r="O801" t="s">
        <v>305</v>
      </c>
      <c r="P801">
        <f t="shared" si="235"/>
        <v>0</v>
      </c>
      <c r="Q801">
        <f t="shared" si="236"/>
        <v>0</v>
      </c>
      <c r="R801">
        <f t="shared" si="237"/>
        <v>0</v>
      </c>
      <c r="S801">
        <f t="shared" si="238"/>
        <v>0</v>
      </c>
      <c r="T801">
        <f t="shared" si="239"/>
        <v>0</v>
      </c>
      <c r="U801">
        <f t="shared" si="240"/>
        <v>0</v>
      </c>
      <c r="V801">
        <f t="shared" si="241"/>
        <v>0</v>
      </c>
      <c r="W801" t="s">
        <v>58</v>
      </c>
      <c r="X801">
        <f t="shared" si="242"/>
        <v>0</v>
      </c>
      <c r="Y801">
        <f t="shared" si="243"/>
        <v>1</v>
      </c>
      <c r="Z801">
        <v>5</v>
      </c>
      <c r="AA801">
        <f t="shared" si="244"/>
        <v>1</v>
      </c>
      <c r="AB801" t="s">
        <v>40</v>
      </c>
      <c r="AC801">
        <f t="shared" si="245"/>
        <v>0</v>
      </c>
      <c r="AD801">
        <f t="shared" si="246"/>
        <v>0</v>
      </c>
      <c r="AE801" t="s">
        <v>41</v>
      </c>
      <c r="AF801">
        <f>IF(AE801="website",1,0)</f>
        <v>1</v>
      </c>
    </row>
    <row r="802" spans="1:32">
      <c r="A802" t="s">
        <v>1438</v>
      </c>
      <c r="B802" t="s">
        <v>33</v>
      </c>
      <c r="C802" s="3">
        <f t="shared" si="228"/>
        <v>0</v>
      </c>
      <c r="D802">
        <f t="shared" si="229"/>
        <v>1</v>
      </c>
      <c r="E802" t="s">
        <v>755</v>
      </c>
      <c r="F802" t="s">
        <v>664</v>
      </c>
      <c r="G802" s="1">
        <v>25296</v>
      </c>
      <c r="H802" s="2">
        <f t="shared" ca="1" si="230"/>
        <v>57</v>
      </c>
      <c r="I802" s="2">
        <f t="shared" ca="1" si="231"/>
        <v>0.45714285714285713</v>
      </c>
      <c r="J802" t="s">
        <v>36</v>
      </c>
      <c r="K802" t="s">
        <v>37</v>
      </c>
      <c r="L802">
        <f t="shared" si="232"/>
        <v>1</v>
      </c>
      <c r="M802">
        <f t="shared" si="233"/>
        <v>0</v>
      </c>
      <c r="N802">
        <f t="shared" si="234"/>
        <v>0</v>
      </c>
      <c r="O802" t="s">
        <v>565</v>
      </c>
      <c r="P802">
        <f t="shared" si="235"/>
        <v>0</v>
      </c>
      <c r="Q802">
        <f t="shared" si="236"/>
        <v>0</v>
      </c>
      <c r="R802">
        <f t="shared" si="237"/>
        <v>0</v>
      </c>
      <c r="S802">
        <f t="shared" si="238"/>
        <v>0</v>
      </c>
      <c r="T802">
        <f t="shared" si="239"/>
        <v>0</v>
      </c>
      <c r="U802">
        <f t="shared" si="240"/>
        <v>0</v>
      </c>
      <c r="V802">
        <f t="shared" si="241"/>
        <v>0</v>
      </c>
      <c r="W802" t="s">
        <v>39</v>
      </c>
      <c r="X802">
        <f t="shared" si="242"/>
        <v>1</v>
      </c>
      <c r="Y802">
        <f t="shared" si="243"/>
        <v>0</v>
      </c>
      <c r="Z802">
        <v>4</v>
      </c>
      <c r="AA802">
        <f t="shared" si="244"/>
        <v>0.75</v>
      </c>
      <c r="AB802" t="s">
        <v>40</v>
      </c>
      <c r="AC802">
        <f t="shared" si="245"/>
        <v>0</v>
      </c>
      <c r="AD802">
        <f t="shared" si="246"/>
        <v>0</v>
      </c>
      <c r="AE802" t="s">
        <v>41</v>
      </c>
      <c r="AF802">
        <f>IF(AE802="website",1,0)</f>
        <v>1</v>
      </c>
    </row>
    <row r="803" spans="1:32">
      <c r="A803" t="s">
        <v>1439</v>
      </c>
      <c r="B803" t="s">
        <v>33</v>
      </c>
      <c r="C803" s="3">
        <f t="shared" si="228"/>
        <v>0</v>
      </c>
      <c r="D803">
        <f t="shared" si="229"/>
        <v>1</v>
      </c>
      <c r="E803" t="s">
        <v>546</v>
      </c>
      <c r="F803" t="s">
        <v>579</v>
      </c>
      <c r="G803" s="1">
        <v>25882</v>
      </c>
      <c r="H803" s="2">
        <f t="shared" ca="1" si="230"/>
        <v>55</v>
      </c>
      <c r="I803" s="2">
        <f t="shared" ca="1" si="231"/>
        <v>0.42857142857142855</v>
      </c>
      <c r="J803" t="s">
        <v>45</v>
      </c>
      <c r="K803" t="s">
        <v>37</v>
      </c>
      <c r="L803">
        <f t="shared" si="232"/>
        <v>1</v>
      </c>
      <c r="M803">
        <f t="shared" si="233"/>
        <v>0</v>
      </c>
      <c r="N803">
        <f t="shared" si="234"/>
        <v>0</v>
      </c>
      <c r="O803" t="s">
        <v>305</v>
      </c>
      <c r="P803">
        <f t="shared" si="235"/>
        <v>0</v>
      </c>
      <c r="Q803">
        <f t="shared" si="236"/>
        <v>0</v>
      </c>
      <c r="R803">
        <f t="shared" si="237"/>
        <v>0</v>
      </c>
      <c r="S803">
        <f t="shared" si="238"/>
        <v>0</v>
      </c>
      <c r="T803">
        <f t="shared" si="239"/>
        <v>0</v>
      </c>
      <c r="U803">
        <f t="shared" si="240"/>
        <v>0</v>
      </c>
      <c r="V803">
        <f t="shared" si="241"/>
        <v>0</v>
      </c>
      <c r="W803" t="s">
        <v>39</v>
      </c>
      <c r="X803">
        <f t="shared" si="242"/>
        <v>1</v>
      </c>
      <c r="Y803">
        <f t="shared" si="243"/>
        <v>0</v>
      </c>
      <c r="Z803">
        <v>5</v>
      </c>
      <c r="AA803">
        <f t="shared" si="244"/>
        <v>1</v>
      </c>
      <c r="AB803" t="s">
        <v>46</v>
      </c>
      <c r="AC803">
        <f t="shared" si="245"/>
        <v>1</v>
      </c>
      <c r="AD803">
        <f t="shared" si="246"/>
        <v>0</v>
      </c>
      <c r="AE803" t="s">
        <v>50</v>
      </c>
      <c r="AF803">
        <f>IF(AE803="website",1,0)</f>
        <v>0</v>
      </c>
    </row>
    <row r="804" spans="1:32">
      <c r="A804" t="s">
        <v>1440</v>
      </c>
      <c r="B804" t="s">
        <v>33</v>
      </c>
      <c r="C804" s="3">
        <f t="shared" si="228"/>
        <v>0</v>
      </c>
      <c r="D804">
        <f t="shared" si="229"/>
        <v>1</v>
      </c>
      <c r="E804" t="s">
        <v>697</v>
      </c>
      <c r="F804" t="s">
        <v>620</v>
      </c>
      <c r="G804" s="1">
        <v>16784</v>
      </c>
      <c r="H804" s="2">
        <f t="shared" ca="1" si="230"/>
        <v>80</v>
      </c>
      <c r="I804" s="2">
        <f t="shared" ca="1" si="231"/>
        <v>0.7857142857142857</v>
      </c>
      <c r="J804" t="s">
        <v>36</v>
      </c>
      <c r="K804" t="s">
        <v>37</v>
      </c>
      <c r="L804">
        <f t="shared" si="232"/>
        <v>1</v>
      </c>
      <c r="M804">
        <f t="shared" si="233"/>
        <v>0</v>
      </c>
      <c r="N804">
        <f t="shared" si="234"/>
        <v>0</v>
      </c>
      <c r="O804" t="s">
        <v>592</v>
      </c>
      <c r="P804">
        <f t="shared" si="235"/>
        <v>0</v>
      </c>
      <c r="Q804">
        <f t="shared" si="236"/>
        <v>0</v>
      </c>
      <c r="R804">
        <f t="shared" si="237"/>
        <v>0</v>
      </c>
      <c r="S804">
        <f t="shared" si="238"/>
        <v>0</v>
      </c>
      <c r="T804">
        <f t="shared" si="239"/>
        <v>0</v>
      </c>
      <c r="U804">
        <f t="shared" si="240"/>
        <v>0</v>
      </c>
      <c r="V804">
        <f t="shared" si="241"/>
        <v>0</v>
      </c>
      <c r="W804" t="s">
        <v>39</v>
      </c>
      <c r="X804">
        <f t="shared" si="242"/>
        <v>1</v>
      </c>
      <c r="Y804">
        <f t="shared" si="243"/>
        <v>0</v>
      </c>
      <c r="Z804">
        <v>4</v>
      </c>
      <c r="AA804">
        <f t="shared" si="244"/>
        <v>0.75</v>
      </c>
      <c r="AB804" t="s">
        <v>46</v>
      </c>
      <c r="AC804">
        <f t="shared" si="245"/>
        <v>1</v>
      </c>
      <c r="AD804">
        <f t="shared" si="246"/>
        <v>0</v>
      </c>
      <c r="AE804" t="s">
        <v>50</v>
      </c>
      <c r="AF804">
        <f>IF(AE804="website",1,0)</f>
        <v>0</v>
      </c>
    </row>
    <row r="805" spans="1:32">
      <c r="A805" t="s">
        <v>1441</v>
      </c>
      <c r="B805" t="s">
        <v>33</v>
      </c>
      <c r="C805" s="3">
        <f t="shared" si="228"/>
        <v>0</v>
      </c>
      <c r="D805">
        <f t="shared" si="229"/>
        <v>1</v>
      </c>
      <c r="E805" t="s">
        <v>240</v>
      </c>
      <c r="F805" t="s">
        <v>876</v>
      </c>
      <c r="G805" s="1">
        <v>24482</v>
      </c>
      <c r="H805" s="2">
        <f t="shared" ca="1" si="230"/>
        <v>59</v>
      </c>
      <c r="I805" s="2">
        <f t="shared" ca="1" si="231"/>
        <v>0.48571428571428571</v>
      </c>
      <c r="J805" t="s">
        <v>45</v>
      </c>
      <c r="K805" t="s">
        <v>37</v>
      </c>
      <c r="L805">
        <f t="shared" si="232"/>
        <v>1</v>
      </c>
      <c r="M805">
        <f t="shared" si="233"/>
        <v>0</v>
      </c>
      <c r="N805">
        <f t="shared" si="234"/>
        <v>0</v>
      </c>
      <c r="O805" t="s">
        <v>565</v>
      </c>
      <c r="P805">
        <f t="shared" si="235"/>
        <v>0</v>
      </c>
      <c r="Q805">
        <f t="shared" si="236"/>
        <v>0</v>
      </c>
      <c r="R805">
        <f t="shared" si="237"/>
        <v>0</v>
      </c>
      <c r="S805">
        <f t="shared" si="238"/>
        <v>0</v>
      </c>
      <c r="T805">
        <f t="shared" si="239"/>
        <v>0</v>
      </c>
      <c r="U805">
        <f t="shared" si="240"/>
        <v>0</v>
      </c>
      <c r="V805">
        <f t="shared" si="241"/>
        <v>0</v>
      </c>
      <c r="W805" t="s">
        <v>39</v>
      </c>
      <c r="X805">
        <f t="shared" si="242"/>
        <v>1</v>
      </c>
      <c r="Y805">
        <f t="shared" si="243"/>
        <v>0</v>
      </c>
      <c r="Z805">
        <v>5</v>
      </c>
      <c r="AA805">
        <f t="shared" si="244"/>
        <v>1</v>
      </c>
      <c r="AB805" t="s">
        <v>46</v>
      </c>
      <c r="AC805">
        <f t="shared" si="245"/>
        <v>1</v>
      </c>
      <c r="AD805">
        <f t="shared" si="246"/>
        <v>0</v>
      </c>
      <c r="AE805" t="s">
        <v>50</v>
      </c>
      <c r="AF805">
        <f>IF(AE805="website",1,0)</f>
        <v>0</v>
      </c>
    </row>
    <row r="806" spans="1:32">
      <c r="A806" t="s">
        <v>1442</v>
      </c>
      <c r="B806" t="s">
        <v>33</v>
      </c>
      <c r="C806" s="3">
        <f t="shared" si="228"/>
        <v>0</v>
      </c>
      <c r="D806">
        <f t="shared" si="229"/>
        <v>1</v>
      </c>
      <c r="E806" t="s">
        <v>677</v>
      </c>
      <c r="F806" t="s">
        <v>876</v>
      </c>
      <c r="G806" s="1">
        <v>19376</v>
      </c>
      <c r="H806" s="2">
        <f t="shared" ca="1" si="230"/>
        <v>73</v>
      </c>
      <c r="I806" s="2">
        <f t="shared" ca="1" si="231"/>
        <v>0.68571428571428572</v>
      </c>
      <c r="J806" t="s">
        <v>45</v>
      </c>
      <c r="K806" t="s">
        <v>113</v>
      </c>
      <c r="L806">
        <f t="shared" si="232"/>
        <v>0</v>
      </c>
      <c r="M806">
        <f t="shared" si="233"/>
        <v>0</v>
      </c>
      <c r="N806">
        <f t="shared" si="234"/>
        <v>1</v>
      </c>
      <c r="O806" t="s">
        <v>114</v>
      </c>
      <c r="P806">
        <f t="shared" si="235"/>
        <v>0</v>
      </c>
      <c r="Q806">
        <f t="shared" si="236"/>
        <v>0</v>
      </c>
      <c r="R806">
        <f t="shared" si="237"/>
        <v>0</v>
      </c>
      <c r="S806">
        <f t="shared" si="238"/>
        <v>1</v>
      </c>
      <c r="T806">
        <f t="shared" si="239"/>
        <v>0</v>
      </c>
      <c r="U806">
        <f t="shared" si="240"/>
        <v>0</v>
      </c>
      <c r="V806">
        <f t="shared" si="241"/>
        <v>0</v>
      </c>
      <c r="W806" t="s">
        <v>39</v>
      </c>
      <c r="X806">
        <f t="shared" si="242"/>
        <v>1</v>
      </c>
      <c r="Y806">
        <f t="shared" si="243"/>
        <v>0</v>
      </c>
      <c r="Z806">
        <v>1</v>
      </c>
      <c r="AA806">
        <f t="shared" si="244"/>
        <v>0</v>
      </c>
      <c r="AB806" t="s">
        <v>40</v>
      </c>
      <c r="AC806">
        <f t="shared" si="245"/>
        <v>0</v>
      </c>
      <c r="AD806">
        <f t="shared" si="246"/>
        <v>0</v>
      </c>
      <c r="AE806" t="s">
        <v>41</v>
      </c>
      <c r="AF806">
        <f>IF(AE806="website",1,0)</f>
        <v>1</v>
      </c>
    </row>
    <row r="807" spans="1:32">
      <c r="A807" t="s">
        <v>1443</v>
      </c>
      <c r="B807" t="s">
        <v>33</v>
      </c>
      <c r="C807" s="3">
        <f t="shared" si="228"/>
        <v>0</v>
      </c>
      <c r="D807">
        <f t="shared" si="229"/>
        <v>1</v>
      </c>
      <c r="E807" t="s">
        <v>357</v>
      </c>
      <c r="F807" t="s">
        <v>695</v>
      </c>
      <c r="G807" s="1">
        <v>32830</v>
      </c>
      <c r="H807" s="2">
        <f t="shared" ca="1" si="230"/>
        <v>36</v>
      </c>
      <c r="I807" s="2">
        <f t="shared" ca="1" si="231"/>
        <v>0.15714285714285714</v>
      </c>
      <c r="J807" t="s">
        <v>45</v>
      </c>
      <c r="K807" t="s">
        <v>626</v>
      </c>
      <c r="L807">
        <f t="shared" si="232"/>
        <v>0</v>
      </c>
      <c r="M807">
        <f t="shared" si="233"/>
        <v>0</v>
      </c>
      <c r="N807">
        <f t="shared" si="234"/>
        <v>0</v>
      </c>
      <c r="O807" t="s">
        <v>627</v>
      </c>
      <c r="P807">
        <f t="shared" si="235"/>
        <v>0</v>
      </c>
      <c r="Q807">
        <f t="shared" si="236"/>
        <v>0</v>
      </c>
      <c r="R807">
        <f t="shared" si="237"/>
        <v>0</v>
      </c>
      <c r="S807">
        <f t="shared" si="238"/>
        <v>0</v>
      </c>
      <c r="T807">
        <f t="shared" si="239"/>
        <v>0</v>
      </c>
      <c r="U807">
        <f t="shared" si="240"/>
        <v>0</v>
      </c>
      <c r="V807">
        <f t="shared" si="241"/>
        <v>0</v>
      </c>
      <c r="W807" t="s">
        <v>39</v>
      </c>
      <c r="X807">
        <f t="shared" si="242"/>
        <v>1</v>
      </c>
      <c r="Y807">
        <f t="shared" si="243"/>
        <v>0</v>
      </c>
      <c r="Z807">
        <v>5</v>
      </c>
      <c r="AA807">
        <f t="shared" si="244"/>
        <v>1</v>
      </c>
      <c r="AB807" t="s">
        <v>46</v>
      </c>
      <c r="AC807">
        <f t="shared" si="245"/>
        <v>0</v>
      </c>
      <c r="AD807">
        <f t="shared" si="246"/>
        <v>1</v>
      </c>
      <c r="AE807" t="s">
        <v>90</v>
      </c>
      <c r="AF807">
        <f>IF(AE807="website",1,0)</f>
        <v>0</v>
      </c>
    </row>
    <row r="808" spans="1:32">
      <c r="A808" t="s">
        <v>1444</v>
      </c>
      <c r="B808" t="s">
        <v>33</v>
      </c>
      <c r="C808" s="3">
        <f t="shared" si="228"/>
        <v>0</v>
      </c>
      <c r="D808">
        <f t="shared" si="229"/>
        <v>1</v>
      </c>
      <c r="E808" t="s">
        <v>666</v>
      </c>
      <c r="F808" t="s">
        <v>585</v>
      </c>
      <c r="G808" s="1">
        <v>34289</v>
      </c>
      <c r="H808" s="2">
        <f t="shared" ca="1" si="230"/>
        <v>32</v>
      </c>
      <c r="I808" s="2">
        <f t="shared" ca="1" si="231"/>
        <v>0.1</v>
      </c>
      <c r="J808" t="s">
        <v>36</v>
      </c>
      <c r="K808" t="s">
        <v>158</v>
      </c>
      <c r="L808">
        <f t="shared" si="232"/>
        <v>0</v>
      </c>
      <c r="M808">
        <f t="shared" si="233"/>
        <v>0</v>
      </c>
      <c r="N808">
        <f t="shared" si="234"/>
        <v>0</v>
      </c>
      <c r="O808" t="s">
        <v>159</v>
      </c>
      <c r="P808">
        <f t="shared" si="235"/>
        <v>0</v>
      </c>
      <c r="Q808">
        <f t="shared" si="236"/>
        <v>0</v>
      </c>
      <c r="R808">
        <f t="shared" si="237"/>
        <v>0</v>
      </c>
      <c r="S808">
        <f t="shared" si="238"/>
        <v>0</v>
      </c>
      <c r="T808">
        <f t="shared" si="239"/>
        <v>0</v>
      </c>
      <c r="U808">
        <f t="shared" si="240"/>
        <v>0</v>
      </c>
      <c r="V808">
        <f t="shared" si="241"/>
        <v>0</v>
      </c>
      <c r="W808" t="s">
        <v>58</v>
      </c>
      <c r="X808">
        <f t="shared" si="242"/>
        <v>0</v>
      </c>
      <c r="Y808">
        <f t="shared" si="243"/>
        <v>1</v>
      </c>
      <c r="Z808">
        <v>5</v>
      </c>
      <c r="AA808">
        <f t="shared" si="244"/>
        <v>1</v>
      </c>
      <c r="AB808" t="s">
        <v>46</v>
      </c>
      <c r="AC808">
        <f t="shared" si="245"/>
        <v>0</v>
      </c>
      <c r="AD808">
        <f t="shared" si="246"/>
        <v>0</v>
      </c>
      <c r="AE808" t="s">
        <v>41</v>
      </c>
      <c r="AF808">
        <f>IF(AE808="website",1,0)</f>
        <v>1</v>
      </c>
    </row>
    <row r="809" spans="1:32">
      <c r="A809" t="s">
        <v>1445</v>
      </c>
      <c r="B809" t="s">
        <v>33</v>
      </c>
      <c r="C809" s="3">
        <f t="shared" si="228"/>
        <v>0</v>
      </c>
      <c r="D809">
        <f t="shared" si="229"/>
        <v>1</v>
      </c>
      <c r="E809" t="s">
        <v>1032</v>
      </c>
      <c r="F809" t="s">
        <v>887</v>
      </c>
      <c r="G809" s="1">
        <v>15843</v>
      </c>
      <c r="H809" s="2">
        <f t="shared" ca="1" si="230"/>
        <v>83</v>
      </c>
      <c r="I809" s="2">
        <f t="shared" ca="1" si="231"/>
        <v>0.82857142857142863</v>
      </c>
      <c r="J809" t="s">
        <v>45</v>
      </c>
      <c r="K809" t="s">
        <v>113</v>
      </c>
      <c r="L809">
        <f t="shared" si="232"/>
        <v>0</v>
      </c>
      <c r="M809">
        <f t="shared" si="233"/>
        <v>0</v>
      </c>
      <c r="N809">
        <f t="shared" si="234"/>
        <v>1</v>
      </c>
      <c r="O809" t="s">
        <v>114</v>
      </c>
      <c r="P809">
        <f t="shared" si="235"/>
        <v>0</v>
      </c>
      <c r="Q809">
        <f t="shared" si="236"/>
        <v>0</v>
      </c>
      <c r="R809">
        <f t="shared" si="237"/>
        <v>0</v>
      </c>
      <c r="S809">
        <f t="shared" si="238"/>
        <v>1</v>
      </c>
      <c r="T809">
        <f t="shared" si="239"/>
        <v>0</v>
      </c>
      <c r="U809">
        <f t="shared" si="240"/>
        <v>0</v>
      </c>
      <c r="V809">
        <f t="shared" si="241"/>
        <v>0</v>
      </c>
      <c r="W809" t="s">
        <v>39</v>
      </c>
      <c r="X809">
        <f t="shared" si="242"/>
        <v>1</v>
      </c>
      <c r="Y809">
        <f t="shared" si="243"/>
        <v>0</v>
      </c>
      <c r="Z809">
        <v>3</v>
      </c>
      <c r="AA809">
        <f t="shared" si="244"/>
        <v>0.5</v>
      </c>
      <c r="AB809" t="s">
        <v>40</v>
      </c>
      <c r="AC809">
        <f t="shared" si="245"/>
        <v>0</v>
      </c>
      <c r="AD809">
        <f t="shared" si="246"/>
        <v>0</v>
      </c>
      <c r="AE809" t="s">
        <v>41</v>
      </c>
      <c r="AF809">
        <f>IF(AE809="website",1,0)</f>
        <v>1</v>
      </c>
    </row>
    <row r="810" spans="1:32">
      <c r="A810" t="s">
        <v>1446</v>
      </c>
      <c r="B810" t="s">
        <v>33</v>
      </c>
      <c r="C810" s="3">
        <f t="shared" si="228"/>
        <v>0</v>
      </c>
      <c r="D810">
        <f t="shared" si="229"/>
        <v>1</v>
      </c>
      <c r="E810" t="s">
        <v>578</v>
      </c>
      <c r="F810" t="s">
        <v>576</v>
      </c>
      <c r="G810" s="1">
        <v>24519</v>
      </c>
      <c r="H810" s="2">
        <f t="shared" ca="1" si="230"/>
        <v>59</v>
      </c>
      <c r="I810" s="2">
        <f t="shared" ca="1" si="231"/>
        <v>0.48571428571428571</v>
      </c>
      <c r="J810" t="s">
        <v>36</v>
      </c>
      <c r="K810" t="s">
        <v>626</v>
      </c>
      <c r="L810">
        <f t="shared" si="232"/>
        <v>0</v>
      </c>
      <c r="M810">
        <f t="shared" si="233"/>
        <v>0</v>
      </c>
      <c r="N810">
        <f t="shared" si="234"/>
        <v>0</v>
      </c>
      <c r="O810" t="s">
        <v>1188</v>
      </c>
      <c r="P810">
        <f t="shared" si="235"/>
        <v>0</v>
      </c>
      <c r="Q810">
        <f t="shared" si="236"/>
        <v>0</v>
      </c>
      <c r="R810">
        <f t="shared" si="237"/>
        <v>0</v>
      </c>
      <c r="S810">
        <f t="shared" si="238"/>
        <v>0</v>
      </c>
      <c r="T810">
        <f t="shared" si="239"/>
        <v>0</v>
      </c>
      <c r="U810">
        <f t="shared" si="240"/>
        <v>0</v>
      </c>
      <c r="V810">
        <f t="shared" si="241"/>
        <v>0</v>
      </c>
      <c r="W810" t="s">
        <v>39</v>
      </c>
      <c r="X810">
        <f t="shared" si="242"/>
        <v>1</v>
      </c>
      <c r="Y810">
        <f t="shared" si="243"/>
        <v>0</v>
      </c>
      <c r="Z810">
        <v>5</v>
      </c>
      <c r="AA810">
        <f t="shared" si="244"/>
        <v>1</v>
      </c>
      <c r="AB810" t="s">
        <v>40</v>
      </c>
      <c r="AC810">
        <f t="shared" si="245"/>
        <v>1</v>
      </c>
      <c r="AD810">
        <f t="shared" si="246"/>
        <v>0</v>
      </c>
      <c r="AE810" t="s">
        <v>50</v>
      </c>
      <c r="AF810">
        <f>IF(AE810="website",1,0)</f>
        <v>0</v>
      </c>
    </row>
    <row r="811" spans="1:32">
      <c r="A811" t="s">
        <v>1447</v>
      </c>
      <c r="B811" t="s">
        <v>33</v>
      </c>
      <c r="C811" s="3">
        <f t="shared" si="228"/>
        <v>0</v>
      </c>
      <c r="D811">
        <f t="shared" si="229"/>
        <v>1</v>
      </c>
      <c r="E811" t="s">
        <v>708</v>
      </c>
      <c r="F811" t="s">
        <v>557</v>
      </c>
      <c r="G811" s="1">
        <v>34743</v>
      </c>
      <c r="H811" s="2">
        <f t="shared" ca="1" si="230"/>
        <v>31</v>
      </c>
      <c r="I811" s="2">
        <f t="shared" ca="1" si="231"/>
        <v>8.5714285714285715E-2</v>
      </c>
      <c r="J811" t="s">
        <v>45</v>
      </c>
      <c r="K811" t="s">
        <v>37</v>
      </c>
      <c r="L811">
        <f t="shared" si="232"/>
        <v>1</v>
      </c>
      <c r="M811">
        <f t="shared" si="233"/>
        <v>0</v>
      </c>
      <c r="N811">
        <f t="shared" si="234"/>
        <v>0</v>
      </c>
      <c r="O811" t="s">
        <v>38</v>
      </c>
      <c r="P811">
        <f t="shared" si="235"/>
        <v>1</v>
      </c>
      <c r="Q811">
        <f t="shared" si="236"/>
        <v>0</v>
      </c>
      <c r="R811">
        <f t="shared" si="237"/>
        <v>0</v>
      </c>
      <c r="S811">
        <f t="shared" si="238"/>
        <v>0</v>
      </c>
      <c r="T811">
        <f t="shared" si="239"/>
        <v>0</v>
      </c>
      <c r="U811">
        <f t="shared" si="240"/>
        <v>0</v>
      </c>
      <c r="V811">
        <f t="shared" si="241"/>
        <v>0</v>
      </c>
      <c r="W811" t="s">
        <v>39</v>
      </c>
      <c r="X811">
        <f t="shared" si="242"/>
        <v>1</v>
      </c>
      <c r="Y811">
        <f t="shared" si="243"/>
        <v>0</v>
      </c>
      <c r="Z811">
        <v>1</v>
      </c>
      <c r="AA811">
        <f t="shared" si="244"/>
        <v>0</v>
      </c>
      <c r="AB811" t="s">
        <v>40</v>
      </c>
      <c r="AC811">
        <f t="shared" si="245"/>
        <v>0</v>
      </c>
      <c r="AD811">
        <f t="shared" si="246"/>
        <v>0</v>
      </c>
      <c r="AE811" t="s">
        <v>41</v>
      </c>
      <c r="AF811">
        <f>IF(AE811="website",1,0)</f>
        <v>1</v>
      </c>
    </row>
    <row r="812" spans="1:32">
      <c r="A812" t="s">
        <v>1448</v>
      </c>
      <c r="B812" t="s">
        <v>33</v>
      </c>
      <c r="C812" s="3">
        <f t="shared" si="228"/>
        <v>0</v>
      </c>
      <c r="D812">
        <f t="shared" si="229"/>
        <v>1</v>
      </c>
      <c r="E812" t="s">
        <v>744</v>
      </c>
      <c r="F812" t="s">
        <v>720</v>
      </c>
      <c r="G812" s="1">
        <v>16544</v>
      </c>
      <c r="H812" s="2">
        <f t="shared" ca="1" si="230"/>
        <v>81</v>
      </c>
      <c r="I812" s="2">
        <f t="shared" ca="1" si="231"/>
        <v>0.8</v>
      </c>
      <c r="J812" t="s">
        <v>45</v>
      </c>
      <c r="K812" t="s">
        <v>248</v>
      </c>
      <c r="L812">
        <f t="shared" si="232"/>
        <v>0</v>
      </c>
      <c r="M812">
        <f t="shared" si="233"/>
        <v>0</v>
      </c>
      <c r="N812">
        <f t="shared" si="234"/>
        <v>0</v>
      </c>
      <c r="O812" t="s">
        <v>836</v>
      </c>
      <c r="P812">
        <f t="shared" si="235"/>
        <v>0</v>
      </c>
      <c r="Q812">
        <f t="shared" si="236"/>
        <v>0</v>
      </c>
      <c r="R812">
        <f t="shared" si="237"/>
        <v>0</v>
      </c>
      <c r="S812">
        <f t="shared" si="238"/>
        <v>0</v>
      </c>
      <c r="T812">
        <f t="shared" si="239"/>
        <v>0</v>
      </c>
      <c r="U812">
        <f t="shared" si="240"/>
        <v>0</v>
      </c>
      <c r="V812">
        <f t="shared" si="241"/>
        <v>0</v>
      </c>
      <c r="W812" t="s">
        <v>39</v>
      </c>
      <c r="X812">
        <f t="shared" si="242"/>
        <v>1</v>
      </c>
      <c r="Y812">
        <f t="shared" si="243"/>
        <v>0</v>
      </c>
      <c r="Z812">
        <v>3</v>
      </c>
      <c r="AA812">
        <f t="shared" si="244"/>
        <v>0.5</v>
      </c>
      <c r="AB812" t="s">
        <v>46</v>
      </c>
      <c r="AC812">
        <f t="shared" si="245"/>
        <v>1</v>
      </c>
      <c r="AD812">
        <f t="shared" si="246"/>
        <v>0</v>
      </c>
      <c r="AE812" t="s">
        <v>50</v>
      </c>
      <c r="AF812">
        <f>IF(AE812="website",1,0)</f>
        <v>0</v>
      </c>
    </row>
    <row r="813" spans="1:32">
      <c r="A813" t="s">
        <v>1449</v>
      </c>
      <c r="B813" t="s">
        <v>33</v>
      </c>
      <c r="C813" s="3">
        <f t="shared" si="228"/>
        <v>0</v>
      </c>
      <c r="D813">
        <f t="shared" si="229"/>
        <v>1</v>
      </c>
      <c r="E813" t="s">
        <v>1125</v>
      </c>
      <c r="F813" t="s">
        <v>861</v>
      </c>
      <c r="G813" s="1">
        <v>27265</v>
      </c>
      <c r="H813" s="2">
        <f t="shared" ca="1" si="230"/>
        <v>52</v>
      </c>
      <c r="I813" s="2">
        <f t="shared" ca="1" si="231"/>
        <v>0.38571428571428573</v>
      </c>
      <c r="J813" t="s">
        <v>45</v>
      </c>
      <c r="K813" t="s">
        <v>248</v>
      </c>
      <c r="L813">
        <f t="shared" si="232"/>
        <v>0</v>
      </c>
      <c r="M813">
        <f t="shared" si="233"/>
        <v>0</v>
      </c>
      <c r="N813">
        <f t="shared" si="234"/>
        <v>0</v>
      </c>
      <c r="O813" t="s">
        <v>249</v>
      </c>
      <c r="P813">
        <f t="shared" si="235"/>
        <v>0</v>
      </c>
      <c r="Q813">
        <f t="shared" si="236"/>
        <v>0</v>
      </c>
      <c r="R813">
        <f t="shared" si="237"/>
        <v>0</v>
      </c>
      <c r="S813">
        <f t="shared" si="238"/>
        <v>0</v>
      </c>
      <c r="T813">
        <f t="shared" si="239"/>
        <v>0</v>
      </c>
      <c r="U813">
        <f t="shared" si="240"/>
        <v>0</v>
      </c>
      <c r="V813">
        <f t="shared" si="241"/>
        <v>0</v>
      </c>
      <c r="W813" t="s">
        <v>39</v>
      </c>
      <c r="X813">
        <f t="shared" si="242"/>
        <v>1</v>
      </c>
      <c r="Y813">
        <f t="shared" si="243"/>
        <v>0</v>
      </c>
      <c r="Z813">
        <v>3</v>
      </c>
      <c r="AA813">
        <f t="shared" si="244"/>
        <v>0.5</v>
      </c>
      <c r="AB813" t="s">
        <v>40</v>
      </c>
      <c r="AC813">
        <f t="shared" si="245"/>
        <v>0</v>
      </c>
      <c r="AD813">
        <f t="shared" si="246"/>
        <v>0</v>
      </c>
      <c r="AE813" t="s">
        <v>41</v>
      </c>
      <c r="AF813">
        <f>IF(AE813="website",1,0)</f>
        <v>1</v>
      </c>
    </row>
    <row r="814" spans="1:32">
      <c r="A814" t="s">
        <v>1450</v>
      </c>
      <c r="B814" t="s">
        <v>33</v>
      </c>
      <c r="C814" s="3">
        <f t="shared" si="228"/>
        <v>0</v>
      </c>
      <c r="D814">
        <f t="shared" si="229"/>
        <v>1</v>
      </c>
      <c r="E814" t="s">
        <v>722</v>
      </c>
      <c r="F814" t="s">
        <v>876</v>
      </c>
      <c r="G814" s="1">
        <v>27313</v>
      </c>
      <c r="H814" s="2">
        <f t="shared" ca="1" si="230"/>
        <v>51</v>
      </c>
      <c r="I814" s="2">
        <f t="shared" ca="1" si="231"/>
        <v>0.37142857142857144</v>
      </c>
      <c r="J814" t="s">
        <v>45</v>
      </c>
      <c r="K814" t="s">
        <v>248</v>
      </c>
      <c r="L814">
        <f t="shared" si="232"/>
        <v>0</v>
      </c>
      <c r="M814">
        <f t="shared" si="233"/>
        <v>0</v>
      </c>
      <c r="N814">
        <f t="shared" si="234"/>
        <v>0</v>
      </c>
      <c r="O814" t="s">
        <v>411</v>
      </c>
      <c r="P814">
        <f t="shared" si="235"/>
        <v>0</v>
      </c>
      <c r="Q814">
        <f t="shared" si="236"/>
        <v>0</v>
      </c>
      <c r="R814">
        <f t="shared" si="237"/>
        <v>0</v>
      </c>
      <c r="S814">
        <f t="shared" si="238"/>
        <v>0</v>
      </c>
      <c r="T814">
        <f t="shared" si="239"/>
        <v>0</v>
      </c>
      <c r="U814">
        <f t="shared" si="240"/>
        <v>0</v>
      </c>
      <c r="V814">
        <f t="shared" si="241"/>
        <v>0</v>
      </c>
      <c r="W814" t="s">
        <v>58</v>
      </c>
      <c r="X814">
        <f t="shared" si="242"/>
        <v>0</v>
      </c>
      <c r="Y814">
        <f t="shared" si="243"/>
        <v>1</v>
      </c>
      <c r="Z814">
        <v>3</v>
      </c>
      <c r="AA814">
        <f t="shared" si="244"/>
        <v>0.5</v>
      </c>
      <c r="AB814" t="s">
        <v>46</v>
      </c>
      <c r="AC814">
        <f t="shared" si="245"/>
        <v>1</v>
      </c>
      <c r="AD814">
        <f t="shared" si="246"/>
        <v>0</v>
      </c>
      <c r="AE814" t="s">
        <v>50</v>
      </c>
      <c r="AF814">
        <f>IF(AE814="website",1,0)</f>
        <v>0</v>
      </c>
    </row>
    <row r="815" spans="1:32">
      <c r="A815" t="s">
        <v>1451</v>
      </c>
      <c r="B815" t="s">
        <v>33</v>
      </c>
      <c r="C815" s="3">
        <f t="shared" si="228"/>
        <v>0</v>
      </c>
      <c r="D815">
        <f t="shared" si="229"/>
        <v>1</v>
      </c>
      <c r="E815" t="s">
        <v>817</v>
      </c>
      <c r="F815" t="s">
        <v>372</v>
      </c>
      <c r="G815" s="1">
        <v>23462</v>
      </c>
      <c r="H815" s="2">
        <f t="shared" ca="1" si="230"/>
        <v>62</v>
      </c>
      <c r="I815" s="2">
        <f t="shared" ca="1" si="231"/>
        <v>0.52857142857142858</v>
      </c>
      <c r="J815" t="s">
        <v>36</v>
      </c>
      <c r="K815" t="s">
        <v>37</v>
      </c>
      <c r="L815">
        <f t="shared" si="232"/>
        <v>1</v>
      </c>
      <c r="M815">
        <f t="shared" si="233"/>
        <v>0</v>
      </c>
      <c r="N815">
        <f t="shared" si="234"/>
        <v>0</v>
      </c>
      <c r="O815" t="s">
        <v>38</v>
      </c>
      <c r="P815">
        <f t="shared" si="235"/>
        <v>1</v>
      </c>
      <c r="Q815">
        <f t="shared" si="236"/>
        <v>0</v>
      </c>
      <c r="R815">
        <f t="shared" si="237"/>
        <v>0</v>
      </c>
      <c r="S815">
        <f t="shared" si="238"/>
        <v>0</v>
      </c>
      <c r="T815">
        <f t="shared" si="239"/>
        <v>0</v>
      </c>
      <c r="U815">
        <f t="shared" si="240"/>
        <v>0</v>
      </c>
      <c r="V815">
        <f t="shared" si="241"/>
        <v>0</v>
      </c>
      <c r="W815" t="s">
        <v>39</v>
      </c>
      <c r="X815">
        <f t="shared" si="242"/>
        <v>1</v>
      </c>
      <c r="Y815">
        <f t="shared" si="243"/>
        <v>0</v>
      </c>
      <c r="Z815">
        <v>2</v>
      </c>
      <c r="AA815">
        <f t="shared" si="244"/>
        <v>0.25</v>
      </c>
      <c r="AB815" t="s">
        <v>46</v>
      </c>
      <c r="AC815">
        <f t="shared" si="245"/>
        <v>0</v>
      </c>
      <c r="AD815">
        <f t="shared" si="246"/>
        <v>0</v>
      </c>
      <c r="AE815" t="s">
        <v>41</v>
      </c>
      <c r="AF815">
        <f>IF(AE815="website",1,0)</f>
        <v>1</v>
      </c>
    </row>
    <row r="816" spans="1:32">
      <c r="A816" t="s">
        <v>1452</v>
      </c>
      <c r="B816" t="s">
        <v>55</v>
      </c>
      <c r="C816" s="3">
        <f t="shared" si="228"/>
        <v>1</v>
      </c>
      <c r="D816">
        <f t="shared" si="229"/>
        <v>0</v>
      </c>
      <c r="E816" t="s">
        <v>992</v>
      </c>
      <c r="F816" t="s">
        <v>57</v>
      </c>
      <c r="G816" s="1">
        <v>24052</v>
      </c>
      <c r="H816" s="2">
        <f t="shared" ca="1" si="230"/>
        <v>60</v>
      </c>
      <c r="I816" s="2">
        <f t="shared" ca="1" si="231"/>
        <v>0.5</v>
      </c>
      <c r="J816" t="s">
        <v>36</v>
      </c>
      <c r="K816" t="s">
        <v>37</v>
      </c>
      <c r="L816">
        <f t="shared" si="232"/>
        <v>1</v>
      </c>
      <c r="M816">
        <f t="shared" si="233"/>
        <v>0</v>
      </c>
      <c r="N816">
        <f t="shared" si="234"/>
        <v>0</v>
      </c>
      <c r="O816" t="s">
        <v>124</v>
      </c>
      <c r="P816">
        <f t="shared" si="235"/>
        <v>0</v>
      </c>
      <c r="Q816">
        <f t="shared" si="236"/>
        <v>0</v>
      </c>
      <c r="R816">
        <f t="shared" si="237"/>
        <v>0</v>
      </c>
      <c r="S816">
        <f t="shared" si="238"/>
        <v>0</v>
      </c>
      <c r="T816">
        <f t="shared" si="239"/>
        <v>0</v>
      </c>
      <c r="U816">
        <f t="shared" si="240"/>
        <v>1</v>
      </c>
      <c r="V816">
        <f t="shared" si="241"/>
        <v>0</v>
      </c>
      <c r="W816" t="s">
        <v>39</v>
      </c>
      <c r="X816">
        <f t="shared" si="242"/>
        <v>1</v>
      </c>
      <c r="Y816">
        <f t="shared" si="243"/>
        <v>0</v>
      </c>
      <c r="Z816">
        <v>4</v>
      </c>
      <c r="AA816">
        <f t="shared" si="244"/>
        <v>0.75</v>
      </c>
      <c r="AB816" t="s">
        <v>40</v>
      </c>
      <c r="AC816">
        <f t="shared" si="245"/>
        <v>1</v>
      </c>
      <c r="AD816">
        <f t="shared" si="246"/>
        <v>0</v>
      </c>
      <c r="AE816" t="s">
        <v>50</v>
      </c>
      <c r="AF816">
        <f>IF(AE816="website",1,0)</f>
        <v>0</v>
      </c>
    </row>
    <row r="817" spans="1:32">
      <c r="A817" t="s">
        <v>1453</v>
      </c>
      <c r="B817" t="s">
        <v>33</v>
      </c>
      <c r="C817" s="3">
        <f t="shared" si="228"/>
        <v>0</v>
      </c>
      <c r="D817">
        <f t="shared" si="229"/>
        <v>1</v>
      </c>
      <c r="E817" t="s">
        <v>679</v>
      </c>
      <c r="F817" t="s">
        <v>61</v>
      </c>
      <c r="G817" s="1">
        <v>17524</v>
      </c>
      <c r="H817" s="2">
        <f t="shared" ca="1" si="230"/>
        <v>78</v>
      </c>
      <c r="I817" s="2">
        <f t="shared" ca="1" si="231"/>
        <v>0.75714285714285712</v>
      </c>
      <c r="J817" t="s">
        <v>36</v>
      </c>
      <c r="K817" t="s">
        <v>113</v>
      </c>
      <c r="L817">
        <f t="shared" si="232"/>
        <v>0</v>
      </c>
      <c r="M817">
        <f t="shared" si="233"/>
        <v>0</v>
      </c>
      <c r="N817">
        <f t="shared" si="234"/>
        <v>1</v>
      </c>
      <c r="O817" t="s">
        <v>675</v>
      </c>
      <c r="P817">
        <f t="shared" si="235"/>
        <v>0</v>
      </c>
      <c r="Q817">
        <f t="shared" si="236"/>
        <v>0</v>
      </c>
      <c r="R817">
        <f t="shared" si="237"/>
        <v>0</v>
      </c>
      <c r="S817">
        <f t="shared" si="238"/>
        <v>0</v>
      </c>
      <c r="T817">
        <f t="shared" si="239"/>
        <v>0</v>
      </c>
      <c r="U817">
        <f t="shared" si="240"/>
        <v>0</v>
      </c>
      <c r="V817">
        <f t="shared" si="241"/>
        <v>0</v>
      </c>
      <c r="W817" t="s">
        <v>39</v>
      </c>
      <c r="X817">
        <f t="shared" si="242"/>
        <v>1</v>
      </c>
      <c r="Y817">
        <f t="shared" si="243"/>
        <v>0</v>
      </c>
      <c r="Z817">
        <v>2</v>
      </c>
      <c r="AA817">
        <f t="shared" si="244"/>
        <v>0.25</v>
      </c>
      <c r="AB817" t="s">
        <v>40</v>
      </c>
      <c r="AC817">
        <f t="shared" si="245"/>
        <v>0</v>
      </c>
      <c r="AD817">
        <f t="shared" si="246"/>
        <v>0</v>
      </c>
      <c r="AE817" t="s">
        <v>41</v>
      </c>
      <c r="AF817">
        <f>IF(AE817="website",1,0)</f>
        <v>1</v>
      </c>
    </row>
    <row r="818" spans="1:32">
      <c r="A818" t="s">
        <v>1454</v>
      </c>
      <c r="B818" t="s">
        <v>33</v>
      </c>
      <c r="C818" s="3">
        <f t="shared" si="228"/>
        <v>0</v>
      </c>
      <c r="D818">
        <f t="shared" si="229"/>
        <v>1</v>
      </c>
      <c r="E818" t="s">
        <v>317</v>
      </c>
      <c r="F818" t="s">
        <v>798</v>
      </c>
      <c r="G818" s="1">
        <v>26431</v>
      </c>
      <c r="H818" s="2">
        <f t="shared" ca="1" si="230"/>
        <v>54</v>
      </c>
      <c r="I818" s="2">
        <f t="shared" ca="1" si="231"/>
        <v>0.41428571428571431</v>
      </c>
      <c r="J818" t="s">
        <v>36</v>
      </c>
      <c r="K818" t="s">
        <v>37</v>
      </c>
      <c r="L818">
        <f t="shared" si="232"/>
        <v>1</v>
      </c>
      <c r="M818">
        <f t="shared" si="233"/>
        <v>0</v>
      </c>
      <c r="N818">
        <f t="shared" si="234"/>
        <v>0</v>
      </c>
      <c r="O818" t="s">
        <v>38</v>
      </c>
      <c r="P818">
        <f t="shared" si="235"/>
        <v>1</v>
      </c>
      <c r="Q818">
        <f t="shared" si="236"/>
        <v>0</v>
      </c>
      <c r="R818">
        <f t="shared" si="237"/>
        <v>0</v>
      </c>
      <c r="S818">
        <f t="shared" si="238"/>
        <v>0</v>
      </c>
      <c r="T818">
        <f t="shared" si="239"/>
        <v>0</v>
      </c>
      <c r="U818">
        <f t="shared" si="240"/>
        <v>0</v>
      </c>
      <c r="V818">
        <f t="shared" si="241"/>
        <v>0</v>
      </c>
      <c r="W818" t="s">
        <v>58</v>
      </c>
      <c r="X818">
        <f t="shared" si="242"/>
        <v>0</v>
      </c>
      <c r="Y818">
        <f t="shared" si="243"/>
        <v>1</v>
      </c>
      <c r="Z818">
        <v>1</v>
      </c>
      <c r="AA818">
        <f t="shared" si="244"/>
        <v>0</v>
      </c>
      <c r="AB818" t="s">
        <v>46</v>
      </c>
      <c r="AC818">
        <f t="shared" si="245"/>
        <v>0</v>
      </c>
      <c r="AD818">
        <f t="shared" si="246"/>
        <v>0</v>
      </c>
      <c r="AE818" t="s">
        <v>41</v>
      </c>
      <c r="AF818">
        <f>IF(AE818="website",1,0)</f>
        <v>1</v>
      </c>
    </row>
    <row r="819" spans="1:32">
      <c r="A819" t="s">
        <v>1455</v>
      </c>
      <c r="B819" t="s">
        <v>55</v>
      </c>
      <c r="C819" s="3">
        <f t="shared" si="228"/>
        <v>1</v>
      </c>
      <c r="D819">
        <f t="shared" si="229"/>
        <v>0</v>
      </c>
      <c r="E819" t="s">
        <v>1320</v>
      </c>
      <c r="F819" t="s">
        <v>57</v>
      </c>
      <c r="G819" s="1">
        <v>33489</v>
      </c>
      <c r="H819" s="2">
        <f t="shared" ca="1" si="230"/>
        <v>35</v>
      </c>
      <c r="I819" s="2">
        <f t="shared" ca="1" si="231"/>
        <v>0.14285714285714285</v>
      </c>
      <c r="J819" t="s">
        <v>36</v>
      </c>
      <c r="K819" t="s">
        <v>37</v>
      </c>
      <c r="L819">
        <f t="shared" si="232"/>
        <v>1</v>
      </c>
      <c r="M819">
        <f t="shared" si="233"/>
        <v>0</v>
      </c>
      <c r="N819">
        <f t="shared" si="234"/>
        <v>0</v>
      </c>
      <c r="O819" t="s">
        <v>137</v>
      </c>
      <c r="P819">
        <f t="shared" si="235"/>
        <v>0</v>
      </c>
      <c r="Q819">
        <f t="shared" si="236"/>
        <v>0</v>
      </c>
      <c r="R819">
        <f t="shared" si="237"/>
        <v>0</v>
      </c>
      <c r="S819">
        <f t="shared" si="238"/>
        <v>0</v>
      </c>
      <c r="T819">
        <f t="shared" si="239"/>
        <v>0</v>
      </c>
      <c r="U819">
        <f t="shared" si="240"/>
        <v>0</v>
      </c>
      <c r="V819">
        <f t="shared" si="241"/>
        <v>0</v>
      </c>
      <c r="W819" t="s">
        <v>39</v>
      </c>
      <c r="X819">
        <f t="shared" si="242"/>
        <v>1</v>
      </c>
      <c r="Y819">
        <f t="shared" si="243"/>
        <v>0</v>
      </c>
      <c r="Z819">
        <v>2</v>
      </c>
      <c r="AA819">
        <f t="shared" si="244"/>
        <v>0.25</v>
      </c>
      <c r="AB819" t="s">
        <v>46</v>
      </c>
      <c r="AC819">
        <f t="shared" si="245"/>
        <v>0</v>
      </c>
      <c r="AD819">
        <f t="shared" si="246"/>
        <v>0</v>
      </c>
      <c r="AE819" t="s">
        <v>41</v>
      </c>
      <c r="AF819">
        <f>IF(AE819="website",1,0)</f>
        <v>1</v>
      </c>
    </row>
    <row r="820" spans="1:32">
      <c r="A820" t="s">
        <v>1456</v>
      </c>
      <c r="B820" t="s">
        <v>33</v>
      </c>
      <c r="C820" s="3">
        <f t="shared" si="228"/>
        <v>0</v>
      </c>
      <c r="D820">
        <f t="shared" si="229"/>
        <v>1</v>
      </c>
      <c r="E820" t="s">
        <v>609</v>
      </c>
      <c r="F820" t="s">
        <v>773</v>
      </c>
      <c r="G820" s="1">
        <v>18702</v>
      </c>
      <c r="H820" s="2">
        <f t="shared" ca="1" si="230"/>
        <v>75</v>
      </c>
      <c r="I820" s="2">
        <f t="shared" ca="1" si="231"/>
        <v>0.7142857142857143</v>
      </c>
      <c r="J820" t="s">
        <v>45</v>
      </c>
      <c r="K820" t="s">
        <v>37</v>
      </c>
      <c r="L820">
        <f t="shared" si="232"/>
        <v>1</v>
      </c>
      <c r="M820">
        <f t="shared" si="233"/>
        <v>0</v>
      </c>
      <c r="N820">
        <f t="shared" si="234"/>
        <v>0</v>
      </c>
      <c r="O820" t="s">
        <v>38</v>
      </c>
      <c r="P820">
        <f t="shared" si="235"/>
        <v>1</v>
      </c>
      <c r="Q820">
        <f t="shared" si="236"/>
        <v>0</v>
      </c>
      <c r="R820">
        <f t="shared" si="237"/>
        <v>0</v>
      </c>
      <c r="S820">
        <f t="shared" si="238"/>
        <v>0</v>
      </c>
      <c r="T820">
        <f t="shared" si="239"/>
        <v>0</v>
      </c>
      <c r="U820">
        <f t="shared" si="240"/>
        <v>0</v>
      </c>
      <c r="V820">
        <f t="shared" si="241"/>
        <v>0</v>
      </c>
      <c r="W820" t="s">
        <v>39</v>
      </c>
      <c r="X820">
        <f t="shared" si="242"/>
        <v>1</v>
      </c>
      <c r="Y820">
        <f t="shared" si="243"/>
        <v>0</v>
      </c>
      <c r="Z820">
        <v>5</v>
      </c>
      <c r="AA820">
        <f t="shared" si="244"/>
        <v>1</v>
      </c>
      <c r="AB820" t="s">
        <v>46</v>
      </c>
      <c r="AC820">
        <f t="shared" si="245"/>
        <v>0</v>
      </c>
      <c r="AD820">
        <f t="shared" si="246"/>
        <v>0</v>
      </c>
      <c r="AE820" t="s">
        <v>41</v>
      </c>
      <c r="AF820">
        <f>IF(AE820="website",1,0)</f>
        <v>1</v>
      </c>
    </row>
    <row r="821" spans="1:32">
      <c r="A821" t="s">
        <v>1457</v>
      </c>
      <c r="B821" t="s">
        <v>33</v>
      </c>
      <c r="C821" s="3">
        <f t="shared" si="228"/>
        <v>0</v>
      </c>
      <c r="D821">
        <f t="shared" si="229"/>
        <v>1</v>
      </c>
      <c r="E821" t="s">
        <v>921</v>
      </c>
      <c r="F821" t="s">
        <v>745</v>
      </c>
      <c r="G821" s="1">
        <v>14906</v>
      </c>
      <c r="H821" s="2">
        <f t="shared" ca="1" si="230"/>
        <v>85</v>
      </c>
      <c r="I821" s="2">
        <f t="shared" ca="1" si="231"/>
        <v>0.8571428571428571</v>
      </c>
      <c r="J821" t="s">
        <v>36</v>
      </c>
      <c r="K821" t="s">
        <v>37</v>
      </c>
      <c r="L821">
        <f t="shared" si="232"/>
        <v>1</v>
      </c>
      <c r="M821">
        <f t="shared" si="233"/>
        <v>0</v>
      </c>
      <c r="N821">
        <f t="shared" si="234"/>
        <v>0</v>
      </c>
      <c r="O821" t="s">
        <v>592</v>
      </c>
      <c r="P821">
        <f t="shared" si="235"/>
        <v>0</v>
      </c>
      <c r="Q821">
        <f t="shared" si="236"/>
        <v>0</v>
      </c>
      <c r="R821">
        <f t="shared" si="237"/>
        <v>0</v>
      </c>
      <c r="S821">
        <f t="shared" si="238"/>
        <v>0</v>
      </c>
      <c r="T821">
        <f t="shared" si="239"/>
        <v>0</v>
      </c>
      <c r="U821">
        <f t="shared" si="240"/>
        <v>0</v>
      </c>
      <c r="V821">
        <f t="shared" si="241"/>
        <v>0</v>
      </c>
      <c r="W821" t="s">
        <v>58</v>
      </c>
      <c r="X821">
        <f t="shared" si="242"/>
        <v>0</v>
      </c>
      <c r="Y821">
        <f t="shared" si="243"/>
        <v>1</v>
      </c>
      <c r="Z821">
        <v>4</v>
      </c>
      <c r="AA821">
        <f t="shared" si="244"/>
        <v>0.75</v>
      </c>
      <c r="AB821" t="s">
        <v>46</v>
      </c>
      <c r="AC821">
        <f t="shared" si="245"/>
        <v>1</v>
      </c>
      <c r="AD821">
        <f t="shared" si="246"/>
        <v>0</v>
      </c>
      <c r="AE821" t="s">
        <v>50</v>
      </c>
      <c r="AF821">
        <f>IF(AE821="website",1,0)</f>
        <v>0</v>
      </c>
    </row>
    <row r="822" spans="1:32">
      <c r="A822" t="s">
        <v>1458</v>
      </c>
      <c r="B822" t="s">
        <v>33</v>
      </c>
      <c r="C822" s="3">
        <f t="shared" si="228"/>
        <v>0</v>
      </c>
      <c r="D822">
        <f t="shared" si="229"/>
        <v>1</v>
      </c>
      <c r="E822" t="s">
        <v>753</v>
      </c>
      <c r="F822" t="s">
        <v>620</v>
      </c>
      <c r="G822" s="1">
        <v>21067</v>
      </c>
      <c r="H822" s="2">
        <f t="shared" ca="1" si="230"/>
        <v>69</v>
      </c>
      <c r="I822" s="2">
        <f t="shared" ca="1" si="231"/>
        <v>0.62857142857142856</v>
      </c>
      <c r="J822" t="s">
        <v>36</v>
      </c>
      <c r="K822" t="s">
        <v>37</v>
      </c>
      <c r="L822">
        <f t="shared" si="232"/>
        <v>1</v>
      </c>
      <c r="M822">
        <f t="shared" si="233"/>
        <v>0</v>
      </c>
      <c r="N822">
        <f t="shared" si="234"/>
        <v>0</v>
      </c>
      <c r="O822" t="s">
        <v>38</v>
      </c>
      <c r="P822">
        <f t="shared" si="235"/>
        <v>1</v>
      </c>
      <c r="Q822">
        <f t="shared" si="236"/>
        <v>0</v>
      </c>
      <c r="R822">
        <f t="shared" si="237"/>
        <v>0</v>
      </c>
      <c r="S822">
        <f t="shared" si="238"/>
        <v>0</v>
      </c>
      <c r="T822">
        <f t="shared" si="239"/>
        <v>0</v>
      </c>
      <c r="U822">
        <f t="shared" si="240"/>
        <v>0</v>
      </c>
      <c r="V822">
        <f t="shared" si="241"/>
        <v>0</v>
      </c>
      <c r="W822" t="s">
        <v>39</v>
      </c>
      <c r="X822">
        <f t="shared" si="242"/>
        <v>1</v>
      </c>
      <c r="Y822">
        <f t="shared" si="243"/>
        <v>0</v>
      </c>
      <c r="Z822">
        <v>5</v>
      </c>
      <c r="AA822">
        <f t="shared" si="244"/>
        <v>1</v>
      </c>
      <c r="AB822" t="s">
        <v>40</v>
      </c>
      <c r="AC822">
        <f t="shared" si="245"/>
        <v>1</v>
      </c>
      <c r="AD822">
        <f t="shared" si="246"/>
        <v>0</v>
      </c>
      <c r="AE822" t="s">
        <v>50</v>
      </c>
      <c r="AF822">
        <f>IF(AE822="website",1,0)</f>
        <v>0</v>
      </c>
    </row>
    <row r="823" spans="1:32">
      <c r="A823" t="s">
        <v>1459</v>
      </c>
      <c r="B823" t="s">
        <v>33</v>
      </c>
      <c r="C823" s="3">
        <f t="shared" si="228"/>
        <v>0</v>
      </c>
      <c r="D823">
        <f t="shared" si="229"/>
        <v>1</v>
      </c>
      <c r="E823" t="s">
        <v>968</v>
      </c>
      <c r="F823" t="s">
        <v>552</v>
      </c>
      <c r="G823" s="1">
        <v>21659</v>
      </c>
      <c r="H823" s="2">
        <f t="shared" ca="1" si="230"/>
        <v>67</v>
      </c>
      <c r="I823" s="2">
        <f t="shared" ca="1" si="231"/>
        <v>0.6</v>
      </c>
      <c r="J823" t="s">
        <v>36</v>
      </c>
      <c r="K823" t="s">
        <v>37</v>
      </c>
      <c r="L823">
        <f t="shared" si="232"/>
        <v>1</v>
      </c>
      <c r="M823">
        <f t="shared" si="233"/>
        <v>0</v>
      </c>
      <c r="N823">
        <f t="shared" si="234"/>
        <v>0</v>
      </c>
      <c r="O823" t="s">
        <v>38</v>
      </c>
      <c r="P823">
        <f t="shared" si="235"/>
        <v>1</v>
      </c>
      <c r="Q823">
        <f t="shared" si="236"/>
        <v>0</v>
      </c>
      <c r="R823">
        <f t="shared" si="237"/>
        <v>0</v>
      </c>
      <c r="S823">
        <f t="shared" si="238"/>
        <v>0</v>
      </c>
      <c r="T823">
        <f t="shared" si="239"/>
        <v>0</v>
      </c>
      <c r="U823">
        <f t="shared" si="240"/>
        <v>0</v>
      </c>
      <c r="V823">
        <f t="shared" si="241"/>
        <v>0</v>
      </c>
      <c r="W823" t="s">
        <v>58</v>
      </c>
      <c r="X823">
        <f t="shared" si="242"/>
        <v>0</v>
      </c>
      <c r="Y823">
        <f t="shared" si="243"/>
        <v>1</v>
      </c>
      <c r="Z823">
        <v>3</v>
      </c>
      <c r="AA823">
        <f t="shared" si="244"/>
        <v>0.5</v>
      </c>
      <c r="AB823" t="s">
        <v>40</v>
      </c>
      <c r="AC823">
        <f t="shared" si="245"/>
        <v>0</v>
      </c>
      <c r="AD823">
        <f t="shared" si="246"/>
        <v>0</v>
      </c>
      <c r="AE823" t="s">
        <v>41</v>
      </c>
      <c r="AF823">
        <f>IF(AE823="website",1,0)</f>
        <v>1</v>
      </c>
    </row>
    <row r="824" spans="1:32">
      <c r="A824" t="s">
        <v>1460</v>
      </c>
      <c r="B824" t="s">
        <v>33</v>
      </c>
      <c r="C824" s="3">
        <f t="shared" si="228"/>
        <v>0</v>
      </c>
      <c r="D824">
        <f t="shared" si="229"/>
        <v>1</v>
      </c>
      <c r="E824" t="s">
        <v>652</v>
      </c>
      <c r="F824" t="s">
        <v>823</v>
      </c>
      <c r="G824" s="1">
        <v>27500</v>
      </c>
      <c r="H824" s="2">
        <f t="shared" ca="1" si="230"/>
        <v>51</v>
      </c>
      <c r="I824" s="2">
        <f t="shared" ca="1" si="231"/>
        <v>0.37142857142857144</v>
      </c>
      <c r="J824" t="s">
        <v>36</v>
      </c>
      <c r="K824" t="s">
        <v>37</v>
      </c>
      <c r="L824">
        <f t="shared" si="232"/>
        <v>1</v>
      </c>
      <c r="M824">
        <f t="shared" si="233"/>
        <v>0</v>
      </c>
      <c r="N824">
        <f t="shared" si="234"/>
        <v>0</v>
      </c>
      <c r="O824" t="s">
        <v>76</v>
      </c>
      <c r="P824">
        <f t="shared" si="235"/>
        <v>0</v>
      </c>
      <c r="Q824">
        <f t="shared" si="236"/>
        <v>1</v>
      </c>
      <c r="R824">
        <f t="shared" si="237"/>
        <v>0</v>
      </c>
      <c r="S824">
        <f t="shared" si="238"/>
        <v>0</v>
      </c>
      <c r="T824">
        <f t="shared" si="239"/>
        <v>0</v>
      </c>
      <c r="U824">
        <f t="shared" si="240"/>
        <v>0</v>
      </c>
      <c r="V824">
        <f t="shared" si="241"/>
        <v>0</v>
      </c>
      <c r="W824" t="s">
        <v>58</v>
      </c>
      <c r="X824">
        <f t="shared" si="242"/>
        <v>0</v>
      </c>
      <c r="Y824">
        <f t="shared" si="243"/>
        <v>1</v>
      </c>
      <c r="Z824">
        <v>5</v>
      </c>
      <c r="AA824">
        <f t="shared" si="244"/>
        <v>1</v>
      </c>
      <c r="AB824" t="s">
        <v>40</v>
      </c>
      <c r="AC824">
        <f t="shared" si="245"/>
        <v>1</v>
      </c>
      <c r="AD824">
        <f t="shared" si="246"/>
        <v>0</v>
      </c>
      <c r="AE824" t="s">
        <v>50</v>
      </c>
      <c r="AF824">
        <f>IF(AE824="website",1,0)</f>
        <v>0</v>
      </c>
    </row>
    <row r="825" spans="1:32">
      <c r="A825" t="s">
        <v>1461</v>
      </c>
      <c r="B825" t="s">
        <v>33</v>
      </c>
      <c r="C825" s="3">
        <f t="shared" si="228"/>
        <v>0</v>
      </c>
      <c r="D825">
        <f t="shared" si="229"/>
        <v>1</v>
      </c>
      <c r="E825" t="s">
        <v>965</v>
      </c>
      <c r="F825" t="s">
        <v>856</v>
      </c>
      <c r="G825" s="1">
        <v>27912</v>
      </c>
      <c r="H825" s="2">
        <f t="shared" ca="1" si="230"/>
        <v>50</v>
      </c>
      <c r="I825" s="2">
        <f t="shared" ca="1" si="231"/>
        <v>0.35714285714285715</v>
      </c>
      <c r="J825" t="s">
        <v>45</v>
      </c>
      <c r="K825" t="s">
        <v>37</v>
      </c>
      <c r="L825">
        <f t="shared" si="232"/>
        <v>1</v>
      </c>
      <c r="M825">
        <f t="shared" si="233"/>
        <v>0</v>
      </c>
      <c r="N825">
        <f t="shared" si="234"/>
        <v>0</v>
      </c>
      <c r="O825" t="s">
        <v>38</v>
      </c>
      <c r="P825">
        <f t="shared" si="235"/>
        <v>1</v>
      </c>
      <c r="Q825">
        <f t="shared" si="236"/>
        <v>0</v>
      </c>
      <c r="R825">
        <f t="shared" si="237"/>
        <v>0</v>
      </c>
      <c r="S825">
        <f t="shared" si="238"/>
        <v>0</v>
      </c>
      <c r="T825">
        <f t="shared" si="239"/>
        <v>0</v>
      </c>
      <c r="U825">
        <f t="shared" si="240"/>
        <v>0</v>
      </c>
      <c r="V825">
        <f t="shared" si="241"/>
        <v>0</v>
      </c>
      <c r="W825" t="s">
        <v>39</v>
      </c>
      <c r="X825">
        <f t="shared" si="242"/>
        <v>1</v>
      </c>
      <c r="Y825">
        <f t="shared" si="243"/>
        <v>0</v>
      </c>
      <c r="Z825">
        <v>3</v>
      </c>
      <c r="AA825">
        <f t="shared" si="244"/>
        <v>0.5</v>
      </c>
      <c r="AB825" t="s">
        <v>46</v>
      </c>
      <c r="AC825">
        <f t="shared" si="245"/>
        <v>1</v>
      </c>
      <c r="AD825">
        <f t="shared" si="246"/>
        <v>0</v>
      </c>
      <c r="AE825" t="s">
        <v>50</v>
      </c>
      <c r="AF825">
        <f>IF(AE825="website",1,0)</f>
        <v>0</v>
      </c>
    </row>
    <row r="826" spans="1:32">
      <c r="A826" t="s">
        <v>1462</v>
      </c>
      <c r="B826" t="s">
        <v>33</v>
      </c>
      <c r="C826" s="3">
        <f t="shared" si="228"/>
        <v>0</v>
      </c>
      <c r="D826">
        <f t="shared" si="229"/>
        <v>1</v>
      </c>
      <c r="E826" t="s">
        <v>829</v>
      </c>
      <c r="F826" t="s">
        <v>716</v>
      </c>
      <c r="G826" s="1">
        <v>30036</v>
      </c>
      <c r="H826" s="2">
        <f t="shared" ca="1" si="230"/>
        <v>44</v>
      </c>
      <c r="I826" s="2">
        <f t="shared" ca="1" si="231"/>
        <v>0.27142857142857141</v>
      </c>
      <c r="J826" t="s">
        <v>36</v>
      </c>
      <c r="K826" t="s">
        <v>158</v>
      </c>
      <c r="L826">
        <f t="shared" si="232"/>
        <v>0</v>
      </c>
      <c r="M826">
        <f t="shared" si="233"/>
        <v>0</v>
      </c>
      <c r="N826">
        <f t="shared" si="234"/>
        <v>0</v>
      </c>
      <c r="O826" t="s">
        <v>732</v>
      </c>
      <c r="P826">
        <f t="shared" si="235"/>
        <v>0</v>
      </c>
      <c r="Q826">
        <f t="shared" si="236"/>
        <v>0</v>
      </c>
      <c r="R826">
        <f t="shared" si="237"/>
        <v>0</v>
      </c>
      <c r="S826">
        <f t="shared" si="238"/>
        <v>0</v>
      </c>
      <c r="T826">
        <f t="shared" si="239"/>
        <v>0</v>
      </c>
      <c r="U826">
        <f t="shared" si="240"/>
        <v>0</v>
      </c>
      <c r="V826">
        <f t="shared" si="241"/>
        <v>0</v>
      </c>
      <c r="W826" t="s">
        <v>39</v>
      </c>
      <c r="X826">
        <f t="shared" si="242"/>
        <v>1</v>
      </c>
      <c r="Y826">
        <f t="shared" si="243"/>
        <v>0</v>
      </c>
      <c r="Z826">
        <v>4</v>
      </c>
      <c r="AA826">
        <f t="shared" si="244"/>
        <v>0.75</v>
      </c>
      <c r="AB826" t="s">
        <v>40</v>
      </c>
      <c r="AC826">
        <f t="shared" si="245"/>
        <v>1</v>
      </c>
      <c r="AD826">
        <f t="shared" si="246"/>
        <v>0</v>
      </c>
      <c r="AE826" t="s">
        <v>50</v>
      </c>
      <c r="AF826">
        <f>IF(AE826="website",1,0)</f>
        <v>0</v>
      </c>
    </row>
    <row r="827" spans="1:32">
      <c r="A827" t="s">
        <v>1463</v>
      </c>
      <c r="B827" t="s">
        <v>33</v>
      </c>
      <c r="C827" s="3">
        <f t="shared" si="228"/>
        <v>0</v>
      </c>
      <c r="D827">
        <f t="shared" si="229"/>
        <v>1</v>
      </c>
      <c r="E827" t="s">
        <v>671</v>
      </c>
      <c r="F827" t="s">
        <v>372</v>
      </c>
      <c r="G827" s="1">
        <v>25822</v>
      </c>
      <c r="H827" s="2">
        <f t="shared" ca="1" si="230"/>
        <v>56</v>
      </c>
      <c r="I827" s="2">
        <f t="shared" ca="1" si="231"/>
        <v>0.44285714285714284</v>
      </c>
      <c r="J827" t="s">
        <v>45</v>
      </c>
      <c r="K827" t="s">
        <v>37</v>
      </c>
      <c r="L827">
        <f t="shared" si="232"/>
        <v>1</v>
      </c>
      <c r="M827">
        <f t="shared" si="233"/>
        <v>0</v>
      </c>
      <c r="N827">
        <f t="shared" si="234"/>
        <v>0</v>
      </c>
      <c r="O827" t="s">
        <v>559</v>
      </c>
      <c r="P827">
        <f t="shared" si="235"/>
        <v>0</v>
      </c>
      <c r="Q827">
        <f t="shared" si="236"/>
        <v>0</v>
      </c>
      <c r="R827">
        <f t="shared" si="237"/>
        <v>0</v>
      </c>
      <c r="S827">
        <f t="shared" si="238"/>
        <v>0</v>
      </c>
      <c r="T827">
        <f t="shared" si="239"/>
        <v>0</v>
      </c>
      <c r="U827">
        <f t="shared" si="240"/>
        <v>0</v>
      </c>
      <c r="V827">
        <f t="shared" si="241"/>
        <v>0</v>
      </c>
      <c r="W827" t="s">
        <v>58</v>
      </c>
      <c r="X827">
        <f t="shared" si="242"/>
        <v>0</v>
      </c>
      <c r="Y827">
        <f t="shared" si="243"/>
        <v>1</v>
      </c>
      <c r="Z827">
        <v>4</v>
      </c>
      <c r="AA827">
        <f t="shared" si="244"/>
        <v>0.75</v>
      </c>
      <c r="AB827" t="s">
        <v>40</v>
      </c>
      <c r="AC827">
        <f t="shared" si="245"/>
        <v>0</v>
      </c>
      <c r="AD827">
        <f t="shared" si="246"/>
        <v>0</v>
      </c>
      <c r="AE827" t="s">
        <v>41</v>
      </c>
      <c r="AF827">
        <f>IF(AE827="website",1,0)</f>
        <v>1</v>
      </c>
    </row>
    <row r="828" spans="1:32">
      <c r="A828" t="s">
        <v>1464</v>
      </c>
      <c r="B828" t="s">
        <v>33</v>
      </c>
      <c r="C828" s="3">
        <f t="shared" si="228"/>
        <v>0</v>
      </c>
      <c r="D828">
        <f t="shared" si="229"/>
        <v>1</v>
      </c>
      <c r="E828" t="s">
        <v>829</v>
      </c>
      <c r="F828" t="s">
        <v>61</v>
      </c>
      <c r="G828" s="1">
        <v>23977</v>
      </c>
      <c r="H828" s="2">
        <f t="shared" ca="1" si="230"/>
        <v>61</v>
      </c>
      <c r="I828" s="2">
        <f t="shared" ca="1" si="231"/>
        <v>0.51428571428571423</v>
      </c>
      <c r="J828" t="s">
        <v>36</v>
      </c>
      <c r="K828" t="s">
        <v>37</v>
      </c>
      <c r="L828">
        <f t="shared" si="232"/>
        <v>1</v>
      </c>
      <c r="M828">
        <f t="shared" si="233"/>
        <v>0</v>
      </c>
      <c r="N828">
        <f t="shared" si="234"/>
        <v>0</v>
      </c>
      <c r="O828" t="s">
        <v>565</v>
      </c>
      <c r="P828">
        <f t="shared" si="235"/>
        <v>0</v>
      </c>
      <c r="Q828">
        <f t="shared" si="236"/>
        <v>0</v>
      </c>
      <c r="R828">
        <f t="shared" si="237"/>
        <v>0</v>
      </c>
      <c r="S828">
        <f t="shared" si="238"/>
        <v>0</v>
      </c>
      <c r="T828">
        <f t="shared" si="239"/>
        <v>0</v>
      </c>
      <c r="U828">
        <f t="shared" si="240"/>
        <v>0</v>
      </c>
      <c r="V828">
        <f t="shared" si="241"/>
        <v>0</v>
      </c>
      <c r="W828" t="s">
        <v>39</v>
      </c>
      <c r="X828">
        <f t="shared" si="242"/>
        <v>1</v>
      </c>
      <c r="Y828">
        <f t="shared" si="243"/>
        <v>0</v>
      </c>
      <c r="Z828">
        <v>2</v>
      </c>
      <c r="AA828">
        <f t="shared" si="244"/>
        <v>0.25</v>
      </c>
      <c r="AB828" t="s">
        <v>40</v>
      </c>
      <c r="AC828">
        <f t="shared" si="245"/>
        <v>0</v>
      </c>
      <c r="AD828">
        <f t="shared" si="246"/>
        <v>0</v>
      </c>
      <c r="AE828" t="s">
        <v>41</v>
      </c>
      <c r="AF828">
        <f>IF(AE828="website",1,0)</f>
        <v>1</v>
      </c>
    </row>
    <row r="829" spans="1:32">
      <c r="A829" t="s">
        <v>1465</v>
      </c>
      <c r="B829" t="s">
        <v>33</v>
      </c>
      <c r="C829" s="3">
        <f t="shared" si="228"/>
        <v>0</v>
      </c>
      <c r="D829">
        <f t="shared" si="229"/>
        <v>1</v>
      </c>
      <c r="E829" t="s">
        <v>753</v>
      </c>
      <c r="F829" t="s">
        <v>372</v>
      </c>
      <c r="G829" s="1">
        <v>17450</v>
      </c>
      <c r="H829" s="2">
        <f t="shared" ca="1" si="230"/>
        <v>78</v>
      </c>
      <c r="I829" s="2">
        <f t="shared" ca="1" si="231"/>
        <v>0.75714285714285712</v>
      </c>
      <c r="J829" t="s">
        <v>36</v>
      </c>
      <c r="K829" t="s">
        <v>37</v>
      </c>
      <c r="L829">
        <f t="shared" si="232"/>
        <v>1</v>
      </c>
      <c r="M829">
        <f t="shared" si="233"/>
        <v>0</v>
      </c>
      <c r="N829">
        <f t="shared" si="234"/>
        <v>0</v>
      </c>
      <c r="O829" t="s">
        <v>97</v>
      </c>
      <c r="P829">
        <f t="shared" si="235"/>
        <v>0</v>
      </c>
      <c r="Q829">
        <f t="shared" si="236"/>
        <v>0</v>
      </c>
      <c r="R829">
        <f t="shared" si="237"/>
        <v>0</v>
      </c>
      <c r="S829">
        <f t="shared" si="238"/>
        <v>0</v>
      </c>
      <c r="T829">
        <f t="shared" si="239"/>
        <v>1</v>
      </c>
      <c r="U829">
        <f t="shared" si="240"/>
        <v>0</v>
      </c>
      <c r="V829">
        <f t="shared" si="241"/>
        <v>0</v>
      </c>
      <c r="W829" t="s">
        <v>58</v>
      </c>
      <c r="X829">
        <f t="shared" si="242"/>
        <v>0</v>
      </c>
      <c r="Y829">
        <f t="shared" si="243"/>
        <v>1</v>
      </c>
      <c r="Z829">
        <v>4</v>
      </c>
      <c r="AA829">
        <f t="shared" si="244"/>
        <v>0.75</v>
      </c>
      <c r="AB829" t="s">
        <v>40</v>
      </c>
      <c r="AC829">
        <f t="shared" si="245"/>
        <v>0</v>
      </c>
      <c r="AD829">
        <f t="shared" si="246"/>
        <v>0</v>
      </c>
      <c r="AE829" t="s">
        <v>41</v>
      </c>
      <c r="AF829">
        <f>IF(AE829="website",1,0)</f>
        <v>1</v>
      </c>
    </row>
    <row r="830" spans="1:32">
      <c r="A830" t="s">
        <v>1466</v>
      </c>
      <c r="B830" t="s">
        <v>33</v>
      </c>
      <c r="C830" s="3">
        <f t="shared" si="228"/>
        <v>0</v>
      </c>
      <c r="D830">
        <f t="shared" si="229"/>
        <v>1</v>
      </c>
      <c r="E830" t="s">
        <v>625</v>
      </c>
      <c r="F830" t="s">
        <v>372</v>
      </c>
      <c r="G830" s="1">
        <v>22236</v>
      </c>
      <c r="H830" s="2">
        <f t="shared" ca="1" si="230"/>
        <v>65</v>
      </c>
      <c r="I830" s="2">
        <f t="shared" ca="1" si="231"/>
        <v>0.5714285714285714</v>
      </c>
      <c r="J830" t="s">
        <v>45</v>
      </c>
      <c r="K830" t="s">
        <v>37</v>
      </c>
      <c r="L830">
        <f t="shared" si="232"/>
        <v>1</v>
      </c>
      <c r="M830">
        <f t="shared" si="233"/>
        <v>0</v>
      </c>
      <c r="N830">
        <f t="shared" si="234"/>
        <v>0</v>
      </c>
      <c r="O830" t="s">
        <v>183</v>
      </c>
      <c r="P830">
        <f t="shared" si="235"/>
        <v>0</v>
      </c>
      <c r="Q830">
        <f t="shared" si="236"/>
        <v>0</v>
      </c>
      <c r="R830">
        <f t="shared" si="237"/>
        <v>0</v>
      </c>
      <c r="S830">
        <f t="shared" si="238"/>
        <v>0</v>
      </c>
      <c r="T830">
        <f t="shared" si="239"/>
        <v>0</v>
      </c>
      <c r="U830">
        <f t="shared" si="240"/>
        <v>0</v>
      </c>
      <c r="V830">
        <f t="shared" si="241"/>
        <v>0</v>
      </c>
      <c r="W830" t="s">
        <v>58</v>
      </c>
      <c r="X830">
        <f t="shared" si="242"/>
        <v>0</v>
      </c>
      <c r="Y830">
        <f t="shared" si="243"/>
        <v>1</v>
      </c>
      <c r="Z830">
        <v>3</v>
      </c>
      <c r="AA830">
        <f t="shared" si="244"/>
        <v>0.5</v>
      </c>
      <c r="AB830" t="s">
        <v>46</v>
      </c>
      <c r="AC830">
        <f t="shared" si="245"/>
        <v>0</v>
      </c>
      <c r="AD830">
        <f t="shared" si="246"/>
        <v>0</v>
      </c>
      <c r="AE830" t="s">
        <v>41</v>
      </c>
      <c r="AF830">
        <f>IF(AE830="website",1,0)</f>
        <v>1</v>
      </c>
    </row>
    <row r="831" spans="1:32">
      <c r="A831" t="s">
        <v>1467</v>
      </c>
      <c r="B831" t="s">
        <v>33</v>
      </c>
      <c r="C831" s="3">
        <f t="shared" si="228"/>
        <v>0</v>
      </c>
      <c r="D831">
        <f t="shared" si="229"/>
        <v>1</v>
      </c>
      <c r="E831" t="s">
        <v>683</v>
      </c>
      <c r="F831" t="s">
        <v>610</v>
      </c>
      <c r="G831" s="1">
        <v>19130</v>
      </c>
      <c r="H831" s="2">
        <f t="shared" ca="1" si="230"/>
        <v>74</v>
      </c>
      <c r="I831" s="2">
        <f t="shared" ca="1" si="231"/>
        <v>0.7</v>
      </c>
      <c r="J831" t="s">
        <v>45</v>
      </c>
      <c r="K831" t="s">
        <v>37</v>
      </c>
      <c r="L831">
        <f t="shared" si="232"/>
        <v>1</v>
      </c>
      <c r="M831">
        <f t="shared" si="233"/>
        <v>0</v>
      </c>
      <c r="N831">
        <f t="shared" si="234"/>
        <v>0</v>
      </c>
      <c r="O831" t="s">
        <v>76</v>
      </c>
      <c r="P831">
        <f t="shared" si="235"/>
        <v>0</v>
      </c>
      <c r="Q831">
        <f t="shared" si="236"/>
        <v>1</v>
      </c>
      <c r="R831">
        <f t="shared" si="237"/>
        <v>0</v>
      </c>
      <c r="S831">
        <f t="shared" si="238"/>
        <v>0</v>
      </c>
      <c r="T831">
        <f t="shared" si="239"/>
        <v>0</v>
      </c>
      <c r="U831">
        <f t="shared" si="240"/>
        <v>0</v>
      </c>
      <c r="V831">
        <f t="shared" si="241"/>
        <v>0</v>
      </c>
      <c r="W831" t="s">
        <v>58</v>
      </c>
      <c r="X831">
        <f t="shared" si="242"/>
        <v>0</v>
      </c>
      <c r="Y831">
        <f t="shared" si="243"/>
        <v>1</v>
      </c>
      <c r="Z831">
        <v>3</v>
      </c>
      <c r="AA831">
        <f t="shared" si="244"/>
        <v>0.5</v>
      </c>
      <c r="AB831" t="s">
        <v>46</v>
      </c>
      <c r="AC831">
        <f t="shared" si="245"/>
        <v>1</v>
      </c>
      <c r="AD831">
        <f t="shared" si="246"/>
        <v>0</v>
      </c>
      <c r="AE831" t="s">
        <v>50</v>
      </c>
      <c r="AF831">
        <f>IF(AE831="website",1,0)</f>
        <v>0</v>
      </c>
    </row>
    <row r="832" spans="1:32">
      <c r="A832" t="s">
        <v>1468</v>
      </c>
      <c r="B832" t="s">
        <v>33</v>
      </c>
      <c r="C832" s="3">
        <f t="shared" si="228"/>
        <v>0</v>
      </c>
      <c r="D832">
        <f t="shared" si="229"/>
        <v>1</v>
      </c>
      <c r="E832" t="s">
        <v>921</v>
      </c>
      <c r="F832" t="s">
        <v>610</v>
      </c>
      <c r="G832" s="1">
        <v>28392</v>
      </c>
      <c r="H832" s="2">
        <f t="shared" ca="1" si="230"/>
        <v>49</v>
      </c>
      <c r="I832" s="2">
        <f t="shared" ca="1" si="231"/>
        <v>0.34285714285714286</v>
      </c>
      <c r="J832" t="s">
        <v>36</v>
      </c>
      <c r="K832" t="s">
        <v>37</v>
      </c>
      <c r="L832">
        <f t="shared" si="232"/>
        <v>1</v>
      </c>
      <c r="M832">
        <f t="shared" si="233"/>
        <v>0</v>
      </c>
      <c r="N832">
        <f t="shared" si="234"/>
        <v>0</v>
      </c>
      <c r="O832" t="s">
        <v>38</v>
      </c>
      <c r="P832">
        <f t="shared" si="235"/>
        <v>1</v>
      </c>
      <c r="Q832">
        <f t="shared" si="236"/>
        <v>0</v>
      </c>
      <c r="R832">
        <f t="shared" si="237"/>
        <v>0</v>
      </c>
      <c r="S832">
        <f t="shared" si="238"/>
        <v>0</v>
      </c>
      <c r="T832">
        <f t="shared" si="239"/>
        <v>0</v>
      </c>
      <c r="U832">
        <f t="shared" si="240"/>
        <v>0</v>
      </c>
      <c r="V832">
        <f t="shared" si="241"/>
        <v>0</v>
      </c>
      <c r="W832" t="s">
        <v>39</v>
      </c>
      <c r="X832">
        <f t="shared" si="242"/>
        <v>1</v>
      </c>
      <c r="Y832">
        <f t="shared" si="243"/>
        <v>0</v>
      </c>
      <c r="Z832">
        <v>2</v>
      </c>
      <c r="AA832">
        <f t="shared" si="244"/>
        <v>0.25</v>
      </c>
      <c r="AB832" t="s">
        <v>46</v>
      </c>
      <c r="AC832">
        <f t="shared" si="245"/>
        <v>0</v>
      </c>
      <c r="AD832">
        <f t="shared" si="246"/>
        <v>0</v>
      </c>
      <c r="AE832" t="s">
        <v>41</v>
      </c>
      <c r="AF832">
        <f>IF(AE832="website",1,0)</f>
        <v>1</v>
      </c>
    </row>
    <row r="833" spans="1:32">
      <c r="A833" t="s">
        <v>1469</v>
      </c>
      <c r="B833" t="s">
        <v>33</v>
      </c>
      <c r="C833" s="3">
        <f t="shared" si="228"/>
        <v>0</v>
      </c>
      <c r="D833">
        <f t="shared" si="229"/>
        <v>1</v>
      </c>
      <c r="E833" t="s">
        <v>1210</v>
      </c>
      <c r="F833" t="s">
        <v>887</v>
      </c>
      <c r="G833" s="1">
        <v>32882</v>
      </c>
      <c r="H833" s="2">
        <f t="shared" ca="1" si="230"/>
        <v>36</v>
      </c>
      <c r="I833" s="2">
        <f t="shared" ca="1" si="231"/>
        <v>0.15714285714285714</v>
      </c>
      <c r="J833" t="s">
        <v>36</v>
      </c>
      <c r="K833" t="s">
        <v>37</v>
      </c>
      <c r="L833">
        <f t="shared" si="232"/>
        <v>1</v>
      </c>
      <c r="M833">
        <f t="shared" si="233"/>
        <v>0</v>
      </c>
      <c r="N833">
        <f t="shared" si="234"/>
        <v>0</v>
      </c>
      <c r="O833" t="s">
        <v>124</v>
      </c>
      <c r="P833">
        <f t="shared" si="235"/>
        <v>0</v>
      </c>
      <c r="Q833">
        <f t="shared" si="236"/>
        <v>0</v>
      </c>
      <c r="R833">
        <f t="shared" si="237"/>
        <v>0</v>
      </c>
      <c r="S833">
        <f t="shared" si="238"/>
        <v>0</v>
      </c>
      <c r="T833">
        <f t="shared" si="239"/>
        <v>0</v>
      </c>
      <c r="U833">
        <f t="shared" si="240"/>
        <v>1</v>
      </c>
      <c r="V833">
        <f t="shared" si="241"/>
        <v>0</v>
      </c>
      <c r="W833" t="s">
        <v>58</v>
      </c>
      <c r="X833">
        <f t="shared" si="242"/>
        <v>0</v>
      </c>
      <c r="Y833">
        <f t="shared" si="243"/>
        <v>1</v>
      </c>
      <c r="Z833">
        <v>3</v>
      </c>
      <c r="AA833">
        <f t="shared" si="244"/>
        <v>0.5</v>
      </c>
      <c r="AB833" t="s">
        <v>40</v>
      </c>
      <c r="AC833">
        <f t="shared" si="245"/>
        <v>0</v>
      </c>
      <c r="AD833">
        <f t="shared" si="246"/>
        <v>0</v>
      </c>
      <c r="AE833" t="s">
        <v>41</v>
      </c>
      <c r="AF833">
        <f>IF(AE833="website",1,0)</f>
        <v>1</v>
      </c>
    </row>
    <row r="834" spans="1:32">
      <c r="A834" t="s">
        <v>1470</v>
      </c>
      <c r="B834" t="s">
        <v>33</v>
      </c>
      <c r="C834" s="3">
        <f t="shared" ref="C834:C897" si="247">IF(B834="company",1,0)</f>
        <v>0</v>
      </c>
      <c r="D834">
        <f t="shared" ref="D834:D897" si="248">IF(B834="individual",1,0)</f>
        <v>1</v>
      </c>
      <c r="E834" t="s">
        <v>832</v>
      </c>
      <c r="F834" t="s">
        <v>554</v>
      </c>
      <c r="G834" s="1">
        <v>18938</v>
      </c>
      <c r="H834" s="2">
        <f t="shared" ref="H834:H897" ca="1" si="249">DATEDIF(G834,TODAY(),"Y")</f>
        <v>74</v>
      </c>
      <c r="I834" s="2">
        <f t="shared" ref="I834:I897" ca="1" si="250">(H834-MIN(H:H))/(MAX(H:H)-MIN(H:H))</f>
        <v>0.7</v>
      </c>
      <c r="J834" t="s">
        <v>45</v>
      </c>
      <c r="K834" t="s">
        <v>276</v>
      </c>
      <c r="L834">
        <f t="shared" ref="L834:L897" si="251">IF(K834="usa",1,0)</f>
        <v>0</v>
      </c>
      <c r="M834">
        <f t="shared" ref="M834:M897" si="252">IF(K834="canada",1,0)</f>
        <v>0</v>
      </c>
      <c r="N834">
        <f t="shared" ref="N834:N897" si="253">IF(K834="germany",1,0)</f>
        <v>0</v>
      </c>
      <c r="O834" t="s">
        <v>1401</v>
      </c>
      <c r="P834">
        <f t="shared" ref="P834:P897" si="254">IF(O834="california",1,0)</f>
        <v>0</v>
      </c>
      <c r="Q834">
        <f t="shared" ref="Q834:Q897" si="255">IF(O834="oregon",1,0)</f>
        <v>0</v>
      </c>
      <c r="R834">
        <f t="shared" ref="R834:R897" si="256">IF(O834="quebec",1,0)</f>
        <v>0</v>
      </c>
      <c r="S834">
        <f t="shared" ref="S834:S897" si="257">IF(O834="berlin",1,0)</f>
        <v>0</v>
      </c>
      <c r="T834">
        <f t="shared" ref="T834:T897" si="258">IF(O834="arizona",1,0)</f>
        <v>0</v>
      </c>
      <c r="U834">
        <f t="shared" ref="U834:U897" si="259">IF(O834="nevada",1,0)</f>
        <v>0</v>
      </c>
      <c r="V834">
        <f t="shared" ref="V834:V897" si="260">IF(O834="colardo",1,0)</f>
        <v>0</v>
      </c>
      <c r="W834" t="s">
        <v>39</v>
      </c>
      <c r="X834">
        <f t="shared" ref="X834:X897" si="261">IF(W834="home",1,0)</f>
        <v>1</v>
      </c>
      <c r="Y834">
        <f t="shared" ref="Y834:Y897" si="262">IF(W834="investment",1,0)</f>
        <v>0</v>
      </c>
      <c r="Z834">
        <v>5</v>
      </c>
      <c r="AA834">
        <f t="shared" ref="AA834:AA897" si="263">(Z834-1)/4</f>
        <v>1</v>
      </c>
      <c r="AB834" t="s">
        <v>46</v>
      </c>
      <c r="AC834">
        <f t="shared" ref="AC834:AC897" si="264">IF(AE834="agency",1,0)</f>
        <v>0</v>
      </c>
      <c r="AD834">
        <f t="shared" ref="AD834:AD897" si="265">IF(AE834="client",1,0)</f>
        <v>0</v>
      </c>
      <c r="AE834" t="s">
        <v>41</v>
      </c>
      <c r="AF834">
        <f>IF(AE834="website",1,0)</f>
        <v>1</v>
      </c>
    </row>
    <row r="835" spans="1:32">
      <c r="A835" t="s">
        <v>1471</v>
      </c>
      <c r="B835" t="s">
        <v>33</v>
      </c>
      <c r="C835" s="3">
        <f t="shared" si="247"/>
        <v>0</v>
      </c>
      <c r="D835">
        <f t="shared" si="248"/>
        <v>1</v>
      </c>
      <c r="E835" t="s">
        <v>259</v>
      </c>
      <c r="F835" t="s">
        <v>538</v>
      </c>
      <c r="G835" s="1">
        <v>21177</v>
      </c>
      <c r="H835" s="2">
        <f t="shared" ca="1" si="249"/>
        <v>68</v>
      </c>
      <c r="I835" s="2">
        <f t="shared" ca="1" si="250"/>
        <v>0.61428571428571432</v>
      </c>
      <c r="J835" t="s">
        <v>36</v>
      </c>
      <c r="K835" t="s">
        <v>37</v>
      </c>
      <c r="L835">
        <f t="shared" si="251"/>
        <v>1</v>
      </c>
      <c r="M835">
        <f t="shared" si="252"/>
        <v>0</v>
      </c>
      <c r="N835">
        <f t="shared" si="253"/>
        <v>0</v>
      </c>
      <c r="O835" t="s">
        <v>38</v>
      </c>
      <c r="P835">
        <f t="shared" si="254"/>
        <v>1</v>
      </c>
      <c r="Q835">
        <f t="shared" si="255"/>
        <v>0</v>
      </c>
      <c r="R835">
        <f t="shared" si="256"/>
        <v>0</v>
      </c>
      <c r="S835">
        <f t="shared" si="257"/>
        <v>0</v>
      </c>
      <c r="T835">
        <f t="shared" si="258"/>
        <v>0</v>
      </c>
      <c r="U835">
        <f t="shared" si="259"/>
        <v>0</v>
      </c>
      <c r="V835">
        <f t="shared" si="260"/>
        <v>0</v>
      </c>
      <c r="W835" t="s">
        <v>39</v>
      </c>
      <c r="X835">
        <f t="shared" si="261"/>
        <v>1</v>
      </c>
      <c r="Y835">
        <f t="shared" si="262"/>
        <v>0</v>
      </c>
      <c r="Z835">
        <v>5</v>
      </c>
      <c r="AA835">
        <f t="shared" si="263"/>
        <v>1</v>
      </c>
      <c r="AB835" t="s">
        <v>46</v>
      </c>
      <c r="AC835">
        <f t="shared" si="264"/>
        <v>0</v>
      </c>
      <c r="AD835">
        <f t="shared" si="265"/>
        <v>0</v>
      </c>
      <c r="AE835" t="s">
        <v>41</v>
      </c>
      <c r="AF835">
        <f>IF(AE835="website",1,0)</f>
        <v>1</v>
      </c>
    </row>
    <row r="836" spans="1:32">
      <c r="A836" t="s">
        <v>1472</v>
      </c>
      <c r="B836" t="s">
        <v>33</v>
      </c>
      <c r="C836" s="3">
        <f t="shared" si="247"/>
        <v>0</v>
      </c>
      <c r="D836">
        <f t="shared" si="248"/>
        <v>1</v>
      </c>
      <c r="E836" t="s">
        <v>847</v>
      </c>
      <c r="F836" t="s">
        <v>674</v>
      </c>
      <c r="G836" s="1">
        <v>27186</v>
      </c>
      <c r="H836" s="2">
        <f t="shared" ca="1" si="249"/>
        <v>52</v>
      </c>
      <c r="I836" s="2">
        <f t="shared" ca="1" si="250"/>
        <v>0.38571428571428573</v>
      </c>
      <c r="J836" t="s">
        <v>36</v>
      </c>
      <c r="K836" t="s">
        <v>37</v>
      </c>
      <c r="L836">
        <f t="shared" si="251"/>
        <v>1</v>
      </c>
      <c r="M836">
        <f t="shared" si="252"/>
        <v>0</v>
      </c>
      <c r="N836">
        <f t="shared" si="253"/>
        <v>0</v>
      </c>
      <c r="O836" t="s">
        <v>38</v>
      </c>
      <c r="P836">
        <f t="shared" si="254"/>
        <v>1</v>
      </c>
      <c r="Q836">
        <f t="shared" si="255"/>
        <v>0</v>
      </c>
      <c r="R836">
        <f t="shared" si="256"/>
        <v>0</v>
      </c>
      <c r="S836">
        <f t="shared" si="257"/>
        <v>0</v>
      </c>
      <c r="T836">
        <f t="shared" si="258"/>
        <v>0</v>
      </c>
      <c r="U836">
        <f t="shared" si="259"/>
        <v>0</v>
      </c>
      <c r="V836">
        <f t="shared" si="260"/>
        <v>0</v>
      </c>
      <c r="W836" t="s">
        <v>39</v>
      </c>
      <c r="X836">
        <f t="shared" si="261"/>
        <v>1</v>
      </c>
      <c r="Y836">
        <f t="shared" si="262"/>
        <v>0</v>
      </c>
      <c r="Z836">
        <v>5</v>
      </c>
      <c r="AA836">
        <f t="shared" si="263"/>
        <v>1</v>
      </c>
      <c r="AB836" t="s">
        <v>40</v>
      </c>
      <c r="AC836">
        <f t="shared" si="264"/>
        <v>0</v>
      </c>
      <c r="AD836">
        <f t="shared" si="265"/>
        <v>0</v>
      </c>
      <c r="AE836" t="s">
        <v>41</v>
      </c>
      <c r="AF836">
        <f>IF(AE836="website",1,0)</f>
        <v>1</v>
      </c>
    </row>
    <row r="837" spans="1:32">
      <c r="A837" t="s">
        <v>1473</v>
      </c>
      <c r="B837" t="s">
        <v>33</v>
      </c>
      <c r="C837" s="3">
        <f t="shared" si="247"/>
        <v>0</v>
      </c>
      <c r="D837">
        <f t="shared" si="248"/>
        <v>1</v>
      </c>
      <c r="E837" t="s">
        <v>1070</v>
      </c>
      <c r="F837" t="s">
        <v>557</v>
      </c>
      <c r="G837" s="1">
        <v>15376</v>
      </c>
      <c r="H837" s="2">
        <f t="shared" ca="1" si="249"/>
        <v>84</v>
      </c>
      <c r="I837" s="2">
        <f t="shared" ca="1" si="250"/>
        <v>0.84285714285714286</v>
      </c>
      <c r="J837" t="s">
        <v>45</v>
      </c>
      <c r="K837" t="s">
        <v>37</v>
      </c>
      <c r="L837">
        <f t="shared" si="251"/>
        <v>1</v>
      </c>
      <c r="M837">
        <f t="shared" si="252"/>
        <v>0</v>
      </c>
      <c r="N837">
        <f t="shared" si="253"/>
        <v>0</v>
      </c>
      <c r="O837" t="s">
        <v>559</v>
      </c>
      <c r="P837">
        <f t="shared" si="254"/>
        <v>0</v>
      </c>
      <c r="Q837">
        <f t="shared" si="255"/>
        <v>0</v>
      </c>
      <c r="R837">
        <f t="shared" si="256"/>
        <v>0</v>
      </c>
      <c r="S837">
        <f t="shared" si="257"/>
        <v>0</v>
      </c>
      <c r="T837">
        <f t="shared" si="258"/>
        <v>0</v>
      </c>
      <c r="U837">
        <f t="shared" si="259"/>
        <v>0</v>
      </c>
      <c r="V837">
        <f t="shared" si="260"/>
        <v>0</v>
      </c>
      <c r="W837" t="s">
        <v>39</v>
      </c>
      <c r="X837">
        <f t="shared" si="261"/>
        <v>1</v>
      </c>
      <c r="Y837">
        <f t="shared" si="262"/>
        <v>0</v>
      </c>
      <c r="Z837">
        <v>4</v>
      </c>
      <c r="AA837">
        <f t="shared" si="263"/>
        <v>0.75</v>
      </c>
      <c r="AB837" t="s">
        <v>46</v>
      </c>
      <c r="AC837">
        <f t="shared" si="264"/>
        <v>0</v>
      </c>
      <c r="AD837">
        <f t="shared" si="265"/>
        <v>0</v>
      </c>
      <c r="AE837" t="s">
        <v>41</v>
      </c>
      <c r="AF837">
        <f>IF(AE837="website",1,0)</f>
        <v>1</v>
      </c>
    </row>
    <row r="838" spans="1:32">
      <c r="A838" t="s">
        <v>1474</v>
      </c>
      <c r="B838" t="s">
        <v>33</v>
      </c>
      <c r="C838" s="3">
        <f t="shared" si="247"/>
        <v>0</v>
      </c>
      <c r="D838">
        <f t="shared" si="248"/>
        <v>1</v>
      </c>
      <c r="E838" t="s">
        <v>598</v>
      </c>
      <c r="F838" t="s">
        <v>748</v>
      </c>
      <c r="G838" s="1">
        <v>24629</v>
      </c>
      <c r="H838" s="2">
        <f t="shared" ca="1" si="249"/>
        <v>59</v>
      </c>
      <c r="I838" s="2">
        <f t="shared" ca="1" si="250"/>
        <v>0.48571428571428571</v>
      </c>
      <c r="J838" t="s">
        <v>45</v>
      </c>
      <c r="K838" t="s">
        <v>626</v>
      </c>
      <c r="L838">
        <f t="shared" si="251"/>
        <v>0</v>
      </c>
      <c r="M838">
        <f t="shared" si="252"/>
        <v>0</v>
      </c>
      <c r="N838">
        <f t="shared" si="253"/>
        <v>0</v>
      </c>
      <c r="O838" t="s">
        <v>1117</v>
      </c>
      <c r="P838">
        <f t="shared" si="254"/>
        <v>0</v>
      </c>
      <c r="Q838">
        <f t="shared" si="255"/>
        <v>0</v>
      </c>
      <c r="R838">
        <f t="shared" si="256"/>
        <v>0</v>
      </c>
      <c r="S838">
        <f t="shared" si="257"/>
        <v>0</v>
      </c>
      <c r="T838">
        <f t="shared" si="258"/>
        <v>0</v>
      </c>
      <c r="U838">
        <f t="shared" si="259"/>
        <v>0</v>
      </c>
      <c r="V838">
        <f t="shared" si="260"/>
        <v>0</v>
      </c>
      <c r="W838" t="s">
        <v>39</v>
      </c>
      <c r="X838">
        <f t="shared" si="261"/>
        <v>1</v>
      </c>
      <c r="Y838">
        <f t="shared" si="262"/>
        <v>0</v>
      </c>
      <c r="Z838">
        <v>1</v>
      </c>
      <c r="AA838">
        <f t="shared" si="263"/>
        <v>0</v>
      </c>
      <c r="AB838" t="s">
        <v>46</v>
      </c>
      <c r="AC838">
        <f t="shared" si="264"/>
        <v>0</v>
      </c>
      <c r="AD838">
        <f t="shared" si="265"/>
        <v>0</v>
      </c>
      <c r="AE838" t="s">
        <v>41</v>
      </c>
      <c r="AF838">
        <f>IF(AE838="website",1,0)</f>
        <v>1</v>
      </c>
    </row>
    <row r="839" spans="1:32">
      <c r="A839" t="s">
        <v>1475</v>
      </c>
      <c r="B839" t="s">
        <v>33</v>
      </c>
      <c r="C839" s="3">
        <f t="shared" si="247"/>
        <v>0</v>
      </c>
      <c r="D839">
        <f t="shared" si="248"/>
        <v>1</v>
      </c>
      <c r="E839" t="s">
        <v>561</v>
      </c>
      <c r="F839" t="s">
        <v>742</v>
      </c>
      <c r="G839" s="1">
        <v>33699</v>
      </c>
      <c r="H839" s="2">
        <f t="shared" ca="1" si="249"/>
        <v>34</v>
      </c>
      <c r="I839" s="2">
        <f t="shared" ca="1" si="250"/>
        <v>0.12857142857142856</v>
      </c>
      <c r="J839" t="s">
        <v>45</v>
      </c>
      <c r="K839" t="s">
        <v>37</v>
      </c>
      <c r="L839">
        <f t="shared" si="251"/>
        <v>1</v>
      </c>
      <c r="M839">
        <f t="shared" si="252"/>
        <v>0</v>
      </c>
      <c r="N839">
        <f t="shared" si="253"/>
        <v>0</v>
      </c>
      <c r="O839" t="s">
        <v>124</v>
      </c>
      <c r="P839">
        <f t="shared" si="254"/>
        <v>0</v>
      </c>
      <c r="Q839">
        <f t="shared" si="255"/>
        <v>0</v>
      </c>
      <c r="R839">
        <f t="shared" si="256"/>
        <v>0</v>
      </c>
      <c r="S839">
        <f t="shared" si="257"/>
        <v>0</v>
      </c>
      <c r="T839">
        <f t="shared" si="258"/>
        <v>0</v>
      </c>
      <c r="U839">
        <f t="shared" si="259"/>
        <v>1</v>
      </c>
      <c r="V839">
        <f t="shared" si="260"/>
        <v>0</v>
      </c>
      <c r="W839" t="s">
        <v>58</v>
      </c>
      <c r="X839">
        <f t="shared" si="261"/>
        <v>0</v>
      </c>
      <c r="Y839">
        <f t="shared" si="262"/>
        <v>1</v>
      </c>
      <c r="Z839">
        <v>1</v>
      </c>
      <c r="AA839">
        <f t="shared" si="263"/>
        <v>0</v>
      </c>
      <c r="AB839" t="s">
        <v>40</v>
      </c>
      <c r="AC839">
        <f t="shared" si="264"/>
        <v>0</v>
      </c>
      <c r="AD839">
        <f t="shared" si="265"/>
        <v>0</v>
      </c>
      <c r="AE839" t="s">
        <v>41</v>
      </c>
      <c r="AF839">
        <f>IF(AE839="website",1,0)</f>
        <v>1</v>
      </c>
    </row>
    <row r="840" spans="1:32">
      <c r="A840" t="s">
        <v>1476</v>
      </c>
      <c r="B840" t="s">
        <v>33</v>
      </c>
      <c r="C840" s="3">
        <f t="shared" si="247"/>
        <v>0</v>
      </c>
      <c r="D840">
        <f t="shared" si="248"/>
        <v>1</v>
      </c>
      <c r="E840" t="s">
        <v>753</v>
      </c>
      <c r="F840" t="s">
        <v>728</v>
      </c>
      <c r="G840" s="1">
        <v>34360</v>
      </c>
      <c r="H840" s="2">
        <f t="shared" ca="1" si="249"/>
        <v>32</v>
      </c>
      <c r="I840" s="2">
        <f t="shared" ca="1" si="250"/>
        <v>0.1</v>
      </c>
      <c r="J840" t="s">
        <v>36</v>
      </c>
      <c r="K840" t="s">
        <v>248</v>
      </c>
      <c r="L840">
        <f t="shared" si="251"/>
        <v>0</v>
      </c>
      <c r="M840">
        <f t="shared" si="252"/>
        <v>0</v>
      </c>
      <c r="N840">
        <f t="shared" si="253"/>
        <v>0</v>
      </c>
      <c r="O840" t="s">
        <v>582</v>
      </c>
      <c r="P840">
        <f t="shared" si="254"/>
        <v>0</v>
      </c>
      <c r="Q840">
        <f t="shared" si="255"/>
        <v>0</v>
      </c>
      <c r="R840">
        <f t="shared" si="256"/>
        <v>0</v>
      </c>
      <c r="S840">
        <f t="shared" si="257"/>
        <v>0</v>
      </c>
      <c r="T840">
        <f t="shared" si="258"/>
        <v>0</v>
      </c>
      <c r="U840">
        <f t="shared" si="259"/>
        <v>0</v>
      </c>
      <c r="V840">
        <f t="shared" si="260"/>
        <v>0</v>
      </c>
      <c r="W840" t="s">
        <v>39</v>
      </c>
      <c r="X840">
        <f t="shared" si="261"/>
        <v>1</v>
      </c>
      <c r="Y840">
        <f t="shared" si="262"/>
        <v>0</v>
      </c>
      <c r="Z840">
        <v>5</v>
      </c>
      <c r="AA840">
        <f t="shared" si="263"/>
        <v>1</v>
      </c>
      <c r="AB840" t="s">
        <v>40</v>
      </c>
      <c r="AC840">
        <f t="shared" si="264"/>
        <v>1</v>
      </c>
      <c r="AD840">
        <f t="shared" si="265"/>
        <v>0</v>
      </c>
      <c r="AE840" t="s">
        <v>50</v>
      </c>
      <c r="AF840">
        <f>IF(AE840="website",1,0)</f>
        <v>0</v>
      </c>
    </row>
    <row r="841" spans="1:32">
      <c r="A841" t="s">
        <v>1477</v>
      </c>
      <c r="B841" t="s">
        <v>33</v>
      </c>
      <c r="C841" s="3">
        <f t="shared" si="247"/>
        <v>0</v>
      </c>
      <c r="D841">
        <f t="shared" si="248"/>
        <v>1</v>
      </c>
      <c r="E841" t="s">
        <v>753</v>
      </c>
      <c r="F841" t="s">
        <v>571</v>
      </c>
      <c r="G841" s="1">
        <v>29891</v>
      </c>
      <c r="H841" s="2">
        <f t="shared" ca="1" si="249"/>
        <v>44</v>
      </c>
      <c r="I841" s="2">
        <f t="shared" ca="1" si="250"/>
        <v>0.27142857142857141</v>
      </c>
      <c r="J841" t="s">
        <v>36</v>
      </c>
      <c r="K841" t="s">
        <v>153</v>
      </c>
      <c r="L841">
        <f t="shared" si="251"/>
        <v>0</v>
      </c>
      <c r="M841">
        <f t="shared" si="252"/>
        <v>0</v>
      </c>
      <c r="N841">
        <f t="shared" si="253"/>
        <v>0</v>
      </c>
      <c r="O841" t="s">
        <v>154</v>
      </c>
      <c r="P841">
        <f t="shared" si="254"/>
        <v>0</v>
      </c>
      <c r="Q841">
        <f t="shared" si="255"/>
        <v>0</v>
      </c>
      <c r="R841">
        <f t="shared" si="256"/>
        <v>0</v>
      </c>
      <c r="S841">
        <f t="shared" si="257"/>
        <v>0</v>
      </c>
      <c r="T841">
        <f t="shared" si="258"/>
        <v>0</v>
      </c>
      <c r="U841">
        <f t="shared" si="259"/>
        <v>0</v>
      </c>
      <c r="V841">
        <f t="shared" si="260"/>
        <v>0</v>
      </c>
      <c r="W841" t="s">
        <v>39</v>
      </c>
      <c r="X841">
        <f t="shared" si="261"/>
        <v>1</v>
      </c>
      <c r="Y841">
        <f t="shared" si="262"/>
        <v>0</v>
      </c>
      <c r="Z841">
        <v>1</v>
      </c>
      <c r="AA841">
        <f t="shared" si="263"/>
        <v>0</v>
      </c>
      <c r="AB841" t="s">
        <v>46</v>
      </c>
      <c r="AC841">
        <f t="shared" si="264"/>
        <v>0</v>
      </c>
      <c r="AD841">
        <f t="shared" si="265"/>
        <v>0</v>
      </c>
      <c r="AE841" t="s">
        <v>41</v>
      </c>
      <c r="AF841">
        <f>IF(AE841="website",1,0)</f>
        <v>1</v>
      </c>
    </row>
    <row r="842" spans="1:32">
      <c r="A842" t="s">
        <v>1478</v>
      </c>
      <c r="B842" t="s">
        <v>33</v>
      </c>
      <c r="C842" s="3">
        <f t="shared" si="247"/>
        <v>0</v>
      </c>
      <c r="D842">
        <f t="shared" si="248"/>
        <v>1</v>
      </c>
      <c r="E842" t="s">
        <v>997</v>
      </c>
      <c r="F842" t="s">
        <v>861</v>
      </c>
      <c r="G842" s="1">
        <v>36196</v>
      </c>
      <c r="H842" s="2">
        <f t="shared" ca="1" si="249"/>
        <v>27</v>
      </c>
      <c r="I842" s="2">
        <f t="shared" ca="1" si="250"/>
        <v>2.8571428571428571E-2</v>
      </c>
      <c r="J842" t="s">
        <v>45</v>
      </c>
      <c r="K842" t="s">
        <v>153</v>
      </c>
      <c r="L842">
        <f t="shared" si="251"/>
        <v>0</v>
      </c>
      <c r="M842">
        <f t="shared" si="252"/>
        <v>0</v>
      </c>
      <c r="N842">
        <f t="shared" si="253"/>
        <v>0</v>
      </c>
      <c r="O842" t="s">
        <v>945</v>
      </c>
      <c r="P842">
        <f t="shared" si="254"/>
        <v>0</v>
      </c>
      <c r="Q842">
        <f t="shared" si="255"/>
        <v>0</v>
      </c>
      <c r="R842">
        <f t="shared" si="256"/>
        <v>0</v>
      </c>
      <c r="S842">
        <f t="shared" si="257"/>
        <v>0</v>
      </c>
      <c r="T842">
        <f t="shared" si="258"/>
        <v>0</v>
      </c>
      <c r="U842">
        <f t="shared" si="259"/>
        <v>0</v>
      </c>
      <c r="V842">
        <f t="shared" si="260"/>
        <v>0</v>
      </c>
      <c r="W842" t="s">
        <v>39</v>
      </c>
      <c r="X842">
        <f t="shared" si="261"/>
        <v>1</v>
      </c>
      <c r="Y842">
        <f t="shared" si="262"/>
        <v>0</v>
      </c>
      <c r="Z842">
        <v>5</v>
      </c>
      <c r="AA842">
        <f t="shared" si="263"/>
        <v>1</v>
      </c>
      <c r="AB842" t="s">
        <v>46</v>
      </c>
      <c r="AC842">
        <f t="shared" si="264"/>
        <v>0</v>
      </c>
      <c r="AD842">
        <f t="shared" si="265"/>
        <v>0</v>
      </c>
      <c r="AE842" t="s">
        <v>41</v>
      </c>
      <c r="AF842">
        <f>IF(AE842="website",1,0)</f>
        <v>1</v>
      </c>
    </row>
    <row r="843" spans="1:32">
      <c r="A843" t="s">
        <v>1479</v>
      </c>
      <c r="B843" t="s">
        <v>33</v>
      </c>
      <c r="C843" s="3">
        <f t="shared" si="247"/>
        <v>0</v>
      </c>
      <c r="D843">
        <f t="shared" si="248"/>
        <v>1</v>
      </c>
      <c r="E843" t="s">
        <v>903</v>
      </c>
      <c r="F843" t="s">
        <v>730</v>
      </c>
      <c r="G843" s="1">
        <v>35122</v>
      </c>
      <c r="H843" s="2">
        <f t="shared" ca="1" si="249"/>
        <v>30</v>
      </c>
      <c r="I843" s="2">
        <f t="shared" ca="1" si="250"/>
        <v>7.1428571428571425E-2</v>
      </c>
      <c r="J843" t="s">
        <v>45</v>
      </c>
      <c r="K843" t="s">
        <v>37</v>
      </c>
      <c r="L843">
        <f t="shared" si="251"/>
        <v>1</v>
      </c>
      <c r="M843">
        <f t="shared" si="252"/>
        <v>0</v>
      </c>
      <c r="N843">
        <f t="shared" si="253"/>
        <v>0</v>
      </c>
      <c r="O843" t="s">
        <v>565</v>
      </c>
      <c r="P843">
        <f t="shared" si="254"/>
        <v>0</v>
      </c>
      <c r="Q843">
        <f t="shared" si="255"/>
        <v>0</v>
      </c>
      <c r="R843">
        <f t="shared" si="256"/>
        <v>0</v>
      </c>
      <c r="S843">
        <f t="shared" si="257"/>
        <v>0</v>
      </c>
      <c r="T843">
        <f t="shared" si="258"/>
        <v>0</v>
      </c>
      <c r="U843">
        <f t="shared" si="259"/>
        <v>0</v>
      </c>
      <c r="V843">
        <f t="shared" si="260"/>
        <v>0</v>
      </c>
      <c r="W843" t="s">
        <v>39</v>
      </c>
      <c r="X843">
        <f t="shared" si="261"/>
        <v>1</v>
      </c>
      <c r="Y843">
        <f t="shared" si="262"/>
        <v>0</v>
      </c>
      <c r="Z843">
        <v>5</v>
      </c>
      <c r="AA843">
        <f t="shared" si="263"/>
        <v>1</v>
      </c>
      <c r="AB843" t="s">
        <v>40</v>
      </c>
      <c r="AC843">
        <f t="shared" si="264"/>
        <v>0</v>
      </c>
      <c r="AD843">
        <f t="shared" si="265"/>
        <v>1</v>
      </c>
      <c r="AE843" t="s">
        <v>90</v>
      </c>
      <c r="AF843">
        <f>IF(AE843="website",1,0)</f>
        <v>0</v>
      </c>
    </row>
    <row r="844" spans="1:32">
      <c r="A844" t="s">
        <v>1480</v>
      </c>
      <c r="B844" t="s">
        <v>33</v>
      </c>
      <c r="C844" s="3">
        <f t="shared" si="247"/>
        <v>0</v>
      </c>
      <c r="D844">
        <f t="shared" si="248"/>
        <v>1</v>
      </c>
      <c r="E844" t="s">
        <v>404</v>
      </c>
      <c r="F844" t="s">
        <v>513</v>
      </c>
      <c r="G844" s="1">
        <v>36864</v>
      </c>
      <c r="H844" s="2">
        <f t="shared" ca="1" si="249"/>
        <v>25</v>
      </c>
      <c r="I844" s="2">
        <f t="shared" ca="1" si="250"/>
        <v>0</v>
      </c>
      <c r="J844" t="s">
        <v>36</v>
      </c>
      <c r="K844" t="s">
        <v>37</v>
      </c>
      <c r="L844">
        <f t="shared" si="251"/>
        <v>1</v>
      </c>
      <c r="M844">
        <f t="shared" si="252"/>
        <v>0</v>
      </c>
      <c r="N844">
        <f t="shared" si="253"/>
        <v>0</v>
      </c>
      <c r="O844" t="s">
        <v>785</v>
      </c>
      <c r="P844">
        <f t="shared" si="254"/>
        <v>0</v>
      </c>
      <c r="Q844">
        <f t="shared" si="255"/>
        <v>0</v>
      </c>
      <c r="R844">
        <f t="shared" si="256"/>
        <v>0</v>
      </c>
      <c r="S844">
        <f t="shared" si="257"/>
        <v>0</v>
      </c>
      <c r="T844">
        <f t="shared" si="258"/>
        <v>0</v>
      </c>
      <c r="U844">
        <f t="shared" si="259"/>
        <v>0</v>
      </c>
      <c r="V844">
        <f t="shared" si="260"/>
        <v>0</v>
      </c>
      <c r="W844" t="s">
        <v>39</v>
      </c>
      <c r="X844">
        <f t="shared" si="261"/>
        <v>1</v>
      </c>
      <c r="Y844">
        <f t="shared" si="262"/>
        <v>0</v>
      </c>
      <c r="Z844">
        <v>4</v>
      </c>
      <c r="AA844">
        <f t="shared" si="263"/>
        <v>0.75</v>
      </c>
      <c r="AB844" t="s">
        <v>46</v>
      </c>
      <c r="AC844">
        <f t="shared" si="264"/>
        <v>1</v>
      </c>
      <c r="AD844">
        <f t="shared" si="265"/>
        <v>0</v>
      </c>
      <c r="AE844" t="s">
        <v>50</v>
      </c>
      <c r="AF844">
        <f>IF(AE844="website",1,0)</f>
        <v>0</v>
      </c>
    </row>
    <row r="845" spans="1:32">
      <c r="A845" t="s">
        <v>1481</v>
      </c>
      <c r="B845" t="s">
        <v>33</v>
      </c>
      <c r="C845" s="3">
        <f t="shared" si="247"/>
        <v>0</v>
      </c>
      <c r="D845">
        <f t="shared" si="248"/>
        <v>1</v>
      </c>
      <c r="E845" t="s">
        <v>619</v>
      </c>
      <c r="F845" t="s">
        <v>941</v>
      </c>
      <c r="G845" s="1">
        <v>17331</v>
      </c>
      <c r="H845" s="2">
        <f t="shared" ca="1" si="249"/>
        <v>79</v>
      </c>
      <c r="I845" s="2">
        <f t="shared" ca="1" si="250"/>
        <v>0.77142857142857146</v>
      </c>
      <c r="J845" t="s">
        <v>36</v>
      </c>
      <c r="K845" t="s">
        <v>37</v>
      </c>
      <c r="L845">
        <f t="shared" si="251"/>
        <v>1</v>
      </c>
      <c r="M845">
        <f t="shared" si="252"/>
        <v>0</v>
      </c>
      <c r="N845">
        <f t="shared" si="253"/>
        <v>0</v>
      </c>
      <c r="O845" t="s">
        <v>38</v>
      </c>
      <c r="P845">
        <f t="shared" si="254"/>
        <v>1</v>
      </c>
      <c r="Q845">
        <f t="shared" si="255"/>
        <v>0</v>
      </c>
      <c r="R845">
        <f t="shared" si="256"/>
        <v>0</v>
      </c>
      <c r="S845">
        <f t="shared" si="257"/>
        <v>0</v>
      </c>
      <c r="T845">
        <f t="shared" si="258"/>
        <v>0</v>
      </c>
      <c r="U845">
        <f t="shared" si="259"/>
        <v>0</v>
      </c>
      <c r="V845">
        <f t="shared" si="260"/>
        <v>0</v>
      </c>
      <c r="W845" t="s">
        <v>39</v>
      </c>
      <c r="X845">
        <f t="shared" si="261"/>
        <v>1</v>
      </c>
      <c r="Y845">
        <f t="shared" si="262"/>
        <v>0</v>
      </c>
      <c r="Z845">
        <v>2</v>
      </c>
      <c r="AA845">
        <f t="shared" si="263"/>
        <v>0.25</v>
      </c>
      <c r="AB845" t="s">
        <v>46</v>
      </c>
      <c r="AC845">
        <f t="shared" si="264"/>
        <v>0</v>
      </c>
      <c r="AD845">
        <f t="shared" si="265"/>
        <v>0</v>
      </c>
      <c r="AE845" t="s">
        <v>41</v>
      </c>
      <c r="AF845">
        <f>IF(AE845="website",1,0)</f>
        <v>1</v>
      </c>
    </row>
    <row r="846" spans="1:32">
      <c r="A846" t="s">
        <v>1482</v>
      </c>
      <c r="B846" t="s">
        <v>33</v>
      </c>
      <c r="C846" s="3">
        <f t="shared" si="247"/>
        <v>0</v>
      </c>
      <c r="D846">
        <f t="shared" si="248"/>
        <v>1</v>
      </c>
      <c r="E846" t="s">
        <v>587</v>
      </c>
      <c r="F846" t="s">
        <v>738</v>
      </c>
      <c r="G846" s="1">
        <v>34217</v>
      </c>
      <c r="H846" s="2">
        <f t="shared" ca="1" si="249"/>
        <v>33</v>
      </c>
      <c r="I846" s="2">
        <f t="shared" ca="1" si="250"/>
        <v>0.11428571428571428</v>
      </c>
      <c r="J846" t="s">
        <v>36</v>
      </c>
      <c r="K846" t="s">
        <v>37</v>
      </c>
      <c r="L846">
        <f t="shared" si="251"/>
        <v>1</v>
      </c>
      <c r="M846">
        <f t="shared" si="252"/>
        <v>0</v>
      </c>
      <c r="N846">
        <f t="shared" si="253"/>
        <v>0</v>
      </c>
      <c r="O846" t="s">
        <v>565</v>
      </c>
      <c r="P846">
        <f t="shared" si="254"/>
        <v>0</v>
      </c>
      <c r="Q846">
        <f t="shared" si="255"/>
        <v>0</v>
      </c>
      <c r="R846">
        <f t="shared" si="256"/>
        <v>0</v>
      </c>
      <c r="S846">
        <f t="shared" si="257"/>
        <v>0</v>
      </c>
      <c r="T846">
        <f t="shared" si="258"/>
        <v>0</v>
      </c>
      <c r="U846">
        <f t="shared" si="259"/>
        <v>0</v>
      </c>
      <c r="V846">
        <f t="shared" si="260"/>
        <v>0</v>
      </c>
      <c r="W846" t="s">
        <v>39</v>
      </c>
      <c r="X846">
        <f t="shared" si="261"/>
        <v>1</v>
      </c>
      <c r="Y846">
        <f t="shared" si="262"/>
        <v>0</v>
      </c>
      <c r="Z846">
        <v>3</v>
      </c>
      <c r="AA846">
        <f t="shared" si="263"/>
        <v>0.5</v>
      </c>
      <c r="AB846" t="s">
        <v>46</v>
      </c>
      <c r="AC846">
        <f t="shared" si="264"/>
        <v>0</v>
      </c>
      <c r="AD846">
        <f t="shared" si="265"/>
        <v>1</v>
      </c>
      <c r="AE846" t="s">
        <v>90</v>
      </c>
      <c r="AF846">
        <f>IF(AE846="website",1,0)</f>
        <v>0</v>
      </c>
    </row>
    <row r="847" spans="1:32">
      <c r="A847" t="s">
        <v>1483</v>
      </c>
      <c r="B847" t="s">
        <v>33</v>
      </c>
      <c r="C847" s="3">
        <f t="shared" si="247"/>
        <v>0</v>
      </c>
      <c r="D847">
        <f t="shared" si="248"/>
        <v>1</v>
      </c>
      <c r="E847" t="s">
        <v>1346</v>
      </c>
      <c r="F847" t="s">
        <v>573</v>
      </c>
      <c r="G847" s="1">
        <v>27895</v>
      </c>
      <c r="H847" s="2">
        <f t="shared" ca="1" si="249"/>
        <v>50</v>
      </c>
      <c r="I847" s="2">
        <f t="shared" ca="1" si="250"/>
        <v>0.35714285714285715</v>
      </c>
      <c r="J847" t="s">
        <v>36</v>
      </c>
      <c r="K847" t="s">
        <v>65</v>
      </c>
      <c r="L847">
        <f t="shared" si="251"/>
        <v>0</v>
      </c>
      <c r="M847">
        <f t="shared" si="252"/>
        <v>1</v>
      </c>
      <c r="N847">
        <f t="shared" si="253"/>
        <v>0</v>
      </c>
      <c r="O847" t="s">
        <v>66</v>
      </c>
      <c r="P847">
        <f t="shared" si="254"/>
        <v>0</v>
      </c>
      <c r="Q847">
        <f t="shared" si="255"/>
        <v>0</v>
      </c>
      <c r="R847">
        <f t="shared" si="256"/>
        <v>1</v>
      </c>
      <c r="S847">
        <f t="shared" si="257"/>
        <v>0</v>
      </c>
      <c r="T847">
        <f t="shared" si="258"/>
        <v>0</v>
      </c>
      <c r="U847">
        <f t="shared" si="259"/>
        <v>0</v>
      </c>
      <c r="V847">
        <f t="shared" si="260"/>
        <v>0</v>
      </c>
      <c r="W847" t="s">
        <v>58</v>
      </c>
      <c r="X847">
        <f t="shared" si="261"/>
        <v>0</v>
      </c>
      <c r="Y847">
        <f t="shared" si="262"/>
        <v>1</v>
      </c>
      <c r="Z847">
        <v>3</v>
      </c>
      <c r="AA847">
        <f t="shared" si="263"/>
        <v>0.5</v>
      </c>
      <c r="AB847" t="s">
        <v>46</v>
      </c>
      <c r="AC847">
        <f t="shared" si="264"/>
        <v>1</v>
      </c>
      <c r="AD847">
        <f t="shared" si="265"/>
        <v>0</v>
      </c>
      <c r="AE847" t="s">
        <v>50</v>
      </c>
      <c r="AF847">
        <f>IF(AE847="website",1,0)</f>
        <v>0</v>
      </c>
    </row>
    <row r="848" spans="1:32">
      <c r="A848" t="s">
        <v>1484</v>
      </c>
      <c r="B848" t="s">
        <v>33</v>
      </c>
      <c r="C848" s="3">
        <f t="shared" si="247"/>
        <v>0</v>
      </c>
      <c r="D848">
        <f t="shared" si="248"/>
        <v>1</v>
      </c>
      <c r="E848" t="s">
        <v>976</v>
      </c>
      <c r="F848" t="s">
        <v>659</v>
      </c>
      <c r="G848" s="1">
        <v>32200</v>
      </c>
      <c r="H848" s="2">
        <f t="shared" ca="1" si="249"/>
        <v>38</v>
      </c>
      <c r="I848" s="2">
        <f t="shared" ca="1" si="250"/>
        <v>0.18571428571428572</v>
      </c>
      <c r="J848" t="s">
        <v>36</v>
      </c>
      <c r="K848" t="s">
        <v>37</v>
      </c>
      <c r="L848">
        <f t="shared" si="251"/>
        <v>1</v>
      </c>
      <c r="M848">
        <f t="shared" si="252"/>
        <v>0</v>
      </c>
      <c r="N848">
        <f t="shared" si="253"/>
        <v>0</v>
      </c>
      <c r="O848" t="s">
        <v>183</v>
      </c>
      <c r="P848">
        <f t="shared" si="254"/>
        <v>0</v>
      </c>
      <c r="Q848">
        <f t="shared" si="255"/>
        <v>0</v>
      </c>
      <c r="R848">
        <f t="shared" si="256"/>
        <v>0</v>
      </c>
      <c r="S848">
        <f t="shared" si="257"/>
        <v>0</v>
      </c>
      <c r="T848">
        <f t="shared" si="258"/>
        <v>0</v>
      </c>
      <c r="U848">
        <f t="shared" si="259"/>
        <v>0</v>
      </c>
      <c r="V848">
        <f t="shared" si="260"/>
        <v>0</v>
      </c>
      <c r="W848" t="s">
        <v>39</v>
      </c>
      <c r="X848">
        <f t="shared" si="261"/>
        <v>1</v>
      </c>
      <c r="Y848">
        <f t="shared" si="262"/>
        <v>0</v>
      </c>
      <c r="Z848">
        <v>2</v>
      </c>
      <c r="AA848">
        <f t="shared" si="263"/>
        <v>0.25</v>
      </c>
      <c r="AB848" t="s">
        <v>40</v>
      </c>
      <c r="AC848">
        <f t="shared" si="264"/>
        <v>1</v>
      </c>
      <c r="AD848">
        <f t="shared" si="265"/>
        <v>0</v>
      </c>
      <c r="AE848" t="s">
        <v>50</v>
      </c>
      <c r="AF848">
        <f>IF(AE848="website",1,0)</f>
        <v>0</v>
      </c>
    </row>
    <row r="849" spans="1:32">
      <c r="A849" t="s">
        <v>1485</v>
      </c>
      <c r="B849" t="s">
        <v>33</v>
      </c>
      <c r="C849" s="3">
        <f t="shared" si="247"/>
        <v>0</v>
      </c>
      <c r="D849">
        <f t="shared" si="248"/>
        <v>1</v>
      </c>
      <c r="E849" t="s">
        <v>780</v>
      </c>
      <c r="F849" t="s">
        <v>716</v>
      </c>
      <c r="G849" s="1">
        <v>24798</v>
      </c>
      <c r="H849" s="2">
        <f t="shared" ca="1" si="249"/>
        <v>58</v>
      </c>
      <c r="I849" s="2">
        <f t="shared" ca="1" si="250"/>
        <v>0.47142857142857142</v>
      </c>
      <c r="J849" t="s">
        <v>45</v>
      </c>
      <c r="K849" t="s">
        <v>37</v>
      </c>
      <c r="L849">
        <f t="shared" si="251"/>
        <v>1</v>
      </c>
      <c r="M849">
        <f t="shared" si="252"/>
        <v>0</v>
      </c>
      <c r="N849">
        <f t="shared" si="253"/>
        <v>0</v>
      </c>
      <c r="O849" t="s">
        <v>38</v>
      </c>
      <c r="P849">
        <f t="shared" si="254"/>
        <v>1</v>
      </c>
      <c r="Q849">
        <f t="shared" si="255"/>
        <v>0</v>
      </c>
      <c r="R849">
        <f t="shared" si="256"/>
        <v>0</v>
      </c>
      <c r="S849">
        <f t="shared" si="257"/>
        <v>0</v>
      </c>
      <c r="T849">
        <f t="shared" si="258"/>
        <v>0</v>
      </c>
      <c r="U849">
        <f t="shared" si="259"/>
        <v>0</v>
      </c>
      <c r="V849">
        <f t="shared" si="260"/>
        <v>0</v>
      </c>
      <c r="W849" t="s">
        <v>39</v>
      </c>
      <c r="X849">
        <f t="shared" si="261"/>
        <v>1</v>
      </c>
      <c r="Y849">
        <f t="shared" si="262"/>
        <v>0</v>
      </c>
      <c r="Z849">
        <v>4</v>
      </c>
      <c r="AA849">
        <f t="shared" si="263"/>
        <v>0.75</v>
      </c>
      <c r="AB849" t="s">
        <v>46</v>
      </c>
      <c r="AC849">
        <f t="shared" si="264"/>
        <v>1</v>
      </c>
      <c r="AD849">
        <f t="shared" si="265"/>
        <v>0</v>
      </c>
      <c r="AE849" t="s">
        <v>50</v>
      </c>
      <c r="AF849">
        <f>IF(AE849="website",1,0)</f>
        <v>0</v>
      </c>
    </row>
    <row r="850" spans="1:32">
      <c r="A850" t="s">
        <v>1486</v>
      </c>
      <c r="B850" t="s">
        <v>33</v>
      </c>
      <c r="C850" s="3">
        <f t="shared" si="247"/>
        <v>0</v>
      </c>
      <c r="D850">
        <f t="shared" si="248"/>
        <v>1</v>
      </c>
      <c r="E850" t="s">
        <v>986</v>
      </c>
      <c r="F850" t="s">
        <v>571</v>
      </c>
      <c r="G850" s="1">
        <v>28226</v>
      </c>
      <c r="H850" s="2">
        <f t="shared" ca="1" si="249"/>
        <v>49</v>
      </c>
      <c r="I850" s="2">
        <f t="shared" ca="1" si="250"/>
        <v>0.34285714285714286</v>
      </c>
      <c r="J850" t="s">
        <v>45</v>
      </c>
      <c r="K850" t="s">
        <v>37</v>
      </c>
      <c r="L850">
        <f t="shared" si="251"/>
        <v>1</v>
      </c>
      <c r="M850">
        <f t="shared" si="252"/>
        <v>0</v>
      </c>
      <c r="N850">
        <f t="shared" si="253"/>
        <v>0</v>
      </c>
      <c r="O850" t="s">
        <v>76</v>
      </c>
      <c r="P850">
        <f t="shared" si="254"/>
        <v>0</v>
      </c>
      <c r="Q850">
        <f t="shared" si="255"/>
        <v>1</v>
      </c>
      <c r="R850">
        <f t="shared" si="256"/>
        <v>0</v>
      </c>
      <c r="S850">
        <f t="shared" si="257"/>
        <v>0</v>
      </c>
      <c r="T850">
        <f t="shared" si="258"/>
        <v>0</v>
      </c>
      <c r="U850">
        <f t="shared" si="259"/>
        <v>0</v>
      </c>
      <c r="V850">
        <f t="shared" si="260"/>
        <v>0</v>
      </c>
      <c r="W850" t="s">
        <v>39</v>
      </c>
      <c r="X850">
        <f t="shared" si="261"/>
        <v>1</v>
      </c>
      <c r="Y850">
        <f t="shared" si="262"/>
        <v>0</v>
      </c>
      <c r="Z850">
        <v>1</v>
      </c>
      <c r="AA850">
        <f t="shared" si="263"/>
        <v>0</v>
      </c>
      <c r="AB850" t="s">
        <v>40</v>
      </c>
      <c r="AC850">
        <f t="shared" si="264"/>
        <v>0</v>
      </c>
      <c r="AD850">
        <f t="shared" si="265"/>
        <v>0</v>
      </c>
      <c r="AE850" t="s">
        <v>41</v>
      </c>
      <c r="AF850">
        <f>IF(AE850="website",1,0)</f>
        <v>1</v>
      </c>
    </row>
    <row r="851" spans="1:32">
      <c r="A851" t="s">
        <v>1487</v>
      </c>
      <c r="B851" t="s">
        <v>33</v>
      </c>
      <c r="C851" s="3">
        <f t="shared" si="247"/>
        <v>0</v>
      </c>
      <c r="D851">
        <f t="shared" si="248"/>
        <v>1</v>
      </c>
      <c r="E851" t="s">
        <v>782</v>
      </c>
      <c r="F851" t="s">
        <v>691</v>
      </c>
      <c r="G851" s="1">
        <v>30633</v>
      </c>
      <c r="H851" s="2">
        <f t="shared" ca="1" si="249"/>
        <v>42</v>
      </c>
      <c r="I851" s="2">
        <f t="shared" ca="1" si="250"/>
        <v>0.24285714285714285</v>
      </c>
      <c r="J851" t="s">
        <v>36</v>
      </c>
      <c r="K851" t="s">
        <v>37</v>
      </c>
      <c r="L851">
        <f t="shared" si="251"/>
        <v>1</v>
      </c>
      <c r="M851">
        <f t="shared" si="252"/>
        <v>0</v>
      </c>
      <c r="N851">
        <f t="shared" si="253"/>
        <v>0</v>
      </c>
      <c r="O851" t="s">
        <v>137</v>
      </c>
      <c r="P851">
        <f t="shared" si="254"/>
        <v>0</v>
      </c>
      <c r="Q851">
        <f t="shared" si="255"/>
        <v>0</v>
      </c>
      <c r="R851">
        <f t="shared" si="256"/>
        <v>0</v>
      </c>
      <c r="S851">
        <f t="shared" si="257"/>
        <v>0</v>
      </c>
      <c r="T851">
        <f t="shared" si="258"/>
        <v>0</v>
      </c>
      <c r="U851">
        <f t="shared" si="259"/>
        <v>0</v>
      </c>
      <c r="V851">
        <f t="shared" si="260"/>
        <v>0</v>
      </c>
      <c r="W851" t="s">
        <v>58</v>
      </c>
      <c r="X851">
        <f t="shared" si="261"/>
        <v>0</v>
      </c>
      <c r="Y851">
        <f t="shared" si="262"/>
        <v>1</v>
      </c>
      <c r="Z851">
        <v>5</v>
      </c>
      <c r="AA851">
        <f t="shared" si="263"/>
        <v>1</v>
      </c>
      <c r="AB851" t="s">
        <v>46</v>
      </c>
      <c r="AC851">
        <f t="shared" si="264"/>
        <v>1</v>
      </c>
      <c r="AD851">
        <f t="shared" si="265"/>
        <v>0</v>
      </c>
      <c r="AE851" t="s">
        <v>50</v>
      </c>
      <c r="AF851">
        <f>IF(AE851="website",1,0)</f>
        <v>0</v>
      </c>
    </row>
    <row r="852" spans="1:32">
      <c r="A852" t="s">
        <v>1488</v>
      </c>
      <c r="B852" t="s">
        <v>33</v>
      </c>
      <c r="C852" s="3">
        <f t="shared" si="247"/>
        <v>0</v>
      </c>
      <c r="D852">
        <f t="shared" si="248"/>
        <v>1</v>
      </c>
      <c r="E852" t="s">
        <v>655</v>
      </c>
      <c r="F852" t="s">
        <v>633</v>
      </c>
      <c r="G852" s="1">
        <v>34105</v>
      </c>
      <c r="H852" s="2">
        <f t="shared" ca="1" si="249"/>
        <v>33</v>
      </c>
      <c r="I852" s="2">
        <f t="shared" ca="1" si="250"/>
        <v>0.11428571428571428</v>
      </c>
      <c r="J852" t="s">
        <v>45</v>
      </c>
      <c r="K852" t="s">
        <v>37</v>
      </c>
      <c r="L852">
        <f t="shared" si="251"/>
        <v>1</v>
      </c>
      <c r="M852">
        <f t="shared" si="252"/>
        <v>0</v>
      </c>
      <c r="N852">
        <f t="shared" si="253"/>
        <v>0</v>
      </c>
      <c r="O852" t="s">
        <v>38</v>
      </c>
      <c r="P852">
        <f t="shared" si="254"/>
        <v>1</v>
      </c>
      <c r="Q852">
        <f t="shared" si="255"/>
        <v>0</v>
      </c>
      <c r="R852">
        <f t="shared" si="256"/>
        <v>0</v>
      </c>
      <c r="S852">
        <f t="shared" si="257"/>
        <v>0</v>
      </c>
      <c r="T852">
        <f t="shared" si="258"/>
        <v>0</v>
      </c>
      <c r="U852">
        <f t="shared" si="259"/>
        <v>0</v>
      </c>
      <c r="V852">
        <f t="shared" si="260"/>
        <v>0</v>
      </c>
      <c r="W852" t="s">
        <v>58</v>
      </c>
      <c r="X852">
        <f t="shared" si="261"/>
        <v>0</v>
      </c>
      <c r="Y852">
        <f t="shared" si="262"/>
        <v>1</v>
      </c>
      <c r="Z852">
        <v>2</v>
      </c>
      <c r="AA852">
        <f t="shared" si="263"/>
        <v>0.25</v>
      </c>
      <c r="AB852" t="s">
        <v>40</v>
      </c>
      <c r="AC852">
        <f t="shared" si="264"/>
        <v>0</v>
      </c>
      <c r="AD852">
        <f t="shared" si="265"/>
        <v>0</v>
      </c>
      <c r="AE852" t="s">
        <v>41</v>
      </c>
      <c r="AF852">
        <f>IF(AE852="website",1,0)</f>
        <v>1</v>
      </c>
    </row>
    <row r="853" spans="1:32">
      <c r="A853" t="s">
        <v>1489</v>
      </c>
      <c r="B853" t="s">
        <v>33</v>
      </c>
      <c r="C853" s="3">
        <f t="shared" si="247"/>
        <v>0</v>
      </c>
      <c r="D853">
        <f t="shared" si="248"/>
        <v>1</v>
      </c>
      <c r="E853" t="s">
        <v>744</v>
      </c>
      <c r="F853" t="s">
        <v>247</v>
      </c>
      <c r="G853" s="1">
        <v>32709</v>
      </c>
      <c r="H853" s="2">
        <f t="shared" ca="1" si="249"/>
        <v>37</v>
      </c>
      <c r="I853" s="2">
        <f t="shared" ca="1" si="250"/>
        <v>0.17142857142857143</v>
      </c>
      <c r="J853" t="s">
        <v>45</v>
      </c>
      <c r="K853" t="s">
        <v>113</v>
      </c>
      <c r="L853">
        <f t="shared" si="251"/>
        <v>0</v>
      </c>
      <c r="M853">
        <f t="shared" si="252"/>
        <v>0</v>
      </c>
      <c r="N853">
        <f t="shared" si="253"/>
        <v>1</v>
      </c>
      <c r="O853" t="s">
        <v>594</v>
      </c>
      <c r="P853">
        <f t="shared" si="254"/>
        <v>0</v>
      </c>
      <c r="Q853">
        <f t="shared" si="255"/>
        <v>0</v>
      </c>
      <c r="R853">
        <f t="shared" si="256"/>
        <v>0</v>
      </c>
      <c r="S853">
        <f t="shared" si="257"/>
        <v>0</v>
      </c>
      <c r="T853">
        <f t="shared" si="258"/>
        <v>0</v>
      </c>
      <c r="U853">
        <f t="shared" si="259"/>
        <v>0</v>
      </c>
      <c r="V853">
        <f t="shared" si="260"/>
        <v>0</v>
      </c>
      <c r="W853" t="s">
        <v>39</v>
      </c>
      <c r="X853">
        <f t="shared" si="261"/>
        <v>1</v>
      </c>
      <c r="Y853">
        <f t="shared" si="262"/>
        <v>0</v>
      </c>
      <c r="Z853">
        <v>2</v>
      </c>
      <c r="AA853">
        <f t="shared" si="263"/>
        <v>0.25</v>
      </c>
      <c r="AB853" t="s">
        <v>46</v>
      </c>
      <c r="AC853">
        <f t="shared" si="264"/>
        <v>1</v>
      </c>
      <c r="AD853">
        <f t="shared" si="265"/>
        <v>0</v>
      </c>
      <c r="AE853" t="s">
        <v>50</v>
      </c>
      <c r="AF853">
        <f>IF(AE853="website",1,0)</f>
        <v>0</v>
      </c>
    </row>
    <row r="854" spans="1:32">
      <c r="A854" t="s">
        <v>1490</v>
      </c>
      <c r="B854" t="s">
        <v>33</v>
      </c>
      <c r="C854" s="3">
        <f t="shared" si="247"/>
        <v>0</v>
      </c>
      <c r="D854">
        <f t="shared" si="248"/>
        <v>1</v>
      </c>
      <c r="E854" t="s">
        <v>722</v>
      </c>
      <c r="F854" t="s">
        <v>773</v>
      </c>
      <c r="G854" s="1">
        <v>18482</v>
      </c>
      <c r="H854" s="2">
        <f t="shared" ca="1" si="249"/>
        <v>76</v>
      </c>
      <c r="I854" s="2">
        <f t="shared" ca="1" si="250"/>
        <v>0.72857142857142854</v>
      </c>
      <c r="J854" t="s">
        <v>45</v>
      </c>
      <c r="K854" t="s">
        <v>37</v>
      </c>
      <c r="L854">
        <f t="shared" si="251"/>
        <v>1</v>
      </c>
      <c r="M854">
        <f t="shared" si="252"/>
        <v>0</v>
      </c>
      <c r="N854">
        <f t="shared" si="253"/>
        <v>0</v>
      </c>
      <c r="O854" t="s">
        <v>183</v>
      </c>
      <c r="P854">
        <f t="shared" si="254"/>
        <v>0</v>
      </c>
      <c r="Q854">
        <f t="shared" si="255"/>
        <v>0</v>
      </c>
      <c r="R854">
        <f t="shared" si="256"/>
        <v>0</v>
      </c>
      <c r="S854">
        <f t="shared" si="257"/>
        <v>0</v>
      </c>
      <c r="T854">
        <f t="shared" si="258"/>
        <v>0</v>
      </c>
      <c r="U854">
        <f t="shared" si="259"/>
        <v>0</v>
      </c>
      <c r="V854">
        <f t="shared" si="260"/>
        <v>0</v>
      </c>
      <c r="W854" t="s">
        <v>39</v>
      </c>
      <c r="X854">
        <f t="shared" si="261"/>
        <v>1</v>
      </c>
      <c r="Y854">
        <f t="shared" si="262"/>
        <v>0</v>
      </c>
      <c r="Z854">
        <v>4</v>
      </c>
      <c r="AA854">
        <f t="shared" si="263"/>
        <v>0.75</v>
      </c>
      <c r="AB854" t="s">
        <v>46</v>
      </c>
      <c r="AC854">
        <f t="shared" si="264"/>
        <v>0</v>
      </c>
      <c r="AD854">
        <f t="shared" si="265"/>
        <v>0</v>
      </c>
      <c r="AE854" t="s">
        <v>41</v>
      </c>
      <c r="AF854">
        <f>IF(AE854="website",1,0)</f>
        <v>1</v>
      </c>
    </row>
    <row r="855" spans="1:32">
      <c r="A855" t="s">
        <v>1491</v>
      </c>
      <c r="B855" t="s">
        <v>33</v>
      </c>
      <c r="C855" s="3">
        <f t="shared" si="247"/>
        <v>0</v>
      </c>
      <c r="D855">
        <f t="shared" si="248"/>
        <v>1</v>
      </c>
      <c r="E855" t="s">
        <v>787</v>
      </c>
      <c r="F855" t="s">
        <v>641</v>
      </c>
      <c r="G855" s="1">
        <v>16115</v>
      </c>
      <c r="H855" s="2">
        <f t="shared" ca="1" si="249"/>
        <v>82</v>
      </c>
      <c r="I855" s="2">
        <f t="shared" ca="1" si="250"/>
        <v>0.81428571428571428</v>
      </c>
      <c r="J855" t="s">
        <v>45</v>
      </c>
      <c r="K855" t="s">
        <v>37</v>
      </c>
      <c r="L855">
        <f t="shared" si="251"/>
        <v>1</v>
      </c>
      <c r="M855">
        <f t="shared" si="252"/>
        <v>0</v>
      </c>
      <c r="N855">
        <f t="shared" si="253"/>
        <v>0</v>
      </c>
      <c r="O855" t="s">
        <v>38</v>
      </c>
      <c r="P855">
        <f t="shared" si="254"/>
        <v>1</v>
      </c>
      <c r="Q855">
        <f t="shared" si="255"/>
        <v>0</v>
      </c>
      <c r="R855">
        <f t="shared" si="256"/>
        <v>0</v>
      </c>
      <c r="S855">
        <f t="shared" si="257"/>
        <v>0</v>
      </c>
      <c r="T855">
        <f t="shared" si="258"/>
        <v>0</v>
      </c>
      <c r="U855">
        <f t="shared" si="259"/>
        <v>0</v>
      </c>
      <c r="V855">
        <f t="shared" si="260"/>
        <v>0</v>
      </c>
      <c r="W855" t="s">
        <v>39</v>
      </c>
      <c r="X855">
        <f t="shared" si="261"/>
        <v>1</v>
      </c>
      <c r="Y855">
        <f t="shared" si="262"/>
        <v>0</v>
      </c>
      <c r="Z855">
        <v>4</v>
      </c>
      <c r="AA855">
        <f t="shared" si="263"/>
        <v>0.75</v>
      </c>
      <c r="AB855" t="s">
        <v>46</v>
      </c>
      <c r="AC855">
        <f t="shared" si="264"/>
        <v>0</v>
      </c>
      <c r="AD855">
        <f t="shared" si="265"/>
        <v>0</v>
      </c>
      <c r="AE855" t="s">
        <v>41</v>
      </c>
      <c r="AF855">
        <f>IF(AE855="website",1,0)</f>
        <v>1</v>
      </c>
    </row>
    <row r="856" spans="1:32">
      <c r="A856" t="s">
        <v>1492</v>
      </c>
      <c r="B856" t="s">
        <v>33</v>
      </c>
      <c r="C856" s="3">
        <f t="shared" si="247"/>
        <v>0</v>
      </c>
      <c r="D856">
        <f t="shared" si="248"/>
        <v>1</v>
      </c>
      <c r="E856" t="s">
        <v>404</v>
      </c>
      <c r="F856" t="s">
        <v>674</v>
      </c>
      <c r="G856" s="1">
        <v>26733</v>
      </c>
      <c r="H856" s="2">
        <f t="shared" ca="1" si="249"/>
        <v>53</v>
      </c>
      <c r="I856" s="2">
        <f t="shared" ca="1" si="250"/>
        <v>0.4</v>
      </c>
      <c r="J856" t="s">
        <v>36</v>
      </c>
      <c r="K856" t="s">
        <v>819</v>
      </c>
      <c r="L856">
        <f t="shared" si="251"/>
        <v>0</v>
      </c>
      <c r="M856">
        <f t="shared" si="252"/>
        <v>0</v>
      </c>
      <c r="N856">
        <f t="shared" si="253"/>
        <v>0</v>
      </c>
      <c r="O856" t="s">
        <v>1493</v>
      </c>
      <c r="P856">
        <f t="shared" si="254"/>
        <v>0</v>
      </c>
      <c r="Q856">
        <f t="shared" si="255"/>
        <v>0</v>
      </c>
      <c r="R856">
        <f t="shared" si="256"/>
        <v>0</v>
      </c>
      <c r="S856">
        <f t="shared" si="257"/>
        <v>0</v>
      </c>
      <c r="T856">
        <f t="shared" si="258"/>
        <v>0</v>
      </c>
      <c r="U856">
        <f t="shared" si="259"/>
        <v>0</v>
      </c>
      <c r="V856">
        <f t="shared" si="260"/>
        <v>0</v>
      </c>
      <c r="W856" t="s">
        <v>39</v>
      </c>
      <c r="X856">
        <f t="shared" si="261"/>
        <v>1</v>
      </c>
      <c r="Y856">
        <f t="shared" si="262"/>
        <v>0</v>
      </c>
      <c r="Z856">
        <v>4</v>
      </c>
      <c r="AA856">
        <f t="shared" si="263"/>
        <v>0.75</v>
      </c>
      <c r="AB856" t="s">
        <v>46</v>
      </c>
      <c r="AC856">
        <f t="shared" si="264"/>
        <v>0</v>
      </c>
      <c r="AD856">
        <f t="shared" si="265"/>
        <v>0</v>
      </c>
      <c r="AE856" t="s">
        <v>41</v>
      </c>
      <c r="AF856">
        <f>IF(AE856="website",1,0)</f>
        <v>1</v>
      </c>
    </row>
    <row r="857" spans="1:32">
      <c r="A857" t="s">
        <v>1494</v>
      </c>
      <c r="B857" t="s">
        <v>33</v>
      </c>
      <c r="C857" s="3">
        <f t="shared" si="247"/>
        <v>0</v>
      </c>
      <c r="D857">
        <f t="shared" si="248"/>
        <v>1</v>
      </c>
      <c r="E857" t="s">
        <v>663</v>
      </c>
      <c r="F857" t="s">
        <v>585</v>
      </c>
      <c r="G857" s="1">
        <v>23605</v>
      </c>
      <c r="H857" s="2">
        <f t="shared" ca="1" si="249"/>
        <v>62</v>
      </c>
      <c r="I857" s="2">
        <f t="shared" ca="1" si="250"/>
        <v>0.52857142857142858</v>
      </c>
      <c r="J857" t="s">
        <v>36</v>
      </c>
      <c r="K857" t="s">
        <v>37</v>
      </c>
      <c r="L857">
        <f t="shared" si="251"/>
        <v>1</v>
      </c>
      <c r="M857">
        <f t="shared" si="252"/>
        <v>0</v>
      </c>
      <c r="N857">
        <f t="shared" si="253"/>
        <v>0</v>
      </c>
      <c r="O857" t="s">
        <v>600</v>
      </c>
      <c r="P857">
        <f t="shared" si="254"/>
        <v>0</v>
      </c>
      <c r="Q857">
        <f t="shared" si="255"/>
        <v>0</v>
      </c>
      <c r="R857">
        <f t="shared" si="256"/>
        <v>0</v>
      </c>
      <c r="S857">
        <f t="shared" si="257"/>
        <v>0</v>
      </c>
      <c r="T857">
        <f t="shared" si="258"/>
        <v>0</v>
      </c>
      <c r="U857">
        <f t="shared" si="259"/>
        <v>0</v>
      </c>
      <c r="V857">
        <f t="shared" si="260"/>
        <v>0</v>
      </c>
      <c r="W857" t="s">
        <v>39</v>
      </c>
      <c r="X857">
        <f t="shared" si="261"/>
        <v>1</v>
      </c>
      <c r="Y857">
        <f t="shared" si="262"/>
        <v>0</v>
      </c>
      <c r="Z857">
        <v>5</v>
      </c>
      <c r="AA857">
        <f t="shared" si="263"/>
        <v>1</v>
      </c>
      <c r="AB857" t="s">
        <v>40</v>
      </c>
      <c r="AC857">
        <f t="shared" si="264"/>
        <v>0</v>
      </c>
      <c r="AD857">
        <f t="shared" si="265"/>
        <v>0</v>
      </c>
      <c r="AE857" t="s">
        <v>41</v>
      </c>
      <c r="AF857">
        <f>IF(AE857="website",1,0)</f>
        <v>1</v>
      </c>
    </row>
    <row r="858" spans="1:32">
      <c r="A858" t="s">
        <v>1495</v>
      </c>
      <c r="B858" t="s">
        <v>33</v>
      </c>
      <c r="C858" s="3">
        <f t="shared" si="247"/>
        <v>0</v>
      </c>
      <c r="D858">
        <f t="shared" si="248"/>
        <v>1</v>
      </c>
      <c r="E858" t="s">
        <v>784</v>
      </c>
      <c r="F858" t="s">
        <v>887</v>
      </c>
      <c r="G858" s="1">
        <v>18759</v>
      </c>
      <c r="H858" s="2">
        <f t="shared" ca="1" si="249"/>
        <v>75</v>
      </c>
      <c r="I858" s="2">
        <f t="shared" ca="1" si="250"/>
        <v>0.7142857142857143</v>
      </c>
      <c r="J858" t="s">
        <v>36</v>
      </c>
      <c r="K858" t="s">
        <v>37</v>
      </c>
      <c r="L858">
        <f t="shared" si="251"/>
        <v>1</v>
      </c>
      <c r="M858">
        <f t="shared" si="252"/>
        <v>0</v>
      </c>
      <c r="N858">
        <f t="shared" si="253"/>
        <v>0</v>
      </c>
      <c r="O858" t="s">
        <v>38</v>
      </c>
      <c r="P858">
        <f t="shared" si="254"/>
        <v>1</v>
      </c>
      <c r="Q858">
        <f t="shared" si="255"/>
        <v>0</v>
      </c>
      <c r="R858">
        <f t="shared" si="256"/>
        <v>0</v>
      </c>
      <c r="S858">
        <f t="shared" si="257"/>
        <v>0</v>
      </c>
      <c r="T858">
        <f t="shared" si="258"/>
        <v>0</v>
      </c>
      <c r="U858">
        <f t="shared" si="259"/>
        <v>0</v>
      </c>
      <c r="V858">
        <f t="shared" si="260"/>
        <v>0</v>
      </c>
      <c r="W858" t="s">
        <v>58</v>
      </c>
      <c r="X858">
        <f t="shared" si="261"/>
        <v>0</v>
      </c>
      <c r="Y858">
        <f t="shared" si="262"/>
        <v>1</v>
      </c>
      <c r="Z858">
        <v>1</v>
      </c>
      <c r="AA858">
        <f t="shared" si="263"/>
        <v>0</v>
      </c>
      <c r="AB858" t="s">
        <v>40</v>
      </c>
      <c r="AC858">
        <f t="shared" si="264"/>
        <v>0</v>
      </c>
      <c r="AD858">
        <f t="shared" si="265"/>
        <v>0</v>
      </c>
      <c r="AE858" t="s">
        <v>41</v>
      </c>
      <c r="AF858">
        <f>IF(AE858="website",1,0)</f>
        <v>1</v>
      </c>
    </row>
    <row r="859" spans="1:32">
      <c r="A859" t="s">
        <v>1496</v>
      </c>
      <c r="B859" t="s">
        <v>33</v>
      </c>
      <c r="C859" s="3">
        <f t="shared" si="247"/>
        <v>0</v>
      </c>
      <c r="D859">
        <f t="shared" si="248"/>
        <v>1</v>
      </c>
      <c r="E859" t="s">
        <v>852</v>
      </c>
      <c r="F859" t="s">
        <v>339</v>
      </c>
      <c r="G859" s="1">
        <v>34527</v>
      </c>
      <c r="H859" s="2">
        <f t="shared" ca="1" si="249"/>
        <v>32</v>
      </c>
      <c r="I859" s="2">
        <f t="shared" ca="1" si="250"/>
        <v>0.1</v>
      </c>
      <c r="J859" t="s">
        <v>45</v>
      </c>
      <c r="K859" t="s">
        <v>37</v>
      </c>
      <c r="L859">
        <f t="shared" si="251"/>
        <v>1</v>
      </c>
      <c r="M859">
        <f t="shared" si="252"/>
        <v>0</v>
      </c>
      <c r="N859">
        <f t="shared" si="253"/>
        <v>0</v>
      </c>
      <c r="O859" t="s">
        <v>124</v>
      </c>
      <c r="P859">
        <f t="shared" si="254"/>
        <v>0</v>
      </c>
      <c r="Q859">
        <f t="shared" si="255"/>
        <v>0</v>
      </c>
      <c r="R859">
        <f t="shared" si="256"/>
        <v>0</v>
      </c>
      <c r="S859">
        <f t="shared" si="257"/>
        <v>0</v>
      </c>
      <c r="T859">
        <f t="shared" si="258"/>
        <v>0</v>
      </c>
      <c r="U859">
        <f t="shared" si="259"/>
        <v>1</v>
      </c>
      <c r="V859">
        <f t="shared" si="260"/>
        <v>0</v>
      </c>
      <c r="W859" t="s">
        <v>39</v>
      </c>
      <c r="X859">
        <f t="shared" si="261"/>
        <v>1</v>
      </c>
      <c r="Y859">
        <f t="shared" si="262"/>
        <v>0</v>
      </c>
      <c r="Z859">
        <v>1</v>
      </c>
      <c r="AA859">
        <f t="shared" si="263"/>
        <v>0</v>
      </c>
      <c r="AB859" t="s">
        <v>46</v>
      </c>
      <c r="AC859">
        <f t="shared" si="264"/>
        <v>0</v>
      </c>
      <c r="AD859">
        <f t="shared" si="265"/>
        <v>0</v>
      </c>
      <c r="AE859" t="s">
        <v>41</v>
      </c>
      <c r="AF859">
        <f>IF(AE859="website",1,0)</f>
        <v>1</v>
      </c>
    </row>
    <row r="860" spans="1:32">
      <c r="A860" t="s">
        <v>1497</v>
      </c>
      <c r="B860" t="s">
        <v>33</v>
      </c>
      <c r="C860" s="3">
        <f t="shared" si="247"/>
        <v>0</v>
      </c>
      <c r="D860">
        <f t="shared" si="248"/>
        <v>1</v>
      </c>
      <c r="E860" t="s">
        <v>712</v>
      </c>
      <c r="F860" t="s">
        <v>366</v>
      </c>
      <c r="G860" s="1">
        <v>15678</v>
      </c>
      <c r="H860" s="2">
        <f t="shared" ca="1" si="249"/>
        <v>83</v>
      </c>
      <c r="I860" s="2">
        <f t="shared" ca="1" si="250"/>
        <v>0.82857142857142863</v>
      </c>
      <c r="J860" t="s">
        <v>36</v>
      </c>
      <c r="K860" t="s">
        <v>37</v>
      </c>
      <c r="L860">
        <f t="shared" si="251"/>
        <v>1</v>
      </c>
      <c r="M860">
        <f t="shared" si="252"/>
        <v>0</v>
      </c>
      <c r="N860">
        <f t="shared" si="253"/>
        <v>0</v>
      </c>
      <c r="O860" t="s">
        <v>38</v>
      </c>
      <c r="P860">
        <f t="shared" si="254"/>
        <v>1</v>
      </c>
      <c r="Q860">
        <f t="shared" si="255"/>
        <v>0</v>
      </c>
      <c r="R860">
        <f t="shared" si="256"/>
        <v>0</v>
      </c>
      <c r="S860">
        <f t="shared" si="257"/>
        <v>0</v>
      </c>
      <c r="T860">
        <f t="shared" si="258"/>
        <v>0</v>
      </c>
      <c r="U860">
        <f t="shared" si="259"/>
        <v>0</v>
      </c>
      <c r="V860">
        <f t="shared" si="260"/>
        <v>0</v>
      </c>
      <c r="W860" t="s">
        <v>39</v>
      </c>
      <c r="X860">
        <f t="shared" si="261"/>
        <v>1</v>
      </c>
      <c r="Y860">
        <f t="shared" si="262"/>
        <v>0</v>
      </c>
      <c r="Z860">
        <v>2</v>
      </c>
      <c r="AA860">
        <f t="shared" si="263"/>
        <v>0.25</v>
      </c>
      <c r="AB860" t="s">
        <v>40</v>
      </c>
      <c r="AC860">
        <f t="shared" si="264"/>
        <v>1</v>
      </c>
      <c r="AD860">
        <f t="shared" si="265"/>
        <v>0</v>
      </c>
      <c r="AE860" t="s">
        <v>50</v>
      </c>
      <c r="AF860">
        <f>IF(AE860="website",1,0)</f>
        <v>0</v>
      </c>
    </row>
    <row r="861" spans="1:32">
      <c r="A861" t="s">
        <v>1498</v>
      </c>
      <c r="B861" t="s">
        <v>33</v>
      </c>
      <c r="C861" s="3">
        <f t="shared" si="247"/>
        <v>0</v>
      </c>
      <c r="D861">
        <f t="shared" si="248"/>
        <v>1</v>
      </c>
      <c r="E861" t="s">
        <v>305</v>
      </c>
      <c r="F861" t="s">
        <v>730</v>
      </c>
      <c r="G861" s="1">
        <v>25028</v>
      </c>
      <c r="H861" s="2">
        <f t="shared" ca="1" si="249"/>
        <v>58</v>
      </c>
      <c r="I861" s="2">
        <f t="shared" ca="1" si="250"/>
        <v>0.47142857142857142</v>
      </c>
      <c r="J861" t="s">
        <v>36</v>
      </c>
      <c r="K861" t="s">
        <v>37</v>
      </c>
      <c r="L861">
        <f t="shared" si="251"/>
        <v>1</v>
      </c>
      <c r="M861">
        <f t="shared" si="252"/>
        <v>0</v>
      </c>
      <c r="N861">
        <f t="shared" si="253"/>
        <v>0</v>
      </c>
      <c r="O861" t="s">
        <v>183</v>
      </c>
      <c r="P861">
        <f t="shared" si="254"/>
        <v>0</v>
      </c>
      <c r="Q861">
        <f t="shared" si="255"/>
        <v>0</v>
      </c>
      <c r="R861">
        <f t="shared" si="256"/>
        <v>0</v>
      </c>
      <c r="S861">
        <f t="shared" si="257"/>
        <v>0</v>
      </c>
      <c r="T861">
        <f t="shared" si="258"/>
        <v>0</v>
      </c>
      <c r="U861">
        <f t="shared" si="259"/>
        <v>0</v>
      </c>
      <c r="V861">
        <f t="shared" si="260"/>
        <v>0</v>
      </c>
      <c r="W861" t="s">
        <v>39</v>
      </c>
      <c r="X861">
        <f t="shared" si="261"/>
        <v>1</v>
      </c>
      <c r="Y861">
        <f t="shared" si="262"/>
        <v>0</v>
      </c>
      <c r="Z861">
        <v>5</v>
      </c>
      <c r="AA861">
        <f t="shared" si="263"/>
        <v>1</v>
      </c>
      <c r="AB861" t="s">
        <v>40</v>
      </c>
      <c r="AC861">
        <f t="shared" si="264"/>
        <v>0</v>
      </c>
      <c r="AD861">
        <f t="shared" si="265"/>
        <v>0</v>
      </c>
      <c r="AE861" t="s">
        <v>41</v>
      </c>
      <c r="AF861">
        <f>IF(AE861="website",1,0)</f>
        <v>1</v>
      </c>
    </row>
    <row r="862" spans="1:32">
      <c r="A862" t="s">
        <v>1499</v>
      </c>
      <c r="B862" t="s">
        <v>33</v>
      </c>
      <c r="C862" s="3">
        <f t="shared" si="247"/>
        <v>0</v>
      </c>
      <c r="D862">
        <f t="shared" si="248"/>
        <v>1</v>
      </c>
      <c r="E862" t="s">
        <v>644</v>
      </c>
      <c r="F862" t="s">
        <v>591</v>
      </c>
      <c r="G862" s="1">
        <v>34550</v>
      </c>
      <c r="H862" s="2">
        <f t="shared" ca="1" si="249"/>
        <v>32</v>
      </c>
      <c r="I862" s="2">
        <f t="shared" ca="1" si="250"/>
        <v>0.1</v>
      </c>
      <c r="J862" t="s">
        <v>36</v>
      </c>
      <c r="K862" t="s">
        <v>626</v>
      </c>
      <c r="L862">
        <f t="shared" si="251"/>
        <v>0</v>
      </c>
      <c r="M862">
        <f t="shared" si="252"/>
        <v>0</v>
      </c>
      <c r="N862">
        <f t="shared" si="253"/>
        <v>0</v>
      </c>
      <c r="O862" t="s">
        <v>1117</v>
      </c>
      <c r="P862">
        <f t="shared" si="254"/>
        <v>0</v>
      </c>
      <c r="Q862">
        <f t="shared" si="255"/>
        <v>0</v>
      </c>
      <c r="R862">
        <f t="shared" si="256"/>
        <v>0</v>
      </c>
      <c r="S862">
        <f t="shared" si="257"/>
        <v>0</v>
      </c>
      <c r="T862">
        <f t="shared" si="258"/>
        <v>0</v>
      </c>
      <c r="U862">
        <f t="shared" si="259"/>
        <v>0</v>
      </c>
      <c r="V862">
        <f t="shared" si="260"/>
        <v>0</v>
      </c>
      <c r="W862" t="s">
        <v>58</v>
      </c>
      <c r="X862">
        <f t="shared" si="261"/>
        <v>0</v>
      </c>
      <c r="Y862">
        <f t="shared" si="262"/>
        <v>1</v>
      </c>
      <c r="Z862">
        <v>2</v>
      </c>
      <c r="AA862">
        <f t="shared" si="263"/>
        <v>0.25</v>
      </c>
      <c r="AB862" t="s">
        <v>46</v>
      </c>
      <c r="AC862">
        <f t="shared" si="264"/>
        <v>1</v>
      </c>
      <c r="AD862">
        <f t="shared" si="265"/>
        <v>0</v>
      </c>
      <c r="AE862" t="s">
        <v>50</v>
      </c>
      <c r="AF862">
        <f>IF(AE862="website",1,0)</f>
        <v>0</v>
      </c>
    </row>
    <row r="863" spans="1:32">
      <c r="A863" t="s">
        <v>1500</v>
      </c>
      <c r="B863" t="s">
        <v>33</v>
      </c>
      <c r="C863" s="3">
        <f t="shared" si="247"/>
        <v>0</v>
      </c>
      <c r="D863">
        <f t="shared" si="248"/>
        <v>1</v>
      </c>
      <c r="E863" t="s">
        <v>404</v>
      </c>
      <c r="F863" t="s">
        <v>700</v>
      </c>
      <c r="G863" s="1">
        <v>29751</v>
      </c>
      <c r="H863" s="2">
        <f t="shared" ca="1" si="249"/>
        <v>45</v>
      </c>
      <c r="I863" s="2">
        <f t="shared" ca="1" si="250"/>
        <v>0.2857142857142857</v>
      </c>
      <c r="J863" t="s">
        <v>36</v>
      </c>
      <c r="K863" t="s">
        <v>37</v>
      </c>
      <c r="L863">
        <f t="shared" si="251"/>
        <v>1</v>
      </c>
      <c r="M863">
        <f t="shared" si="252"/>
        <v>0</v>
      </c>
      <c r="N863">
        <f t="shared" si="253"/>
        <v>0</v>
      </c>
      <c r="O863" t="s">
        <v>137</v>
      </c>
      <c r="P863">
        <f t="shared" si="254"/>
        <v>0</v>
      </c>
      <c r="Q863">
        <f t="shared" si="255"/>
        <v>0</v>
      </c>
      <c r="R863">
        <f t="shared" si="256"/>
        <v>0</v>
      </c>
      <c r="S863">
        <f t="shared" si="257"/>
        <v>0</v>
      </c>
      <c r="T863">
        <f t="shared" si="258"/>
        <v>0</v>
      </c>
      <c r="U863">
        <f t="shared" si="259"/>
        <v>0</v>
      </c>
      <c r="V863">
        <f t="shared" si="260"/>
        <v>0</v>
      </c>
      <c r="W863" t="s">
        <v>58</v>
      </c>
      <c r="X863">
        <f t="shared" si="261"/>
        <v>0</v>
      </c>
      <c r="Y863">
        <f t="shared" si="262"/>
        <v>1</v>
      </c>
      <c r="Z863">
        <v>1</v>
      </c>
      <c r="AA863">
        <f t="shared" si="263"/>
        <v>0</v>
      </c>
      <c r="AB863" t="s">
        <v>46</v>
      </c>
      <c r="AC863">
        <f t="shared" si="264"/>
        <v>0</v>
      </c>
      <c r="AD863">
        <f t="shared" si="265"/>
        <v>0</v>
      </c>
      <c r="AE863" t="s">
        <v>41</v>
      </c>
      <c r="AF863">
        <f>IF(AE863="website",1,0)</f>
        <v>1</v>
      </c>
    </row>
    <row r="864" spans="1:32">
      <c r="A864" t="s">
        <v>1501</v>
      </c>
      <c r="B864" t="s">
        <v>33</v>
      </c>
      <c r="C864" s="3">
        <f t="shared" si="247"/>
        <v>0</v>
      </c>
      <c r="D864">
        <f t="shared" si="248"/>
        <v>1</v>
      </c>
      <c r="E864" t="s">
        <v>575</v>
      </c>
      <c r="F864" t="s">
        <v>591</v>
      </c>
      <c r="G864" s="1">
        <v>27504</v>
      </c>
      <c r="H864" s="2">
        <f t="shared" ca="1" si="249"/>
        <v>51</v>
      </c>
      <c r="I864" s="2">
        <f t="shared" ca="1" si="250"/>
        <v>0.37142857142857144</v>
      </c>
      <c r="J864" t="s">
        <v>45</v>
      </c>
      <c r="K864" t="s">
        <v>153</v>
      </c>
      <c r="L864">
        <f t="shared" si="251"/>
        <v>0</v>
      </c>
      <c r="M864">
        <f t="shared" si="252"/>
        <v>0</v>
      </c>
      <c r="N864">
        <f t="shared" si="253"/>
        <v>0</v>
      </c>
      <c r="O864" t="s">
        <v>945</v>
      </c>
      <c r="P864">
        <f t="shared" si="254"/>
        <v>0</v>
      </c>
      <c r="Q864">
        <f t="shared" si="255"/>
        <v>0</v>
      </c>
      <c r="R864">
        <f t="shared" si="256"/>
        <v>0</v>
      </c>
      <c r="S864">
        <f t="shared" si="257"/>
        <v>0</v>
      </c>
      <c r="T864">
        <f t="shared" si="258"/>
        <v>0</v>
      </c>
      <c r="U864">
        <f t="shared" si="259"/>
        <v>0</v>
      </c>
      <c r="V864">
        <f t="shared" si="260"/>
        <v>0</v>
      </c>
      <c r="W864" t="s">
        <v>39</v>
      </c>
      <c r="X864">
        <f t="shared" si="261"/>
        <v>1</v>
      </c>
      <c r="Y864">
        <f t="shared" si="262"/>
        <v>0</v>
      </c>
      <c r="Z864">
        <v>5</v>
      </c>
      <c r="AA864">
        <f t="shared" si="263"/>
        <v>1</v>
      </c>
      <c r="AB864" t="s">
        <v>40</v>
      </c>
      <c r="AC864">
        <f t="shared" si="264"/>
        <v>1</v>
      </c>
      <c r="AD864">
        <f t="shared" si="265"/>
        <v>0</v>
      </c>
      <c r="AE864" t="s">
        <v>50</v>
      </c>
      <c r="AF864">
        <f>IF(AE864="website",1,0)</f>
        <v>0</v>
      </c>
    </row>
    <row r="865" spans="1:32">
      <c r="A865" t="s">
        <v>1502</v>
      </c>
      <c r="B865" t="s">
        <v>33</v>
      </c>
      <c r="C865" s="3">
        <f t="shared" si="247"/>
        <v>0</v>
      </c>
      <c r="D865">
        <f t="shared" si="248"/>
        <v>1</v>
      </c>
      <c r="E865" t="s">
        <v>815</v>
      </c>
      <c r="F865" t="s">
        <v>607</v>
      </c>
      <c r="G865" s="1">
        <v>25756</v>
      </c>
      <c r="H865" s="2">
        <f t="shared" ca="1" si="249"/>
        <v>56</v>
      </c>
      <c r="I865" s="2">
        <f t="shared" ca="1" si="250"/>
        <v>0.44285714285714284</v>
      </c>
      <c r="J865" t="s">
        <v>45</v>
      </c>
      <c r="K865" t="s">
        <v>37</v>
      </c>
      <c r="L865">
        <f t="shared" si="251"/>
        <v>1</v>
      </c>
      <c r="M865">
        <f t="shared" si="252"/>
        <v>0</v>
      </c>
      <c r="N865">
        <f t="shared" si="253"/>
        <v>0</v>
      </c>
      <c r="O865" t="s">
        <v>592</v>
      </c>
      <c r="P865">
        <f t="shared" si="254"/>
        <v>0</v>
      </c>
      <c r="Q865">
        <f t="shared" si="255"/>
        <v>0</v>
      </c>
      <c r="R865">
        <f t="shared" si="256"/>
        <v>0</v>
      </c>
      <c r="S865">
        <f t="shared" si="257"/>
        <v>0</v>
      </c>
      <c r="T865">
        <f t="shared" si="258"/>
        <v>0</v>
      </c>
      <c r="U865">
        <f t="shared" si="259"/>
        <v>0</v>
      </c>
      <c r="V865">
        <f t="shared" si="260"/>
        <v>0</v>
      </c>
      <c r="W865" t="s">
        <v>39</v>
      </c>
      <c r="X865">
        <f t="shared" si="261"/>
        <v>1</v>
      </c>
      <c r="Y865">
        <f t="shared" si="262"/>
        <v>0</v>
      </c>
      <c r="Z865">
        <v>3</v>
      </c>
      <c r="AA865">
        <f t="shared" si="263"/>
        <v>0.5</v>
      </c>
      <c r="AB865" t="s">
        <v>46</v>
      </c>
      <c r="AC865">
        <f t="shared" si="264"/>
        <v>0</v>
      </c>
      <c r="AD865">
        <f t="shared" si="265"/>
        <v>0</v>
      </c>
      <c r="AE865" t="s">
        <v>41</v>
      </c>
      <c r="AF865">
        <f>IF(AE865="website",1,0)</f>
        <v>1</v>
      </c>
    </row>
    <row r="866" spans="1:32">
      <c r="A866" t="s">
        <v>1503</v>
      </c>
      <c r="B866" t="s">
        <v>33</v>
      </c>
      <c r="C866" s="3">
        <f t="shared" si="247"/>
        <v>0</v>
      </c>
      <c r="D866">
        <f t="shared" si="248"/>
        <v>1</v>
      </c>
      <c r="E866" t="s">
        <v>768</v>
      </c>
      <c r="F866" t="s">
        <v>656</v>
      </c>
      <c r="G866" s="1">
        <v>27534</v>
      </c>
      <c r="H866" s="2">
        <f t="shared" ca="1" si="249"/>
        <v>51</v>
      </c>
      <c r="I866" s="2">
        <f t="shared" ca="1" si="250"/>
        <v>0.37142857142857144</v>
      </c>
      <c r="J866" t="s">
        <v>36</v>
      </c>
      <c r="K866" t="s">
        <v>37</v>
      </c>
      <c r="L866">
        <f t="shared" si="251"/>
        <v>1</v>
      </c>
      <c r="M866">
        <f t="shared" si="252"/>
        <v>0</v>
      </c>
      <c r="N866">
        <f t="shared" si="253"/>
        <v>0</v>
      </c>
      <c r="O866" t="s">
        <v>137</v>
      </c>
      <c r="P866">
        <f t="shared" si="254"/>
        <v>0</v>
      </c>
      <c r="Q866">
        <f t="shared" si="255"/>
        <v>0</v>
      </c>
      <c r="R866">
        <f t="shared" si="256"/>
        <v>0</v>
      </c>
      <c r="S866">
        <f t="shared" si="257"/>
        <v>0</v>
      </c>
      <c r="T866">
        <f t="shared" si="258"/>
        <v>0</v>
      </c>
      <c r="U866">
        <f t="shared" si="259"/>
        <v>0</v>
      </c>
      <c r="V866">
        <f t="shared" si="260"/>
        <v>0</v>
      </c>
      <c r="W866" t="s">
        <v>58</v>
      </c>
      <c r="X866">
        <f t="shared" si="261"/>
        <v>0</v>
      </c>
      <c r="Y866">
        <f t="shared" si="262"/>
        <v>1</v>
      </c>
      <c r="Z866">
        <v>5</v>
      </c>
      <c r="AA866">
        <f t="shared" si="263"/>
        <v>1</v>
      </c>
      <c r="AB866" t="s">
        <v>40</v>
      </c>
      <c r="AC866">
        <f t="shared" si="264"/>
        <v>0</v>
      </c>
      <c r="AD866">
        <f t="shared" si="265"/>
        <v>0</v>
      </c>
      <c r="AE866" t="s">
        <v>41</v>
      </c>
      <c r="AF866">
        <f>IF(AE866="website",1,0)</f>
        <v>1</v>
      </c>
    </row>
    <row r="867" spans="1:32">
      <c r="A867" t="s">
        <v>1504</v>
      </c>
      <c r="B867" t="s">
        <v>33</v>
      </c>
      <c r="C867" s="3">
        <f t="shared" si="247"/>
        <v>0</v>
      </c>
      <c r="D867">
        <f t="shared" si="248"/>
        <v>1</v>
      </c>
      <c r="E867" t="s">
        <v>590</v>
      </c>
      <c r="F867" t="s">
        <v>773</v>
      </c>
      <c r="G867" s="1">
        <v>32108</v>
      </c>
      <c r="H867" s="2">
        <f t="shared" ca="1" si="249"/>
        <v>38</v>
      </c>
      <c r="I867" s="2">
        <f t="shared" ca="1" si="250"/>
        <v>0.18571428571428572</v>
      </c>
      <c r="J867" t="s">
        <v>45</v>
      </c>
      <c r="K867" t="s">
        <v>153</v>
      </c>
      <c r="L867">
        <f t="shared" si="251"/>
        <v>0</v>
      </c>
      <c r="M867">
        <f t="shared" si="252"/>
        <v>0</v>
      </c>
      <c r="N867">
        <f t="shared" si="253"/>
        <v>0</v>
      </c>
      <c r="O867" t="s">
        <v>154</v>
      </c>
      <c r="P867">
        <f t="shared" si="254"/>
        <v>0</v>
      </c>
      <c r="Q867">
        <f t="shared" si="255"/>
        <v>0</v>
      </c>
      <c r="R867">
        <f t="shared" si="256"/>
        <v>0</v>
      </c>
      <c r="S867">
        <f t="shared" si="257"/>
        <v>0</v>
      </c>
      <c r="T867">
        <f t="shared" si="258"/>
        <v>0</v>
      </c>
      <c r="U867">
        <f t="shared" si="259"/>
        <v>0</v>
      </c>
      <c r="V867">
        <f t="shared" si="260"/>
        <v>0</v>
      </c>
      <c r="W867" t="s">
        <v>39</v>
      </c>
      <c r="X867">
        <f t="shared" si="261"/>
        <v>1</v>
      </c>
      <c r="Y867">
        <f t="shared" si="262"/>
        <v>0</v>
      </c>
      <c r="Z867">
        <v>3</v>
      </c>
      <c r="AA867">
        <f t="shared" si="263"/>
        <v>0.5</v>
      </c>
      <c r="AB867" t="s">
        <v>46</v>
      </c>
      <c r="AC867">
        <f t="shared" si="264"/>
        <v>1</v>
      </c>
      <c r="AD867">
        <f t="shared" si="265"/>
        <v>0</v>
      </c>
      <c r="AE867" t="s">
        <v>50</v>
      </c>
      <c r="AF867">
        <f>IF(AE867="website",1,0)</f>
        <v>0</v>
      </c>
    </row>
    <row r="868" spans="1:32">
      <c r="A868" t="s">
        <v>1505</v>
      </c>
      <c r="B868" t="s">
        <v>33</v>
      </c>
      <c r="C868" s="3">
        <f t="shared" si="247"/>
        <v>0</v>
      </c>
      <c r="D868">
        <f t="shared" si="248"/>
        <v>1</v>
      </c>
      <c r="E868" t="s">
        <v>699</v>
      </c>
      <c r="F868" t="s">
        <v>840</v>
      </c>
      <c r="G868" s="1">
        <v>24574</v>
      </c>
      <c r="H868" s="2">
        <f t="shared" ca="1" si="249"/>
        <v>59</v>
      </c>
      <c r="I868" s="2">
        <f t="shared" ca="1" si="250"/>
        <v>0.48571428571428571</v>
      </c>
      <c r="J868" t="s">
        <v>36</v>
      </c>
      <c r="K868" t="s">
        <v>37</v>
      </c>
      <c r="L868">
        <f t="shared" si="251"/>
        <v>1</v>
      </c>
      <c r="M868">
        <f t="shared" si="252"/>
        <v>0</v>
      </c>
      <c r="N868">
        <f t="shared" si="253"/>
        <v>0</v>
      </c>
      <c r="O868" t="s">
        <v>38</v>
      </c>
      <c r="P868">
        <f t="shared" si="254"/>
        <v>1</v>
      </c>
      <c r="Q868">
        <f t="shared" si="255"/>
        <v>0</v>
      </c>
      <c r="R868">
        <f t="shared" si="256"/>
        <v>0</v>
      </c>
      <c r="S868">
        <f t="shared" si="257"/>
        <v>0</v>
      </c>
      <c r="T868">
        <f t="shared" si="258"/>
        <v>0</v>
      </c>
      <c r="U868">
        <f t="shared" si="259"/>
        <v>0</v>
      </c>
      <c r="V868">
        <f t="shared" si="260"/>
        <v>0</v>
      </c>
      <c r="W868" t="s">
        <v>39</v>
      </c>
      <c r="X868">
        <f t="shared" si="261"/>
        <v>1</v>
      </c>
      <c r="Y868">
        <f t="shared" si="262"/>
        <v>0</v>
      </c>
      <c r="Z868">
        <v>2</v>
      </c>
      <c r="AA868">
        <f t="shared" si="263"/>
        <v>0.25</v>
      </c>
      <c r="AB868" t="s">
        <v>46</v>
      </c>
      <c r="AC868">
        <f t="shared" si="264"/>
        <v>1</v>
      </c>
      <c r="AD868">
        <f t="shared" si="265"/>
        <v>0</v>
      </c>
      <c r="AE868" t="s">
        <v>50</v>
      </c>
      <c r="AF868">
        <f>IF(AE868="website",1,0)</f>
        <v>0</v>
      </c>
    </row>
    <row r="869" spans="1:32">
      <c r="A869" t="s">
        <v>1506</v>
      </c>
      <c r="B869" t="s">
        <v>33</v>
      </c>
      <c r="C869" s="3">
        <f t="shared" si="247"/>
        <v>0</v>
      </c>
      <c r="D869">
        <f t="shared" si="248"/>
        <v>1</v>
      </c>
      <c r="E869" t="s">
        <v>1061</v>
      </c>
      <c r="F869" t="s">
        <v>709</v>
      </c>
      <c r="G869" s="1">
        <v>16489</v>
      </c>
      <c r="H869" s="2">
        <f t="shared" ca="1" si="249"/>
        <v>81</v>
      </c>
      <c r="I869" s="2">
        <f t="shared" ca="1" si="250"/>
        <v>0.8</v>
      </c>
      <c r="J869" t="s">
        <v>36</v>
      </c>
      <c r="K869" t="s">
        <v>37</v>
      </c>
      <c r="L869">
        <f t="shared" si="251"/>
        <v>1</v>
      </c>
      <c r="M869">
        <f t="shared" si="252"/>
        <v>0</v>
      </c>
      <c r="N869">
        <f t="shared" si="253"/>
        <v>0</v>
      </c>
      <c r="O869" t="s">
        <v>600</v>
      </c>
      <c r="P869">
        <f t="shared" si="254"/>
        <v>0</v>
      </c>
      <c r="Q869">
        <f t="shared" si="255"/>
        <v>0</v>
      </c>
      <c r="R869">
        <f t="shared" si="256"/>
        <v>0</v>
      </c>
      <c r="S869">
        <f t="shared" si="257"/>
        <v>0</v>
      </c>
      <c r="T869">
        <f t="shared" si="258"/>
        <v>0</v>
      </c>
      <c r="U869">
        <f t="shared" si="259"/>
        <v>0</v>
      </c>
      <c r="V869">
        <f t="shared" si="260"/>
        <v>0</v>
      </c>
      <c r="W869" t="s">
        <v>39</v>
      </c>
      <c r="X869">
        <f t="shared" si="261"/>
        <v>1</v>
      </c>
      <c r="Y869">
        <f t="shared" si="262"/>
        <v>0</v>
      </c>
      <c r="Z869">
        <v>3</v>
      </c>
      <c r="AA869">
        <f t="shared" si="263"/>
        <v>0.5</v>
      </c>
      <c r="AB869" t="s">
        <v>40</v>
      </c>
      <c r="AC869">
        <f t="shared" si="264"/>
        <v>1</v>
      </c>
      <c r="AD869">
        <f t="shared" si="265"/>
        <v>0</v>
      </c>
      <c r="AE869" t="s">
        <v>50</v>
      </c>
      <c r="AF869">
        <f>IF(AE869="website",1,0)</f>
        <v>0</v>
      </c>
    </row>
    <row r="870" spans="1:32">
      <c r="A870" t="s">
        <v>1507</v>
      </c>
      <c r="B870" t="s">
        <v>33</v>
      </c>
      <c r="C870" s="3">
        <f t="shared" si="247"/>
        <v>0</v>
      </c>
      <c r="D870">
        <f t="shared" si="248"/>
        <v>1</v>
      </c>
      <c r="E870" t="s">
        <v>609</v>
      </c>
      <c r="F870" t="s">
        <v>653</v>
      </c>
      <c r="G870" s="1">
        <v>34035</v>
      </c>
      <c r="H870" s="2">
        <f t="shared" ca="1" si="249"/>
        <v>33</v>
      </c>
      <c r="I870" s="2">
        <f t="shared" ca="1" si="250"/>
        <v>0.11428571428571428</v>
      </c>
      <c r="J870" t="s">
        <v>45</v>
      </c>
      <c r="K870" t="s">
        <v>37</v>
      </c>
      <c r="L870">
        <f t="shared" si="251"/>
        <v>1</v>
      </c>
      <c r="M870">
        <f t="shared" si="252"/>
        <v>0</v>
      </c>
      <c r="N870">
        <f t="shared" si="253"/>
        <v>0</v>
      </c>
      <c r="O870" t="s">
        <v>38</v>
      </c>
      <c r="P870">
        <f t="shared" si="254"/>
        <v>1</v>
      </c>
      <c r="Q870">
        <f t="shared" si="255"/>
        <v>0</v>
      </c>
      <c r="R870">
        <f t="shared" si="256"/>
        <v>0</v>
      </c>
      <c r="S870">
        <f t="shared" si="257"/>
        <v>0</v>
      </c>
      <c r="T870">
        <f t="shared" si="258"/>
        <v>0</v>
      </c>
      <c r="U870">
        <f t="shared" si="259"/>
        <v>0</v>
      </c>
      <c r="V870">
        <f t="shared" si="260"/>
        <v>0</v>
      </c>
      <c r="W870" t="s">
        <v>39</v>
      </c>
      <c r="X870">
        <f t="shared" si="261"/>
        <v>1</v>
      </c>
      <c r="Y870">
        <f t="shared" si="262"/>
        <v>0</v>
      </c>
      <c r="Z870">
        <v>4</v>
      </c>
      <c r="AA870">
        <f t="shared" si="263"/>
        <v>0.75</v>
      </c>
      <c r="AB870" t="s">
        <v>46</v>
      </c>
      <c r="AC870">
        <f t="shared" si="264"/>
        <v>1</v>
      </c>
      <c r="AD870">
        <f t="shared" si="265"/>
        <v>0</v>
      </c>
      <c r="AE870" t="s">
        <v>50</v>
      </c>
      <c r="AF870">
        <f>IF(AE870="website",1,0)</f>
        <v>0</v>
      </c>
    </row>
    <row r="871" spans="1:32">
      <c r="A871" t="s">
        <v>1508</v>
      </c>
      <c r="B871" t="s">
        <v>55</v>
      </c>
      <c r="C871" s="3">
        <f t="shared" si="247"/>
        <v>1</v>
      </c>
      <c r="D871">
        <f t="shared" si="248"/>
        <v>0</v>
      </c>
      <c r="E871" t="s">
        <v>1509</v>
      </c>
      <c r="F871" t="s">
        <v>57</v>
      </c>
      <c r="G871" s="1">
        <v>24351</v>
      </c>
      <c r="H871" s="2">
        <f t="shared" ca="1" si="249"/>
        <v>60</v>
      </c>
      <c r="I871" s="2">
        <f t="shared" ca="1" si="250"/>
        <v>0.5</v>
      </c>
      <c r="J871" t="s">
        <v>36</v>
      </c>
      <c r="K871" t="s">
        <v>248</v>
      </c>
      <c r="L871">
        <f t="shared" si="251"/>
        <v>0</v>
      </c>
      <c r="M871">
        <f t="shared" si="252"/>
        <v>0</v>
      </c>
      <c r="N871">
        <f t="shared" si="253"/>
        <v>0</v>
      </c>
      <c r="O871" t="s">
        <v>249</v>
      </c>
      <c r="P871">
        <f t="shared" si="254"/>
        <v>0</v>
      </c>
      <c r="Q871">
        <f t="shared" si="255"/>
        <v>0</v>
      </c>
      <c r="R871">
        <f t="shared" si="256"/>
        <v>0</v>
      </c>
      <c r="S871">
        <f t="shared" si="257"/>
        <v>0</v>
      </c>
      <c r="T871">
        <f t="shared" si="258"/>
        <v>0</v>
      </c>
      <c r="U871">
        <f t="shared" si="259"/>
        <v>0</v>
      </c>
      <c r="V871">
        <f t="shared" si="260"/>
        <v>0</v>
      </c>
      <c r="W871" t="s">
        <v>39</v>
      </c>
      <c r="X871">
        <f t="shared" si="261"/>
        <v>1</v>
      </c>
      <c r="Y871">
        <f t="shared" si="262"/>
        <v>0</v>
      </c>
      <c r="Z871">
        <v>2</v>
      </c>
      <c r="AA871">
        <f t="shared" si="263"/>
        <v>0.25</v>
      </c>
      <c r="AB871" t="s">
        <v>40</v>
      </c>
      <c r="AC871">
        <f t="shared" si="264"/>
        <v>0</v>
      </c>
      <c r="AD871">
        <f t="shared" si="265"/>
        <v>0</v>
      </c>
      <c r="AE871" t="s">
        <v>41</v>
      </c>
      <c r="AF871">
        <f>IF(AE871="website",1,0)</f>
        <v>1</v>
      </c>
    </row>
    <row r="872" spans="1:32">
      <c r="A872" t="s">
        <v>1510</v>
      </c>
      <c r="B872" t="s">
        <v>33</v>
      </c>
      <c r="C872" s="3">
        <f t="shared" si="247"/>
        <v>0</v>
      </c>
      <c r="D872">
        <f t="shared" si="248"/>
        <v>1</v>
      </c>
      <c r="E872" t="s">
        <v>556</v>
      </c>
      <c r="F872" t="s">
        <v>599</v>
      </c>
      <c r="G872" s="1">
        <v>32840</v>
      </c>
      <c r="H872" s="2">
        <f t="shared" ca="1" si="249"/>
        <v>36</v>
      </c>
      <c r="I872" s="2">
        <f t="shared" ca="1" si="250"/>
        <v>0.15714285714285714</v>
      </c>
      <c r="J872" t="s">
        <v>36</v>
      </c>
      <c r="K872" t="s">
        <v>37</v>
      </c>
      <c r="L872">
        <f t="shared" si="251"/>
        <v>1</v>
      </c>
      <c r="M872">
        <f t="shared" si="252"/>
        <v>0</v>
      </c>
      <c r="N872">
        <f t="shared" si="253"/>
        <v>0</v>
      </c>
      <c r="O872" t="s">
        <v>305</v>
      </c>
      <c r="P872">
        <f t="shared" si="254"/>
        <v>0</v>
      </c>
      <c r="Q872">
        <f t="shared" si="255"/>
        <v>0</v>
      </c>
      <c r="R872">
        <f t="shared" si="256"/>
        <v>0</v>
      </c>
      <c r="S872">
        <f t="shared" si="257"/>
        <v>0</v>
      </c>
      <c r="T872">
        <f t="shared" si="258"/>
        <v>0</v>
      </c>
      <c r="U872">
        <f t="shared" si="259"/>
        <v>0</v>
      </c>
      <c r="V872">
        <f t="shared" si="260"/>
        <v>0</v>
      </c>
      <c r="W872" t="s">
        <v>39</v>
      </c>
      <c r="X872">
        <f t="shared" si="261"/>
        <v>1</v>
      </c>
      <c r="Y872">
        <f t="shared" si="262"/>
        <v>0</v>
      </c>
      <c r="Z872">
        <v>1</v>
      </c>
      <c r="AA872">
        <f t="shared" si="263"/>
        <v>0</v>
      </c>
      <c r="AB872" t="s">
        <v>40</v>
      </c>
      <c r="AC872">
        <f t="shared" si="264"/>
        <v>0</v>
      </c>
      <c r="AD872">
        <f t="shared" si="265"/>
        <v>0</v>
      </c>
      <c r="AE872" t="s">
        <v>41</v>
      </c>
      <c r="AF872">
        <f>IF(AE872="website",1,0)</f>
        <v>1</v>
      </c>
    </row>
    <row r="873" spans="1:32">
      <c r="A873" t="s">
        <v>1511</v>
      </c>
      <c r="B873" t="s">
        <v>33</v>
      </c>
      <c r="C873" s="3">
        <f t="shared" si="247"/>
        <v>0</v>
      </c>
      <c r="D873">
        <f t="shared" si="248"/>
        <v>1</v>
      </c>
      <c r="E873" t="s">
        <v>581</v>
      </c>
      <c r="F873" t="s">
        <v>378</v>
      </c>
      <c r="G873" s="1">
        <v>15879</v>
      </c>
      <c r="H873" s="2">
        <f t="shared" ca="1" si="249"/>
        <v>83</v>
      </c>
      <c r="I873" s="2">
        <f t="shared" ca="1" si="250"/>
        <v>0.82857142857142863</v>
      </c>
      <c r="J873" t="s">
        <v>36</v>
      </c>
      <c r="K873" t="s">
        <v>248</v>
      </c>
      <c r="L873">
        <f t="shared" si="251"/>
        <v>0</v>
      </c>
      <c r="M873">
        <f t="shared" si="252"/>
        <v>0</v>
      </c>
      <c r="N873">
        <f t="shared" si="253"/>
        <v>0</v>
      </c>
      <c r="O873" t="s">
        <v>582</v>
      </c>
      <c r="P873">
        <f t="shared" si="254"/>
        <v>0</v>
      </c>
      <c r="Q873">
        <f t="shared" si="255"/>
        <v>0</v>
      </c>
      <c r="R873">
        <f t="shared" si="256"/>
        <v>0</v>
      </c>
      <c r="S873">
        <f t="shared" si="257"/>
        <v>0</v>
      </c>
      <c r="T873">
        <f t="shared" si="258"/>
        <v>0</v>
      </c>
      <c r="U873">
        <f t="shared" si="259"/>
        <v>0</v>
      </c>
      <c r="V873">
        <f t="shared" si="260"/>
        <v>0</v>
      </c>
      <c r="W873" t="s">
        <v>39</v>
      </c>
      <c r="X873">
        <f t="shared" si="261"/>
        <v>1</v>
      </c>
      <c r="Y873">
        <f t="shared" si="262"/>
        <v>0</v>
      </c>
      <c r="Z873">
        <v>4</v>
      </c>
      <c r="AA873">
        <f t="shared" si="263"/>
        <v>0.75</v>
      </c>
      <c r="AB873" t="s">
        <v>46</v>
      </c>
      <c r="AC873">
        <f t="shared" si="264"/>
        <v>0</v>
      </c>
      <c r="AD873">
        <f t="shared" si="265"/>
        <v>0</v>
      </c>
      <c r="AE873" t="s">
        <v>41</v>
      </c>
      <c r="AF873">
        <f>IF(AE873="website",1,0)</f>
        <v>1</v>
      </c>
    </row>
    <row r="874" spans="1:32">
      <c r="A874" t="s">
        <v>1512</v>
      </c>
      <c r="B874" t="s">
        <v>33</v>
      </c>
      <c r="C874" s="3">
        <f t="shared" si="247"/>
        <v>0</v>
      </c>
      <c r="D874">
        <f t="shared" si="248"/>
        <v>1</v>
      </c>
      <c r="E874" t="s">
        <v>722</v>
      </c>
      <c r="F874" t="s">
        <v>764</v>
      </c>
      <c r="G874" s="1">
        <v>14863</v>
      </c>
      <c r="H874" s="2">
        <f t="shared" ca="1" si="249"/>
        <v>86</v>
      </c>
      <c r="I874" s="2">
        <f t="shared" ca="1" si="250"/>
        <v>0.87142857142857144</v>
      </c>
      <c r="J874" t="s">
        <v>45</v>
      </c>
      <c r="K874" t="s">
        <v>37</v>
      </c>
      <c r="L874">
        <f t="shared" si="251"/>
        <v>1</v>
      </c>
      <c r="M874">
        <f t="shared" si="252"/>
        <v>0</v>
      </c>
      <c r="N874">
        <f t="shared" si="253"/>
        <v>0</v>
      </c>
      <c r="O874" t="s">
        <v>717</v>
      </c>
      <c r="P874">
        <f t="shared" si="254"/>
        <v>0</v>
      </c>
      <c r="Q874">
        <f t="shared" si="255"/>
        <v>0</v>
      </c>
      <c r="R874">
        <f t="shared" si="256"/>
        <v>0</v>
      </c>
      <c r="S874">
        <f t="shared" si="257"/>
        <v>0</v>
      </c>
      <c r="T874">
        <f t="shared" si="258"/>
        <v>0</v>
      </c>
      <c r="U874">
        <f t="shared" si="259"/>
        <v>0</v>
      </c>
      <c r="V874">
        <f t="shared" si="260"/>
        <v>0</v>
      </c>
      <c r="W874" t="s">
        <v>39</v>
      </c>
      <c r="X874">
        <f t="shared" si="261"/>
        <v>1</v>
      </c>
      <c r="Y874">
        <f t="shared" si="262"/>
        <v>0</v>
      </c>
      <c r="Z874">
        <v>2</v>
      </c>
      <c r="AA874">
        <f t="shared" si="263"/>
        <v>0.25</v>
      </c>
      <c r="AB874" t="s">
        <v>46</v>
      </c>
      <c r="AC874">
        <f t="shared" si="264"/>
        <v>0</v>
      </c>
      <c r="AD874">
        <f t="shared" si="265"/>
        <v>0</v>
      </c>
      <c r="AE874" t="s">
        <v>41</v>
      </c>
      <c r="AF874">
        <f>IF(AE874="website",1,0)</f>
        <v>1</v>
      </c>
    </row>
    <row r="875" spans="1:32">
      <c r="A875" t="s">
        <v>1513</v>
      </c>
      <c r="B875" t="s">
        <v>33</v>
      </c>
      <c r="C875" s="3">
        <f t="shared" si="247"/>
        <v>0</v>
      </c>
      <c r="D875">
        <f t="shared" si="248"/>
        <v>1</v>
      </c>
      <c r="E875" t="s">
        <v>1010</v>
      </c>
      <c r="F875" t="s">
        <v>764</v>
      </c>
      <c r="G875" s="1">
        <v>19566</v>
      </c>
      <c r="H875" s="2">
        <f t="shared" ca="1" si="249"/>
        <v>73</v>
      </c>
      <c r="I875" s="2">
        <f t="shared" ca="1" si="250"/>
        <v>0.68571428571428572</v>
      </c>
      <c r="J875" t="s">
        <v>36</v>
      </c>
      <c r="K875" t="s">
        <v>153</v>
      </c>
      <c r="L875">
        <f t="shared" si="251"/>
        <v>0</v>
      </c>
      <c r="M875">
        <f t="shared" si="252"/>
        <v>0</v>
      </c>
      <c r="N875">
        <f t="shared" si="253"/>
        <v>0</v>
      </c>
      <c r="O875" t="s">
        <v>778</v>
      </c>
      <c r="P875">
        <f t="shared" si="254"/>
        <v>0</v>
      </c>
      <c r="Q875">
        <f t="shared" si="255"/>
        <v>0</v>
      </c>
      <c r="R875">
        <f t="shared" si="256"/>
        <v>0</v>
      </c>
      <c r="S875">
        <f t="shared" si="257"/>
        <v>0</v>
      </c>
      <c r="T875">
        <f t="shared" si="258"/>
        <v>0</v>
      </c>
      <c r="U875">
        <f t="shared" si="259"/>
        <v>0</v>
      </c>
      <c r="V875">
        <f t="shared" si="260"/>
        <v>0</v>
      </c>
      <c r="W875" t="s">
        <v>58</v>
      </c>
      <c r="X875">
        <f t="shared" si="261"/>
        <v>0</v>
      </c>
      <c r="Y875">
        <f t="shared" si="262"/>
        <v>1</v>
      </c>
      <c r="Z875">
        <v>2</v>
      </c>
      <c r="AA875">
        <f t="shared" si="263"/>
        <v>0.25</v>
      </c>
      <c r="AB875" t="s">
        <v>46</v>
      </c>
      <c r="AC875">
        <f t="shared" si="264"/>
        <v>0</v>
      </c>
      <c r="AD875">
        <f t="shared" si="265"/>
        <v>0</v>
      </c>
      <c r="AE875" t="s">
        <v>41</v>
      </c>
      <c r="AF875">
        <f>IF(AE875="website",1,0)</f>
        <v>1</v>
      </c>
    </row>
    <row r="876" spans="1:32">
      <c r="A876" t="s">
        <v>1514</v>
      </c>
      <c r="B876" t="s">
        <v>33</v>
      </c>
      <c r="C876" s="3">
        <f t="shared" si="247"/>
        <v>0</v>
      </c>
      <c r="D876">
        <f t="shared" si="248"/>
        <v>1</v>
      </c>
      <c r="E876" t="s">
        <v>1110</v>
      </c>
      <c r="F876" t="s">
        <v>667</v>
      </c>
      <c r="G876" s="1">
        <v>26489</v>
      </c>
      <c r="H876" s="2">
        <f t="shared" ca="1" si="249"/>
        <v>54</v>
      </c>
      <c r="I876" s="2">
        <f t="shared" ca="1" si="250"/>
        <v>0.41428571428571431</v>
      </c>
      <c r="J876" t="s">
        <v>45</v>
      </c>
      <c r="K876" t="s">
        <v>65</v>
      </c>
      <c r="L876">
        <f t="shared" si="251"/>
        <v>0</v>
      </c>
      <c r="M876">
        <f t="shared" si="252"/>
        <v>1</v>
      </c>
      <c r="N876">
        <f t="shared" si="253"/>
        <v>0</v>
      </c>
      <c r="O876" t="s">
        <v>723</v>
      </c>
      <c r="P876">
        <f t="shared" si="254"/>
        <v>0</v>
      </c>
      <c r="Q876">
        <f t="shared" si="255"/>
        <v>0</v>
      </c>
      <c r="R876">
        <f t="shared" si="256"/>
        <v>0</v>
      </c>
      <c r="S876">
        <f t="shared" si="257"/>
        <v>0</v>
      </c>
      <c r="T876">
        <f t="shared" si="258"/>
        <v>0</v>
      </c>
      <c r="U876">
        <f t="shared" si="259"/>
        <v>0</v>
      </c>
      <c r="V876">
        <f t="shared" si="260"/>
        <v>0</v>
      </c>
      <c r="W876" t="s">
        <v>39</v>
      </c>
      <c r="X876">
        <f t="shared" si="261"/>
        <v>1</v>
      </c>
      <c r="Y876">
        <f t="shared" si="262"/>
        <v>0</v>
      </c>
      <c r="Z876">
        <v>4</v>
      </c>
      <c r="AA876">
        <f t="shared" si="263"/>
        <v>0.75</v>
      </c>
      <c r="AB876" t="s">
        <v>46</v>
      </c>
      <c r="AC876">
        <f t="shared" si="264"/>
        <v>0</v>
      </c>
      <c r="AD876">
        <f t="shared" si="265"/>
        <v>0</v>
      </c>
      <c r="AE876" t="s">
        <v>41</v>
      </c>
      <c r="AF876">
        <f>IF(AE876="website",1,0)</f>
        <v>1</v>
      </c>
    </row>
    <row r="877" spans="1:32">
      <c r="A877" t="s">
        <v>1515</v>
      </c>
      <c r="B877" t="s">
        <v>33</v>
      </c>
      <c r="C877" s="3">
        <f t="shared" si="247"/>
        <v>0</v>
      </c>
      <c r="D877">
        <f t="shared" si="248"/>
        <v>1</v>
      </c>
      <c r="E877" t="s">
        <v>1140</v>
      </c>
      <c r="F877" t="s">
        <v>585</v>
      </c>
      <c r="G877" s="1">
        <v>26898</v>
      </c>
      <c r="H877" s="2">
        <f t="shared" ca="1" si="249"/>
        <v>53</v>
      </c>
      <c r="I877" s="2">
        <f t="shared" ca="1" si="250"/>
        <v>0.4</v>
      </c>
      <c r="J877" t="s">
        <v>45</v>
      </c>
      <c r="K877" t="s">
        <v>37</v>
      </c>
      <c r="L877">
        <f t="shared" si="251"/>
        <v>1</v>
      </c>
      <c r="M877">
        <f t="shared" si="252"/>
        <v>0</v>
      </c>
      <c r="N877">
        <f t="shared" si="253"/>
        <v>0</v>
      </c>
      <c r="O877" t="s">
        <v>38</v>
      </c>
      <c r="P877">
        <f t="shared" si="254"/>
        <v>1</v>
      </c>
      <c r="Q877">
        <f t="shared" si="255"/>
        <v>0</v>
      </c>
      <c r="R877">
        <f t="shared" si="256"/>
        <v>0</v>
      </c>
      <c r="S877">
        <f t="shared" si="257"/>
        <v>0</v>
      </c>
      <c r="T877">
        <f t="shared" si="258"/>
        <v>0</v>
      </c>
      <c r="U877">
        <f t="shared" si="259"/>
        <v>0</v>
      </c>
      <c r="V877">
        <f t="shared" si="260"/>
        <v>0</v>
      </c>
      <c r="W877" t="s">
        <v>39</v>
      </c>
      <c r="X877">
        <f t="shared" si="261"/>
        <v>1</v>
      </c>
      <c r="Y877">
        <f t="shared" si="262"/>
        <v>0</v>
      </c>
      <c r="Z877">
        <v>3</v>
      </c>
      <c r="AA877">
        <f t="shared" si="263"/>
        <v>0.5</v>
      </c>
      <c r="AB877" t="s">
        <v>46</v>
      </c>
      <c r="AC877">
        <f t="shared" si="264"/>
        <v>0</v>
      </c>
      <c r="AD877">
        <f t="shared" si="265"/>
        <v>1</v>
      </c>
      <c r="AE877" t="s">
        <v>90</v>
      </c>
      <c r="AF877">
        <f>IF(AE877="website",1,0)</f>
        <v>0</v>
      </c>
    </row>
    <row r="878" spans="1:32">
      <c r="A878" t="s">
        <v>1516</v>
      </c>
      <c r="B878" t="s">
        <v>33</v>
      </c>
      <c r="C878" s="3">
        <f t="shared" si="247"/>
        <v>0</v>
      </c>
      <c r="D878">
        <f t="shared" si="248"/>
        <v>1</v>
      </c>
      <c r="E878" t="s">
        <v>982</v>
      </c>
      <c r="F878" t="s">
        <v>552</v>
      </c>
      <c r="G878" s="1">
        <v>36151</v>
      </c>
      <c r="H878" s="2">
        <f t="shared" ca="1" si="249"/>
        <v>27</v>
      </c>
      <c r="I878" s="2">
        <f t="shared" ca="1" si="250"/>
        <v>2.8571428571428571E-2</v>
      </c>
      <c r="J878" t="s">
        <v>36</v>
      </c>
      <c r="K878" t="s">
        <v>37</v>
      </c>
      <c r="L878">
        <f t="shared" si="251"/>
        <v>1</v>
      </c>
      <c r="M878">
        <f t="shared" si="252"/>
        <v>0</v>
      </c>
      <c r="N878">
        <f t="shared" si="253"/>
        <v>0</v>
      </c>
      <c r="O878" t="s">
        <v>183</v>
      </c>
      <c r="P878">
        <f t="shared" si="254"/>
        <v>0</v>
      </c>
      <c r="Q878">
        <f t="shared" si="255"/>
        <v>0</v>
      </c>
      <c r="R878">
        <f t="shared" si="256"/>
        <v>0</v>
      </c>
      <c r="S878">
        <f t="shared" si="257"/>
        <v>0</v>
      </c>
      <c r="T878">
        <f t="shared" si="258"/>
        <v>0</v>
      </c>
      <c r="U878">
        <f t="shared" si="259"/>
        <v>0</v>
      </c>
      <c r="V878">
        <f t="shared" si="260"/>
        <v>0</v>
      </c>
      <c r="W878" t="s">
        <v>58</v>
      </c>
      <c r="X878">
        <f t="shared" si="261"/>
        <v>0</v>
      </c>
      <c r="Y878">
        <f t="shared" si="262"/>
        <v>1</v>
      </c>
      <c r="Z878">
        <v>2</v>
      </c>
      <c r="AA878">
        <f t="shared" si="263"/>
        <v>0.25</v>
      </c>
      <c r="AB878" t="s">
        <v>40</v>
      </c>
      <c r="AC878">
        <f t="shared" si="264"/>
        <v>1</v>
      </c>
      <c r="AD878">
        <f t="shared" si="265"/>
        <v>0</v>
      </c>
      <c r="AE878" t="s">
        <v>50</v>
      </c>
      <c r="AF878">
        <f>IF(AE878="website",1,0)</f>
        <v>0</v>
      </c>
    </row>
    <row r="879" spans="1:32">
      <c r="A879" t="s">
        <v>1517</v>
      </c>
      <c r="B879" t="s">
        <v>33</v>
      </c>
      <c r="C879" s="3">
        <f t="shared" si="247"/>
        <v>0</v>
      </c>
      <c r="D879">
        <f t="shared" si="248"/>
        <v>1</v>
      </c>
      <c r="E879" t="s">
        <v>587</v>
      </c>
      <c r="F879" t="s">
        <v>513</v>
      </c>
      <c r="G879" s="1">
        <v>16555</v>
      </c>
      <c r="H879" s="2">
        <f t="shared" ca="1" si="249"/>
        <v>81</v>
      </c>
      <c r="I879" s="2">
        <f t="shared" ca="1" si="250"/>
        <v>0.8</v>
      </c>
      <c r="J879" t="s">
        <v>36</v>
      </c>
      <c r="K879" t="s">
        <v>37</v>
      </c>
      <c r="L879">
        <f t="shared" si="251"/>
        <v>1</v>
      </c>
      <c r="M879">
        <f t="shared" si="252"/>
        <v>0</v>
      </c>
      <c r="N879">
        <f t="shared" si="253"/>
        <v>0</v>
      </c>
      <c r="O879" t="s">
        <v>124</v>
      </c>
      <c r="P879">
        <f t="shared" si="254"/>
        <v>0</v>
      </c>
      <c r="Q879">
        <f t="shared" si="255"/>
        <v>0</v>
      </c>
      <c r="R879">
        <f t="shared" si="256"/>
        <v>0</v>
      </c>
      <c r="S879">
        <f t="shared" si="257"/>
        <v>0</v>
      </c>
      <c r="T879">
        <f t="shared" si="258"/>
        <v>0</v>
      </c>
      <c r="U879">
        <f t="shared" si="259"/>
        <v>1</v>
      </c>
      <c r="V879">
        <f t="shared" si="260"/>
        <v>0</v>
      </c>
      <c r="W879" t="s">
        <v>39</v>
      </c>
      <c r="X879">
        <f t="shared" si="261"/>
        <v>1</v>
      </c>
      <c r="Y879">
        <f t="shared" si="262"/>
        <v>0</v>
      </c>
      <c r="Z879">
        <v>4</v>
      </c>
      <c r="AA879">
        <f t="shared" si="263"/>
        <v>0.75</v>
      </c>
      <c r="AB879" t="s">
        <v>40</v>
      </c>
      <c r="AC879">
        <f t="shared" si="264"/>
        <v>0</v>
      </c>
      <c r="AD879">
        <f t="shared" si="265"/>
        <v>0</v>
      </c>
      <c r="AE879" t="s">
        <v>41</v>
      </c>
      <c r="AF879">
        <f>IF(AE879="website",1,0)</f>
        <v>1</v>
      </c>
    </row>
    <row r="880" spans="1:32">
      <c r="A880" t="s">
        <v>1518</v>
      </c>
      <c r="B880" t="s">
        <v>33</v>
      </c>
      <c r="C880" s="3">
        <f t="shared" si="247"/>
        <v>0</v>
      </c>
      <c r="D880">
        <f t="shared" si="248"/>
        <v>1</v>
      </c>
      <c r="E880" t="s">
        <v>575</v>
      </c>
      <c r="F880" t="s">
        <v>613</v>
      </c>
      <c r="G880" s="1">
        <v>16511</v>
      </c>
      <c r="H880" s="2">
        <f t="shared" ca="1" si="249"/>
        <v>81</v>
      </c>
      <c r="I880" s="2">
        <f t="shared" ca="1" si="250"/>
        <v>0.8</v>
      </c>
      <c r="J880" t="s">
        <v>45</v>
      </c>
      <c r="K880" t="s">
        <v>248</v>
      </c>
      <c r="L880">
        <f t="shared" si="251"/>
        <v>0</v>
      </c>
      <c r="M880">
        <f t="shared" si="252"/>
        <v>0</v>
      </c>
      <c r="N880">
        <f t="shared" si="253"/>
        <v>0</v>
      </c>
      <c r="O880" t="s">
        <v>249</v>
      </c>
      <c r="P880">
        <f t="shared" si="254"/>
        <v>0</v>
      </c>
      <c r="Q880">
        <f t="shared" si="255"/>
        <v>0</v>
      </c>
      <c r="R880">
        <f t="shared" si="256"/>
        <v>0</v>
      </c>
      <c r="S880">
        <f t="shared" si="257"/>
        <v>0</v>
      </c>
      <c r="T880">
        <f t="shared" si="258"/>
        <v>0</v>
      </c>
      <c r="U880">
        <f t="shared" si="259"/>
        <v>0</v>
      </c>
      <c r="V880">
        <f t="shared" si="260"/>
        <v>0</v>
      </c>
      <c r="W880" t="s">
        <v>39</v>
      </c>
      <c r="X880">
        <f t="shared" si="261"/>
        <v>1</v>
      </c>
      <c r="Y880">
        <f t="shared" si="262"/>
        <v>0</v>
      </c>
      <c r="Z880">
        <v>4</v>
      </c>
      <c r="AA880">
        <f t="shared" si="263"/>
        <v>0.75</v>
      </c>
      <c r="AB880" t="s">
        <v>40</v>
      </c>
      <c r="AC880">
        <f t="shared" si="264"/>
        <v>0</v>
      </c>
      <c r="AD880">
        <f t="shared" si="265"/>
        <v>0</v>
      </c>
      <c r="AE880" t="s">
        <v>41</v>
      </c>
      <c r="AF880">
        <f>IF(AE880="website",1,0)</f>
        <v>1</v>
      </c>
    </row>
    <row r="881" spans="1:32">
      <c r="A881" t="s">
        <v>1519</v>
      </c>
      <c r="B881" t="s">
        <v>33</v>
      </c>
      <c r="C881" s="3">
        <f t="shared" si="247"/>
        <v>0</v>
      </c>
      <c r="D881">
        <f t="shared" si="248"/>
        <v>1</v>
      </c>
      <c r="E881" t="s">
        <v>921</v>
      </c>
      <c r="F881" t="s">
        <v>378</v>
      </c>
      <c r="G881" s="1">
        <v>15150</v>
      </c>
      <c r="H881" s="2">
        <f t="shared" ca="1" si="249"/>
        <v>85</v>
      </c>
      <c r="I881" s="2">
        <f t="shared" ca="1" si="250"/>
        <v>0.8571428571428571</v>
      </c>
      <c r="J881" t="s">
        <v>36</v>
      </c>
      <c r="K881" t="s">
        <v>37</v>
      </c>
      <c r="L881">
        <f t="shared" si="251"/>
        <v>1</v>
      </c>
      <c r="M881">
        <f t="shared" si="252"/>
        <v>0</v>
      </c>
      <c r="N881">
        <f t="shared" si="253"/>
        <v>0</v>
      </c>
      <c r="O881" t="s">
        <v>717</v>
      </c>
      <c r="P881">
        <f t="shared" si="254"/>
        <v>0</v>
      </c>
      <c r="Q881">
        <f t="shared" si="255"/>
        <v>0</v>
      </c>
      <c r="R881">
        <f t="shared" si="256"/>
        <v>0</v>
      </c>
      <c r="S881">
        <f t="shared" si="257"/>
        <v>0</v>
      </c>
      <c r="T881">
        <f t="shared" si="258"/>
        <v>0</v>
      </c>
      <c r="U881">
        <f t="shared" si="259"/>
        <v>0</v>
      </c>
      <c r="V881">
        <f t="shared" si="260"/>
        <v>0</v>
      </c>
      <c r="W881" t="s">
        <v>39</v>
      </c>
      <c r="X881">
        <f t="shared" si="261"/>
        <v>1</v>
      </c>
      <c r="Y881">
        <f t="shared" si="262"/>
        <v>0</v>
      </c>
      <c r="Z881">
        <v>2</v>
      </c>
      <c r="AA881">
        <f t="shared" si="263"/>
        <v>0.25</v>
      </c>
      <c r="AB881" t="s">
        <v>46</v>
      </c>
      <c r="AC881">
        <f t="shared" si="264"/>
        <v>0</v>
      </c>
      <c r="AD881">
        <f t="shared" si="265"/>
        <v>0</v>
      </c>
      <c r="AE881" t="s">
        <v>41</v>
      </c>
      <c r="AF881">
        <f>IF(AE881="website",1,0)</f>
        <v>1</v>
      </c>
    </row>
    <row r="882" spans="1:32">
      <c r="A882" t="s">
        <v>1520</v>
      </c>
      <c r="B882" t="s">
        <v>33</v>
      </c>
      <c r="C882" s="3">
        <f t="shared" si="247"/>
        <v>0</v>
      </c>
      <c r="D882">
        <f t="shared" si="248"/>
        <v>1</v>
      </c>
      <c r="E882" t="s">
        <v>829</v>
      </c>
      <c r="F882" t="s">
        <v>552</v>
      </c>
      <c r="G882" s="1">
        <v>19991</v>
      </c>
      <c r="H882" s="2">
        <f t="shared" ca="1" si="249"/>
        <v>72</v>
      </c>
      <c r="I882" s="2">
        <f t="shared" ca="1" si="250"/>
        <v>0.67142857142857137</v>
      </c>
      <c r="J882" t="s">
        <v>36</v>
      </c>
      <c r="K882" t="s">
        <v>37</v>
      </c>
      <c r="L882">
        <f t="shared" si="251"/>
        <v>1</v>
      </c>
      <c r="M882">
        <f t="shared" si="252"/>
        <v>0</v>
      </c>
      <c r="N882">
        <f t="shared" si="253"/>
        <v>0</v>
      </c>
      <c r="O882" t="s">
        <v>137</v>
      </c>
      <c r="P882">
        <f t="shared" si="254"/>
        <v>0</v>
      </c>
      <c r="Q882">
        <f t="shared" si="255"/>
        <v>0</v>
      </c>
      <c r="R882">
        <f t="shared" si="256"/>
        <v>0</v>
      </c>
      <c r="S882">
        <f t="shared" si="257"/>
        <v>0</v>
      </c>
      <c r="T882">
        <f t="shared" si="258"/>
        <v>0</v>
      </c>
      <c r="U882">
        <f t="shared" si="259"/>
        <v>0</v>
      </c>
      <c r="V882">
        <f t="shared" si="260"/>
        <v>0</v>
      </c>
      <c r="W882" t="s">
        <v>58</v>
      </c>
      <c r="X882">
        <f t="shared" si="261"/>
        <v>0</v>
      </c>
      <c r="Y882">
        <f t="shared" si="262"/>
        <v>1</v>
      </c>
      <c r="Z882">
        <v>1</v>
      </c>
      <c r="AA882">
        <f t="shared" si="263"/>
        <v>0</v>
      </c>
      <c r="AB882" t="s">
        <v>46</v>
      </c>
      <c r="AC882">
        <f t="shared" si="264"/>
        <v>0</v>
      </c>
      <c r="AD882">
        <f t="shared" si="265"/>
        <v>0</v>
      </c>
      <c r="AE882" t="s">
        <v>41</v>
      </c>
      <c r="AF882">
        <f>IF(AE882="website",1,0)</f>
        <v>1</v>
      </c>
    </row>
    <row r="883" spans="1:32">
      <c r="A883" t="s">
        <v>1521</v>
      </c>
      <c r="B883" t="s">
        <v>33</v>
      </c>
      <c r="C883" s="3">
        <f t="shared" si="247"/>
        <v>0</v>
      </c>
      <c r="D883">
        <f t="shared" si="248"/>
        <v>1</v>
      </c>
      <c r="E883" t="s">
        <v>598</v>
      </c>
      <c r="F883" t="s">
        <v>620</v>
      </c>
      <c r="G883" s="1">
        <v>36714</v>
      </c>
      <c r="H883" s="2">
        <f t="shared" ca="1" si="249"/>
        <v>26</v>
      </c>
      <c r="I883" s="2">
        <f t="shared" ca="1" si="250"/>
        <v>1.4285714285714285E-2</v>
      </c>
      <c r="J883" t="s">
        <v>45</v>
      </c>
      <c r="K883" t="s">
        <v>248</v>
      </c>
      <c r="L883">
        <f t="shared" si="251"/>
        <v>0</v>
      </c>
      <c r="M883">
        <f t="shared" si="252"/>
        <v>0</v>
      </c>
      <c r="N883">
        <f t="shared" si="253"/>
        <v>0</v>
      </c>
      <c r="O883" t="s">
        <v>836</v>
      </c>
      <c r="P883">
        <f t="shared" si="254"/>
        <v>0</v>
      </c>
      <c r="Q883">
        <f t="shared" si="255"/>
        <v>0</v>
      </c>
      <c r="R883">
        <f t="shared" si="256"/>
        <v>0</v>
      </c>
      <c r="S883">
        <f t="shared" si="257"/>
        <v>0</v>
      </c>
      <c r="T883">
        <f t="shared" si="258"/>
        <v>0</v>
      </c>
      <c r="U883">
        <f t="shared" si="259"/>
        <v>0</v>
      </c>
      <c r="V883">
        <f t="shared" si="260"/>
        <v>0</v>
      </c>
      <c r="W883" t="s">
        <v>39</v>
      </c>
      <c r="X883">
        <f t="shared" si="261"/>
        <v>1</v>
      </c>
      <c r="Y883">
        <f t="shared" si="262"/>
        <v>0</v>
      </c>
      <c r="Z883">
        <v>3</v>
      </c>
      <c r="AA883">
        <f t="shared" si="263"/>
        <v>0.5</v>
      </c>
      <c r="AB883" t="s">
        <v>46</v>
      </c>
      <c r="AC883">
        <f t="shared" si="264"/>
        <v>0</v>
      </c>
      <c r="AD883">
        <f t="shared" si="265"/>
        <v>0</v>
      </c>
      <c r="AE883" t="s">
        <v>41</v>
      </c>
      <c r="AF883">
        <f>IF(AE883="website",1,0)</f>
        <v>1</v>
      </c>
    </row>
    <row r="884" spans="1:32">
      <c r="A884" t="s">
        <v>1522</v>
      </c>
      <c r="B884" t="s">
        <v>33</v>
      </c>
      <c r="C884" s="3">
        <f t="shared" si="247"/>
        <v>0</v>
      </c>
      <c r="D884">
        <f t="shared" si="248"/>
        <v>1</v>
      </c>
      <c r="E884" t="s">
        <v>722</v>
      </c>
      <c r="F884" t="s">
        <v>798</v>
      </c>
      <c r="G884" s="1">
        <v>17097</v>
      </c>
      <c r="H884" s="2">
        <f t="shared" ca="1" si="249"/>
        <v>79</v>
      </c>
      <c r="I884" s="2">
        <f t="shared" ca="1" si="250"/>
        <v>0.77142857142857146</v>
      </c>
      <c r="J884" t="s">
        <v>45</v>
      </c>
      <c r="K884" t="s">
        <v>37</v>
      </c>
      <c r="L884">
        <f t="shared" si="251"/>
        <v>1</v>
      </c>
      <c r="M884">
        <f t="shared" si="252"/>
        <v>0</v>
      </c>
      <c r="N884">
        <f t="shared" si="253"/>
        <v>0</v>
      </c>
      <c r="O884" t="s">
        <v>592</v>
      </c>
      <c r="P884">
        <f t="shared" si="254"/>
        <v>0</v>
      </c>
      <c r="Q884">
        <f t="shared" si="255"/>
        <v>0</v>
      </c>
      <c r="R884">
        <f t="shared" si="256"/>
        <v>0</v>
      </c>
      <c r="S884">
        <f t="shared" si="257"/>
        <v>0</v>
      </c>
      <c r="T884">
        <f t="shared" si="258"/>
        <v>0</v>
      </c>
      <c r="U884">
        <f t="shared" si="259"/>
        <v>0</v>
      </c>
      <c r="V884">
        <f t="shared" si="260"/>
        <v>0</v>
      </c>
      <c r="W884" t="s">
        <v>39</v>
      </c>
      <c r="X884">
        <f t="shared" si="261"/>
        <v>1</v>
      </c>
      <c r="Y884">
        <f t="shared" si="262"/>
        <v>0</v>
      </c>
      <c r="Z884">
        <v>4</v>
      </c>
      <c r="AA884">
        <f t="shared" si="263"/>
        <v>0.75</v>
      </c>
      <c r="AB884" t="s">
        <v>46</v>
      </c>
      <c r="AC884">
        <f t="shared" si="264"/>
        <v>0</v>
      </c>
      <c r="AD884">
        <f t="shared" si="265"/>
        <v>1</v>
      </c>
      <c r="AE884" t="s">
        <v>90</v>
      </c>
      <c r="AF884">
        <f>IF(AE884="website",1,0)</f>
        <v>0</v>
      </c>
    </row>
    <row r="885" spans="1:32">
      <c r="A885" t="s">
        <v>1523</v>
      </c>
      <c r="B885" t="s">
        <v>33</v>
      </c>
      <c r="C885" s="3">
        <f t="shared" si="247"/>
        <v>0</v>
      </c>
      <c r="D885">
        <f t="shared" si="248"/>
        <v>1</v>
      </c>
      <c r="E885" t="s">
        <v>1389</v>
      </c>
      <c r="F885" t="s">
        <v>885</v>
      </c>
      <c r="G885" s="1">
        <v>18025</v>
      </c>
      <c r="H885" s="2">
        <f t="shared" ca="1" si="249"/>
        <v>77</v>
      </c>
      <c r="I885" s="2">
        <f t="shared" ca="1" si="250"/>
        <v>0.74285714285714288</v>
      </c>
      <c r="J885" t="s">
        <v>45</v>
      </c>
      <c r="K885" t="s">
        <v>37</v>
      </c>
      <c r="L885">
        <f t="shared" si="251"/>
        <v>1</v>
      </c>
      <c r="M885">
        <f t="shared" si="252"/>
        <v>0</v>
      </c>
      <c r="N885">
        <f t="shared" si="253"/>
        <v>0</v>
      </c>
      <c r="O885" t="s">
        <v>124</v>
      </c>
      <c r="P885">
        <f t="shared" si="254"/>
        <v>0</v>
      </c>
      <c r="Q885">
        <f t="shared" si="255"/>
        <v>0</v>
      </c>
      <c r="R885">
        <f t="shared" si="256"/>
        <v>0</v>
      </c>
      <c r="S885">
        <f t="shared" si="257"/>
        <v>0</v>
      </c>
      <c r="T885">
        <f t="shared" si="258"/>
        <v>0</v>
      </c>
      <c r="U885">
        <f t="shared" si="259"/>
        <v>1</v>
      </c>
      <c r="V885">
        <f t="shared" si="260"/>
        <v>0</v>
      </c>
      <c r="W885" t="s">
        <v>39</v>
      </c>
      <c r="X885">
        <f t="shared" si="261"/>
        <v>1</v>
      </c>
      <c r="Y885">
        <f t="shared" si="262"/>
        <v>0</v>
      </c>
      <c r="Z885">
        <v>2</v>
      </c>
      <c r="AA885">
        <f t="shared" si="263"/>
        <v>0.25</v>
      </c>
      <c r="AB885" t="s">
        <v>46</v>
      </c>
      <c r="AC885">
        <f t="shared" si="264"/>
        <v>0</v>
      </c>
      <c r="AD885">
        <f t="shared" si="265"/>
        <v>0</v>
      </c>
      <c r="AE885" t="s">
        <v>41</v>
      </c>
      <c r="AF885">
        <f>IF(AE885="website",1,0)</f>
        <v>1</v>
      </c>
    </row>
    <row r="886" spans="1:32">
      <c r="A886" t="s">
        <v>1524</v>
      </c>
      <c r="B886" t="s">
        <v>33</v>
      </c>
      <c r="C886" s="3">
        <f t="shared" si="247"/>
        <v>0</v>
      </c>
      <c r="D886">
        <f t="shared" si="248"/>
        <v>1</v>
      </c>
      <c r="E886" t="s">
        <v>419</v>
      </c>
      <c r="F886" t="s">
        <v>579</v>
      </c>
      <c r="G886" s="1">
        <v>15240</v>
      </c>
      <c r="H886" s="2">
        <f t="shared" ca="1" si="249"/>
        <v>85</v>
      </c>
      <c r="I886" s="2">
        <f t="shared" ca="1" si="250"/>
        <v>0.8571428571428571</v>
      </c>
      <c r="J886" t="s">
        <v>45</v>
      </c>
      <c r="K886" t="s">
        <v>65</v>
      </c>
      <c r="L886">
        <f t="shared" si="251"/>
        <v>0</v>
      </c>
      <c r="M886">
        <f t="shared" si="252"/>
        <v>1</v>
      </c>
      <c r="N886">
        <f t="shared" si="253"/>
        <v>0</v>
      </c>
      <c r="O886" t="s">
        <v>642</v>
      </c>
      <c r="P886">
        <f t="shared" si="254"/>
        <v>0</v>
      </c>
      <c r="Q886">
        <f t="shared" si="255"/>
        <v>0</v>
      </c>
      <c r="R886">
        <f t="shared" si="256"/>
        <v>0</v>
      </c>
      <c r="S886">
        <f t="shared" si="257"/>
        <v>0</v>
      </c>
      <c r="T886">
        <f t="shared" si="258"/>
        <v>0</v>
      </c>
      <c r="U886">
        <f t="shared" si="259"/>
        <v>0</v>
      </c>
      <c r="V886">
        <f t="shared" si="260"/>
        <v>0</v>
      </c>
      <c r="W886" t="s">
        <v>58</v>
      </c>
      <c r="X886">
        <f t="shared" si="261"/>
        <v>0</v>
      </c>
      <c r="Y886">
        <f t="shared" si="262"/>
        <v>1</v>
      </c>
      <c r="Z886">
        <v>2</v>
      </c>
      <c r="AA886">
        <f t="shared" si="263"/>
        <v>0.25</v>
      </c>
      <c r="AB886" t="s">
        <v>40</v>
      </c>
      <c r="AC886">
        <f t="shared" si="264"/>
        <v>1</v>
      </c>
      <c r="AD886">
        <f t="shared" si="265"/>
        <v>0</v>
      </c>
      <c r="AE886" t="s">
        <v>50</v>
      </c>
      <c r="AF886">
        <f>IF(AE886="website",1,0)</f>
        <v>0</v>
      </c>
    </row>
    <row r="887" spans="1:32">
      <c r="A887" t="s">
        <v>1525</v>
      </c>
      <c r="B887" t="s">
        <v>33</v>
      </c>
      <c r="C887" s="3">
        <f t="shared" si="247"/>
        <v>0</v>
      </c>
      <c r="D887">
        <f t="shared" si="248"/>
        <v>1</v>
      </c>
      <c r="E887" t="s">
        <v>126</v>
      </c>
      <c r="F887" t="s">
        <v>645</v>
      </c>
      <c r="G887" s="1">
        <v>22482</v>
      </c>
      <c r="H887" s="2">
        <f t="shared" ca="1" si="249"/>
        <v>65</v>
      </c>
      <c r="I887" s="2">
        <f t="shared" ca="1" si="250"/>
        <v>0.5714285714285714</v>
      </c>
      <c r="J887" t="s">
        <v>45</v>
      </c>
      <c r="K887" t="s">
        <v>37</v>
      </c>
      <c r="L887">
        <f t="shared" si="251"/>
        <v>1</v>
      </c>
      <c r="M887">
        <f t="shared" si="252"/>
        <v>0</v>
      </c>
      <c r="N887">
        <f t="shared" si="253"/>
        <v>0</v>
      </c>
      <c r="O887" t="s">
        <v>38</v>
      </c>
      <c r="P887">
        <f t="shared" si="254"/>
        <v>1</v>
      </c>
      <c r="Q887">
        <f t="shared" si="255"/>
        <v>0</v>
      </c>
      <c r="R887">
        <f t="shared" si="256"/>
        <v>0</v>
      </c>
      <c r="S887">
        <f t="shared" si="257"/>
        <v>0</v>
      </c>
      <c r="T887">
        <f t="shared" si="258"/>
        <v>0</v>
      </c>
      <c r="U887">
        <f t="shared" si="259"/>
        <v>0</v>
      </c>
      <c r="V887">
        <f t="shared" si="260"/>
        <v>0</v>
      </c>
      <c r="W887" t="s">
        <v>39</v>
      </c>
      <c r="X887">
        <f t="shared" si="261"/>
        <v>1</v>
      </c>
      <c r="Y887">
        <f t="shared" si="262"/>
        <v>0</v>
      </c>
      <c r="Z887">
        <v>3</v>
      </c>
      <c r="AA887">
        <f t="shared" si="263"/>
        <v>0.5</v>
      </c>
      <c r="AB887" t="s">
        <v>40</v>
      </c>
      <c r="AC887">
        <f t="shared" si="264"/>
        <v>1</v>
      </c>
      <c r="AD887">
        <f t="shared" si="265"/>
        <v>0</v>
      </c>
      <c r="AE887" t="s">
        <v>50</v>
      </c>
      <c r="AF887">
        <f>IF(AE887="website",1,0)</f>
        <v>0</v>
      </c>
    </row>
    <row r="888" spans="1:32">
      <c r="A888" t="s">
        <v>1526</v>
      </c>
      <c r="B888" t="s">
        <v>33</v>
      </c>
      <c r="C888" s="3">
        <f t="shared" si="247"/>
        <v>0</v>
      </c>
      <c r="D888">
        <f t="shared" si="248"/>
        <v>1</v>
      </c>
      <c r="E888" t="s">
        <v>817</v>
      </c>
      <c r="F888" t="s">
        <v>773</v>
      </c>
      <c r="G888" s="1">
        <v>34082</v>
      </c>
      <c r="H888" s="2">
        <f t="shared" ca="1" si="249"/>
        <v>33</v>
      </c>
      <c r="I888" s="2">
        <f t="shared" ca="1" si="250"/>
        <v>0.11428571428571428</v>
      </c>
      <c r="J888" t="s">
        <v>36</v>
      </c>
      <c r="K888" t="s">
        <v>37</v>
      </c>
      <c r="L888">
        <f t="shared" si="251"/>
        <v>1</v>
      </c>
      <c r="M888">
        <f t="shared" si="252"/>
        <v>0</v>
      </c>
      <c r="N888">
        <f t="shared" si="253"/>
        <v>0</v>
      </c>
      <c r="O888" t="s">
        <v>38</v>
      </c>
      <c r="P888">
        <f t="shared" si="254"/>
        <v>1</v>
      </c>
      <c r="Q888">
        <f t="shared" si="255"/>
        <v>0</v>
      </c>
      <c r="R888">
        <f t="shared" si="256"/>
        <v>0</v>
      </c>
      <c r="S888">
        <f t="shared" si="257"/>
        <v>0</v>
      </c>
      <c r="T888">
        <f t="shared" si="258"/>
        <v>0</v>
      </c>
      <c r="U888">
        <f t="shared" si="259"/>
        <v>0</v>
      </c>
      <c r="V888">
        <f t="shared" si="260"/>
        <v>0</v>
      </c>
      <c r="W888" t="s">
        <v>39</v>
      </c>
      <c r="X888">
        <f t="shared" si="261"/>
        <v>1</v>
      </c>
      <c r="Y888">
        <f t="shared" si="262"/>
        <v>0</v>
      </c>
      <c r="Z888">
        <v>3</v>
      </c>
      <c r="AA888">
        <f t="shared" si="263"/>
        <v>0.5</v>
      </c>
      <c r="AB888" t="s">
        <v>46</v>
      </c>
      <c r="AC888">
        <f t="shared" si="264"/>
        <v>1</v>
      </c>
      <c r="AD888">
        <f t="shared" si="265"/>
        <v>0</v>
      </c>
      <c r="AE888" t="s">
        <v>50</v>
      </c>
      <c r="AF888">
        <f>IF(AE888="website",1,0)</f>
        <v>0</v>
      </c>
    </row>
    <row r="889" spans="1:32">
      <c r="A889" t="s">
        <v>1527</v>
      </c>
      <c r="B889" t="s">
        <v>33</v>
      </c>
      <c r="C889" s="3">
        <f t="shared" si="247"/>
        <v>0</v>
      </c>
      <c r="D889">
        <f t="shared" si="248"/>
        <v>1</v>
      </c>
      <c r="E889" t="s">
        <v>622</v>
      </c>
      <c r="F889" t="s">
        <v>748</v>
      </c>
      <c r="G889" s="1">
        <v>31921</v>
      </c>
      <c r="H889" s="2">
        <f t="shared" ca="1" si="249"/>
        <v>39</v>
      </c>
      <c r="I889" s="2">
        <f t="shared" ca="1" si="250"/>
        <v>0.2</v>
      </c>
      <c r="J889" t="s">
        <v>36</v>
      </c>
      <c r="K889" t="s">
        <v>113</v>
      </c>
      <c r="L889">
        <f t="shared" si="251"/>
        <v>0</v>
      </c>
      <c r="M889">
        <f t="shared" si="252"/>
        <v>0</v>
      </c>
      <c r="N889">
        <f t="shared" si="253"/>
        <v>1</v>
      </c>
      <c r="O889" t="s">
        <v>114</v>
      </c>
      <c r="P889">
        <f t="shared" si="254"/>
        <v>0</v>
      </c>
      <c r="Q889">
        <f t="shared" si="255"/>
        <v>0</v>
      </c>
      <c r="R889">
        <f t="shared" si="256"/>
        <v>0</v>
      </c>
      <c r="S889">
        <f t="shared" si="257"/>
        <v>1</v>
      </c>
      <c r="T889">
        <f t="shared" si="258"/>
        <v>0</v>
      </c>
      <c r="U889">
        <f t="shared" si="259"/>
        <v>0</v>
      </c>
      <c r="V889">
        <f t="shared" si="260"/>
        <v>0</v>
      </c>
      <c r="W889" t="s">
        <v>39</v>
      </c>
      <c r="X889">
        <f t="shared" si="261"/>
        <v>1</v>
      </c>
      <c r="Y889">
        <f t="shared" si="262"/>
        <v>0</v>
      </c>
      <c r="Z889">
        <v>4</v>
      </c>
      <c r="AA889">
        <f t="shared" si="263"/>
        <v>0.75</v>
      </c>
      <c r="AB889" t="s">
        <v>40</v>
      </c>
      <c r="AC889">
        <f t="shared" si="264"/>
        <v>0</v>
      </c>
      <c r="AD889">
        <f t="shared" si="265"/>
        <v>0</v>
      </c>
      <c r="AE889" t="s">
        <v>41</v>
      </c>
      <c r="AF889">
        <f>IF(AE889="website",1,0)</f>
        <v>1</v>
      </c>
    </row>
    <row r="890" spans="1:32">
      <c r="A890" t="s">
        <v>1528</v>
      </c>
      <c r="B890" t="s">
        <v>33</v>
      </c>
      <c r="C890" s="3">
        <f t="shared" si="247"/>
        <v>0</v>
      </c>
      <c r="D890">
        <f t="shared" si="248"/>
        <v>1</v>
      </c>
      <c r="E890" t="s">
        <v>941</v>
      </c>
      <c r="F890" t="s">
        <v>623</v>
      </c>
      <c r="G890" s="1">
        <v>31335</v>
      </c>
      <c r="H890" s="2">
        <f t="shared" ca="1" si="249"/>
        <v>40</v>
      </c>
      <c r="I890" s="2">
        <f t="shared" ca="1" si="250"/>
        <v>0.21428571428571427</v>
      </c>
      <c r="J890" t="s">
        <v>45</v>
      </c>
      <c r="K890" t="s">
        <v>37</v>
      </c>
      <c r="L890">
        <f t="shared" si="251"/>
        <v>1</v>
      </c>
      <c r="M890">
        <f t="shared" si="252"/>
        <v>0</v>
      </c>
      <c r="N890">
        <f t="shared" si="253"/>
        <v>0</v>
      </c>
      <c r="O890" t="s">
        <v>124</v>
      </c>
      <c r="P890">
        <f t="shared" si="254"/>
        <v>0</v>
      </c>
      <c r="Q890">
        <f t="shared" si="255"/>
        <v>0</v>
      </c>
      <c r="R890">
        <f t="shared" si="256"/>
        <v>0</v>
      </c>
      <c r="S890">
        <f t="shared" si="257"/>
        <v>0</v>
      </c>
      <c r="T890">
        <f t="shared" si="258"/>
        <v>0</v>
      </c>
      <c r="U890">
        <f t="shared" si="259"/>
        <v>1</v>
      </c>
      <c r="V890">
        <f t="shared" si="260"/>
        <v>0</v>
      </c>
      <c r="W890" t="s">
        <v>58</v>
      </c>
      <c r="X890">
        <f t="shared" si="261"/>
        <v>0</v>
      </c>
      <c r="Y890">
        <f t="shared" si="262"/>
        <v>1</v>
      </c>
      <c r="Z890">
        <v>4</v>
      </c>
      <c r="AA890">
        <f t="shared" si="263"/>
        <v>0.75</v>
      </c>
      <c r="AB890" t="s">
        <v>40</v>
      </c>
      <c r="AC890">
        <f t="shared" si="264"/>
        <v>0</v>
      </c>
      <c r="AD890">
        <f t="shared" si="265"/>
        <v>0</v>
      </c>
      <c r="AE890" t="s">
        <v>41</v>
      </c>
      <c r="AF890">
        <f>IF(AE890="website",1,0)</f>
        <v>1</v>
      </c>
    </row>
    <row r="891" spans="1:32">
      <c r="A891" t="s">
        <v>1529</v>
      </c>
      <c r="B891" t="s">
        <v>33</v>
      </c>
      <c r="C891" s="3">
        <f t="shared" si="247"/>
        <v>0</v>
      </c>
      <c r="D891">
        <f t="shared" si="248"/>
        <v>1</v>
      </c>
      <c r="E891" t="s">
        <v>564</v>
      </c>
      <c r="F891" t="s">
        <v>112</v>
      </c>
      <c r="G891" s="1">
        <v>20293</v>
      </c>
      <c r="H891" s="2">
        <f t="shared" ca="1" si="249"/>
        <v>71</v>
      </c>
      <c r="I891" s="2">
        <f t="shared" ca="1" si="250"/>
        <v>0.65714285714285714</v>
      </c>
      <c r="J891" t="s">
        <v>36</v>
      </c>
      <c r="K891" t="s">
        <v>37</v>
      </c>
      <c r="L891">
        <f t="shared" si="251"/>
        <v>1</v>
      </c>
      <c r="M891">
        <f t="shared" si="252"/>
        <v>0</v>
      </c>
      <c r="N891">
        <f t="shared" si="253"/>
        <v>0</v>
      </c>
      <c r="O891" t="s">
        <v>305</v>
      </c>
      <c r="P891">
        <f t="shared" si="254"/>
        <v>0</v>
      </c>
      <c r="Q891">
        <f t="shared" si="255"/>
        <v>0</v>
      </c>
      <c r="R891">
        <f t="shared" si="256"/>
        <v>0</v>
      </c>
      <c r="S891">
        <f t="shared" si="257"/>
        <v>0</v>
      </c>
      <c r="T891">
        <f t="shared" si="258"/>
        <v>0</v>
      </c>
      <c r="U891">
        <f t="shared" si="259"/>
        <v>0</v>
      </c>
      <c r="V891">
        <f t="shared" si="260"/>
        <v>0</v>
      </c>
      <c r="W891" t="s">
        <v>58</v>
      </c>
      <c r="X891">
        <f t="shared" si="261"/>
        <v>0</v>
      </c>
      <c r="Y891">
        <f t="shared" si="262"/>
        <v>1</v>
      </c>
      <c r="Z891">
        <v>3</v>
      </c>
      <c r="AA891">
        <f t="shared" si="263"/>
        <v>0.5</v>
      </c>
      <c r="AB891" t="s">
        <v>40</v>
      </c>
      <c r="AC891">
        <f t="shared" si="264"/>
        <v>0</v>
      </c>
      <c r="AD891">
        <f t="shared" si="265"/>
        <v>0</v>
      </c>
      <c r="AE891" t="s">
        <v>41</v>
      </c>
      <c r="AF891">
        <f>IF(AE891="website",1,0)</f>
        <v>1</v>
      </c>
    </row>
    <row r="892" spans="1:32">
      <c r="A892" t="s">
        <v>1530</v>
      </c>
      <c r="B892" t="s">
        <v>33</v>
      </c>
      <c r="C892" s="3">
        <f t="shared" si="247"/>
        <v>0</v>
      </c>
      <c r="D892">
        <f t="shared" si="248"/>
        <v>1</v>
      </c>
      <c r="E892" t="s">
        <v>795</v>
      </c>
      <c r="F892" t="s">
        <v>653</v>
      </c>
      <c r="G892" s="1">
        <v>25739</v>
      </c>
      <c r="H892" s="2">
        <f t="shared" ca="1" si="249"/>
        <v>56</v>
      </c>
      <c r="I892" s="2">
        <f t="shared" ca="1" si="250"/>
        <v>0.44285714285714284</v>
      </c>
      <c r="J892" t="s">
        <v>45</v>
      </c>
      <c r="K892" t="s">
        <v>113</v>
      </c>
      <c r="L892">
        <f t="shared" si="251"/>
        <v>0</v>
      </c>
      <c r="M892">
        <f t="shared" si="252"/>
        <v>0</v>
      </c>
      <c r="N892">
        <f t="shared" si="253"/>
        <v>1</v>
      </c>
      <c r="O892" t="s">
        <v>594</v>
      </c>
      <c r="P892">
        <f t="shared" si="254"/>
        <v>0</v>
      </c>
      <c r="Q892">
        <f t="shared" si="255"/>
        <v>0</v>
      </c>
      <c r="R892">
        <f t="shared" si="256"/>
        <v>0</v>
      </c>
      <c r="S892">
        <f t="shared" si="257"/>
        <v>0</v>
      </c>
      <c r="T892">
        <f t="shared" si="258"/>
        <v>0</v>
      </c>
      <c r="U892">
        <f t="shared" si="259"/>
        <v>0</v>
      </c>
      <c r="V892">
        <f t="shared" si="260"/>
        <v>0</v>
      </c>
      <c r="W892" t="s">
        <v>58</v>
      </c>
      <c r="X892">
        <f t="shared" si="261"/>
        <v>0</v>
      </c>
      <c r="Y892">
        <f t="shared" si="262"/>
        <v>1</v>
      </c>
      <c r="Z892">
        <v>1</v>
      </c>
      <c r="AA892">
        <f t="shared" si="263"/>
        <v>0</v>
      </c>
      <c r="AB892" t="s">
        <v>40</v>
      </c>
      <c r="AC892">
        <f t="shared" si="264"/>
        <v>0</v>
      </c>
      <c r="AD892">
        <f t="shared" si="265"/>
        <v>0</v>
      </c>
      <c r="AE892" t="s">
        <v>41</v>
      </c>
      <c r="AF892">
        <f>IF(AE892="website",1,0)</f>
        <v>1</v>
      </c>
    </row>
    <row r="893" spans="1:32">
      <c r="A893" t="s">
        <v>1531</v>
      </c>
      <c r="B893" t="s">
        <v>33</v>
      </c>
      <c r="C893" s="3">
        <f t="shared" si="247"/>
        <v>0</v>
      </c>
      <c r="D893">
        <f t="shared" si="248"/>
        <v>1</v>
      </c>
      <c r="E893" t="s">
        <v>259</v>
      </c>
      <c r="F893" t="s">
        <v>825</v>
      </c>
      <c r="G893" s="1">
        <v>21341</v>
      </c>
      <c r="H893" s="2">
        <f t="shared" ca="1" si="249"/>
        <v>68</v>
      </c>
      <c r="I893" s="2">
        <f t="shared" ca="1" si="250"/>
        <v>0.61428571428571432</v>
      </c>
      <c r="J893" t="s">
        <v>36</v>
      </c>
      <c r="K893" t="s">
        <v>37</v>
      </c>
      <c r="L893">
        <f t="shared" si="251"/>
        <v>1</v>
      </c>
      <c r="M893">
        <f t="shared" si="252"/>
        <v>0</v>
      </c>
      <c r="N893">
        <f t="shared" si="253"/>
        <v>0</v>
      </c>
      <c r="O893" t="s">
        <v>38</v>
      </c>
      <c r="P893">
        <f t="shared" si="254"/>
        <v>1</v>
      </c>
      <c r="Q893">
        <f t="shared" si="255"/>
        <v>0</v>
      </c>
      <c r="R893">
        <f t="shared" si="256"/>
        <v>0</v>
      </c>
      <c r="S893">
        <f t="shared" si="257"/>
        <v>0</v>
      </c>
      <c r="T893">
        <f t="shared" si="258"/>
        <v>0</v>
      </c>
      <c r="U893">
        <f t="shared" si="259"/>
        <v>0</v>
      </c>
      <c r="V893">
        <f t="shared" si="260"/>
        <v>0</v>
      </c>
      <c r="W893" t="s">
        <v>58</v>
      </c>
      <c r="X893">
        <f t="shared" si="261"/>
        <v>0</v>
      </c>
      <c r="Y893">
        <f t="shared" si="262"/>
        <v>1</v>
      </c>
      <c r="Z893">
        <v>2</v>
      </c>
      <c r="AA893">
        <f t="shared" si="263"/>
        <v>0.25</v>
      </c>
      <c r="AB893" t="s">
        <v>40</v>
      </c>
      <c r="AC893">
        <f t="shared" si="264"/>
        <v>0</v>
      </c>
      <c r="AD893">
        <f t="shared" si="265"/>
        <v>0</v>
      </c>
      <c r="AE893" t="s">
        <v>41</v>
      </c>
      <c r="AF893">
        <f>IF(AE893="website",1,0)</f>
        <v>1</v>
      </c>
    </row>
    <row r="894" spans="1:32">
      <c r="A894" t="s">
        <v>1532</v>
      </c>
      <c r="B894" t="s">
        <v>33</v>
      </c>
      <c r="C894" s="3">
        <f t="shared" si="247"/>
        <v>0</v>
      </c>
      <c r="D894">
        <f t="shared" si="248"/>
        <v>1</v>
      </c>
      <c r="E894" t="s">
        <v>697</v>
      </c>
      <c r="F894" t="s">
        <v>798</v>
      </c>
      <c r="G894" s="1">
        <v>34873</v>
      </c>
      <c r="H894" s="2">
        <f t="shared" ca="1" si="249"/>
        <v>31</v>
      </c>
      <c r="I894" s="2">
        <f t="shared" ca="1" si="250"/>
        <v>8.5714285714285715E-2</v>
      </c>
      <c r="J894" t="s">
        <v>36</v>
      </c>
      <c r="K894" t="s">
        <v>37</v>
      </c>
      <c r="L894">
        <f t="shared" si="251"/>
        <v>1</v>
      </c>
      <c r="M894">
        <f t="shared" si="252"/>
        <v>0</v>
      </c>
      <c r="N894">
        <f t="shared" si="253"/>
        <v>0</v>
      </c>
      <c r="O894" t="s">
        <v>137</v>
      </c>
      <c r="P894">
        <f t="shared" si="254"/>
        <v>0</v>
      </c>
      <c r="Q894">
        <f t="shared" si="255"/>
        <v>0</v>
      </c>
      <c r="R894">
        <f t="shared" si="256"/>
        <v>0</v>
      </c>
      <c r="S894">
        <f t="shared" si="257"/>
        <v>0</v>
      </c>
      <c r="T894">
        <f t="shared" si="258"/>
        <v>0</v>
      </c>
      <c r="U894">
        <f t="shared" si="259"/>
        <v>0</v>
      </c>
      <c r="V894">
        <f t="shared" si="260"/>
        <v>0</v>
      </c>
      <c r="W894" t="s">
        <v>39</v>
      </c>
      <c r="X894">
        <f t="shared" si="261"/>
        <v>1</v>
      </c>
      <c r="Y894">
        <f t="shared" si="262"/>
        <v>0</v>
      </c>
      <c r="Z894">
        <v>3</v>
      </c>
      <c r="AA894">
        <f t="shared" si="263"/>
        <v>0.5</v>
      </c>
      <c r="AB894" t="s">
        <v>40</v>
      </c>
      <c r="AC894">
        <f t="shared" si="264"/>
        <v>0</v>
      </c>
      <c r="AD894">
        <f t="shared" si="265"/>
        <v>0</v>
      </c>
      <c r="AE894" t="s">
        <v>41</v>
      </c>
      <c r="AF894">
        <f>IF(AE894="website",1,0)</f>
        <v>1</v>
      </c>
    </row>
    <row r="895" spans="1:32">
      <c r="A895" t="s">
        <v>1533</v>
      </c>
      <c r="B895" t="s">
        <v>33</v>
      </c>
      <c r="C895" s="3">
        <f t="shared" si="247"/>
        <v>0</v>
      </c>
      <c r="D895">
        <f t="shared" si="248"/>
        <v>1</v>
      </c>
      <c r="E895" t="s">
        <v>744</v>
      </c>
      <c r="F895" t="s">
        <v>667</v>
      </c>
      <c r="G895" s="1">
        <v>19524</v>
      </c>
      <c r="H895" s="2">
        <f t="shared" ca="1" si="249"/>
        <v>73</v>
      </c>
      <c r="I895" s="2">
        <f t="shared" ca="1" si="250"/>
        <v>0.68571428571428572</v>
      </c>
      <c r="J895" t="s">
        <v>45</v>
      </c>
      <c r="K895" t="s">
        <v>37</v>
      </c>
      <c r="L895">
        <f t="shared" si="251"/>
        <v>1</v>
      </c>
      <c r="M895">
        <f t="shared" si="252"/>
        <v>0</v>
      </c>
      <c r="N895">
        <f t="shared" si="253"/>
        <v>0</v>
      </c>
      <c r="O895" t="s">
        <v>785</v>
      </c>
      <c r="P895">
        <f t="shared" si="254"/>
        <v>0</v>
      </c>
      <c r="Q895">
        <f t="shared" si="255"/>
        <v>0</v>
      </c>
      <c r="R895">
        <f t="shared" si="256"/>
        <v>0</v>
      </c>
      <c r="S895">
        <f t="shared" si="257"/>
        <v>0</v>
      </c>
      <c r="T895">
        <f t="shared" si="258"/>
        <v>0</v>
      </c>
      <c r="U895">
        <f t="shared" si="259"/>
        <v>0</v>
      </c>
      <c r="V895">
        <f t="shared" si="260"/>
        <v>0</v>
      </c>
      <c r="W895" t="s">
        <v>39</v>
      </c>
      <c r="X895">
        <f t="shared" si="261"/>
        <v>1</v>
      </c>
      <c r="Y895">
        <f t="shared" si="262"/>
        <v>0</v>
      </c>
      <c r="Z895">
        <v>5</v>
      </c>
      <c r="AA895">
        <f t="shared" si="263"/>
        <v>1</v>
      </c>
      <c r="AB895" t="s">
        <v>46</v>
      </c>
      <c r="AC895">
        <f t="shared" si="264"/>
        <v>0</v>
      </c>
      <c r="AD895">
        <f t="shared" si="265"/>
        <v>0</v>
      </c>
      <c r="AE895" t="s">
        <v>41</v>
      </c>
      <c r="AF895">
        <f>IF(AE895="website",1,0)</f>
        <v>1</v>
      </c>
    </row>
    <row r="896" spans="1:32">
      <c r="A896" t="s">
        <v>1534</v>
      </c>
      <c r="B896" t="s">
        <v>33</v>
      </c>
      <c r="C896" s="3">
        <f t="shared" si="247"/>
        <v>0</v>
      </c>
      <c r="D896">
        <f t="shared" si="248"/>
        <v>1</v>
      </c>
      <c r="E896" t="s">
        <v>404</v>
      </c>
      <c r="F896" t="s">
        <v>709</v>
      </c>
      <c r="G896" s="1">
        <v>19596</v>
      </c>
      <c r="H896" s="2">
        <f t="shared" ca="1" si="249"/>
        <v>73</v>
      </c>
      <c r="I896" s="2">
        <f t="shared" ca="1" si="250"/>
        <v>0.68571428571428572</v>
      </c>
      <c r="J896" t="s">
        <v>36</v>
      </c>
      <c r="K896" t="s">
        <v>37</v>
      </c>
      <c r="L896">
        <f t="shared" si="251"/>
        <v>1</v>
      </c>
      <c r="M896">
        <f t="shared" si="252"/>
        <v>0</v>
      </c>
      <c r="N896">
        <f t="shared" si="253"/>
        <v>0</v>
      </c>
      <c r="O896" t="s">
        <v>97</v>
      </c>
      <c r="P896">
        <f t="shared" si="254"/>
        <v>0</v>
      </c>
      <c r="Q896">
        <f t="shared" si="255"/>
        <v>0</v>
      </c>
      <c r="R896">
        <f t="shared" si="256"/>
        <v>0</v>
      </c>
      <c r="S896">
        <f t="shared" si="257"/>
        <v>0</v>
      </c>
      <c r="T896">
        <f t="shared" si="258"/>
        <v>1</v>
      </c>
      <c r="U896">
        <f t="shared" si="259"/>
        <v>0</v>
      </c>
      <c r="V896">
        <f t="shared" si="260"/>
        <v>0</v>
      </c>
      <c r="W896" t="s">
        <v>58</v>
      </c>
      <c r="X896">
        <f t="shared" si="261"/>
        <v>0</v>
      </c>
      <c r="Y896">
        <f t="shared" si="262"/>
        <v>1</v>
      </c>
      <c r="Z896">
        <v>4</v>
      </c>
      <c r="AA896">
        <f t="shared" si="263"/>
        <v>0.75</v>
      </c>
      <c r="AB896" t="s">
        <v>40</v>
      </c>
      <c r="AC896">
        <f t="shared" si="264"/>
        <v>0</v>
      </c>
      <c r="AD896">
        <f t="shared" si="265"/>
        <v>0</v>
      </c>
      <c r="AE896" t="s">
        <v>41</v>
      </c>
      <c r="AF896">
        <f>IF(AE896="website",1,0)</f>
        <v>1</v>
      </c>
    </row>
    <row r="897" spans="1:32">
      <c r="A897" t="s">
        <v>1535</v>
      </c>
      <c r="B897" t="s">
        <v>33</v>
      </c>
      <c r="C897" s="3">
        <f t="shared" si="247"/>
        <v>0</v>
      </c>
      <c r="D897">
        <f t="shared" si="248"/>
        <v>1</v>
      </c>
      <c r="E897" t="s">
        <v>997</v>
      </c>
      <c r="F897" t="s">
        <v>562</v>
      </c>
      <c r="G897" s="1">
        <v>25694</v>
      </c>
      <c r="H897" s="2">
        <f t="shared" ca="1" si="249"/>
        <v>56</v>
      </c>
      <c r="I897" s="2">
        <f t="shared" ca="1" si="250"/>
        <v>0.44285714285714284</v>
      </c>
      <c r="J897" t="s">
        <v>45</v>
      </c>
      <c r="K897" t="s">
        <v>626</v>
      </c>
      <c r="L897">
        <f t="shared" si="251"/>
        <v>0</v>
      </c>
      <c r="M897">
        <f t="shared" si="252"/>
        <v>0</v>
      </c>
      <c r="N897">
        <f t="shared" si="253"/>
        <v>0</v>
      </c>
      <c r="O897" t="s">
        <v>1117</v>
      </c>
      <c r="P897">
        <f t="shared" si="254"/>
        <v>0</v>
      </c>
      <c r="Q897">
        <f t="shared" si="255"/>
        <v>0</v>
      </c>
      <c r="R897">
        <f t="shared" si="256"/>
        <v>0</v>
      </c>
      <c r="S897">
        <f t="shared" si="257"/>
        <v>0</v>
      </c>
      <c r="T897">
        <f t="shared" si="258"/>
        <v>0</v>
      </c>
      <c r="U897">
        <f t="shared" si="259"/>
        <v>0</v>
      </c>
      <c r="V897">
        <f t="shared" si="260"/>
        <v>0</v>
      </c>
      <c r="W897" t="s">
        <v>39</v>
      </c>
      <c r="X897">
        <f t="shared" si="261"/>
        <v>1</v>
      </c>
      <c r="Y897">
        <f t="shared" si="262"/>
        <v>0</v>
      </c>
      <c r="Z897">
        <v>4</v>
      </c>
      <c r="AA897">
        <f t="shared" si="263"/>
        <v>0.75</v>
      </c>
      <c r="AB897" t="s">
        <v>40</v>
      </c>
      <c r="AC897">
        <f t="shared" si="264"/>
        <v>1</v>
      </c>
      <c r="AD897">
        <f t="shared" si="265"/>
        <v>0</v>
      </c>
      <c r="AE897" t="s">
        <v>50</v>
      </c>
      <c r="AF897">
        <f>IF(AE897="website",1,0)</f>
        <v>0</v>
      </c>
    </row>
    <row r="898" spans="1:32">
      <c r="A898" t="s">
        <v>1536</v>
      </c>
      <c r="B898" t="s">
        <v>33</v>
      </c>
      <c r="C898" s="3">
        <f t="shared" ref="C898:C961" si="266">IF(B898="company",1,0)</f>
        <v>0</v>
      </c>
      <c r="D898">
        <f t="shared" ref="D898:D961" si="267">IF(B898="individual",1,0)</f>
        <v>1</v>
      </c>
      <c r="E898" t="s">
        <v>894</v>
      </c>
      <c r="F898" t="s">
        <v>674</v>
      </c>
      <c r="G898" s="1">
        <v>26149</v>
      </c>
      <c r="H898" s="2">
        <f t="shared" ref="H898:H961" ca="1" si="268">DATEDIF(G898,TODAY(),"Y")</f>
        <v>55</v>
      </c>
      <c r="I898" s="2">
        <f t="shared" ref="I898:I961" ca="1" si="269">(H898-MIN(H:H))/(MAX(H:H)-MIN(H:H))</f>
        <v>0.42857142857142855</v>
      </c>
      <c r="J898" t="s">
        <v>36</v>
      </c>
      <c r="K898" t="s">
        <v>819</v>
      </c>
      <c r="L898">
        <f t="shared" ref="L898:L961" si="270">IF(K898="usa",1,0)</f>
        <v>0</v>
      </c>
      <c r="M898">
        <f t="shared" ref="M898:M961" si="271">IF(K898="canada",1,0)</f>
        <v>0</v>
      </c>
      <c r="N898">
        <f t="shared" ref="N898:N961" si="272">IF(K898="germany",1,0)</f>
        <v>0</v>
      </c>
      <c r="O898" t="s">
        <v>1061</v>
      </c>
      <c r="P898">
        <f t="shared" ref="P898:P961" si="273">IF(O898="california",1,0)</f>
        <v>0</v>
      </c>
      <c r="Q898">
        <f t="shared" ref="Q898:Q961" si="274">IF(O898="oregon",1,0)</f>
        <v>0</v>
      </c>
      <c r="R898">
        <f t="shared" ref="R898:R961" si="275">IF(O898="quebec",1,0)</f>
        <v>0</v>
      </c>
      <c r="S898">
        <f t="shared" ref="S898:S961" si="276">IF(O898="berlin",1,0)</f>
        <v>0</v>
      </c>
      <c r="T898">
        <f t="shared" ref="T898:T961" si="277">IF(O898="arizona",1,0)</f>
        <v>0</v>
      </c>
      <c r="U898">
        <f t="shared" ref="U898:U961" si="278">IF(O898="nevada",1,0)</f>
        <v>0</v>
      </c>
      <c r="V898">
        <f t="shared" ref="V898:V961" si="279">IF(O898="colardo",1,0)</f>
        <v>0</v>
      </c>
      <c r="W898" t="s">
        <v>39</v>
      </c>
      <c r="X898">
        <f t="shared" ref="X898:X961" si="280">IF(W898="home",1,0)</f>
        <v>1</v>
      </c>
      <c r="Y898">
        <f t="shared" ref="Y898:Y961" si="281">IF(W898="investment",1,0)</f>
        <v>0</v>
      </c>
      <c r="Z898">
        <v>1</v>
      </c>
      <c r="AA898">
        <f t="shared" ref="AA898:AA961" si="282">(Z898-1)/4</f>
        <v>0</v>
      </c>
      <c r="AB898" t="s">
        <v>46</v>
      </c>
      <c r="AC898">
        <f t="shared" ref="AC898:AC961" si="283">IF(AE898="agency",1,0)</f>
        <v>0</v>
      </c>
      <c r="AD898">
        <f t="shared" ref="AD898:AD961" si="284">IF(AE898="client",1,0)</f>
        <v>0</v>
      </c>
      <c r="AE898" t="s">
        <v>41</v>
      </c>
      <c r="AF898">
        <f>IF(AE898="website",1,0)</f>
        <v>1</v>
      </c>
    </row>
    <row r="899" spans="1:32">
      <c r="A899" t="s">
        <v>1537</v>
      </c>
      <c r="B899" t="s">
        <v>33</v>
      </c>
      <c r="C899" s="3">
        <f t="shared" si="266"/>
        <v>0</v>
      </c>
      <c r="D899">
        <f t="shared" si="267"/>
        <v>1</v>
      </c>
      <c r="E899" t="s">
        <v>679</v>
      </c>
      <c r="F899" t="s">
        <v>904</v>
      </c>
      <c r="G899" s="1">
        <v>19629</v>
      </c>
      <c r="H899" s="2">
        <f t="shared" ca="1" si="268"/>
        <v>73</v>
      </c>
      <c r="I899" s="2">
        <f t="shared" ca="1" si="269"/>
        <v>0.68571428571428572</v>
      </c>
      <c r="J899" t="s">
        <v>36</v>
      </c>
      <c r="K899" t="s">
        <v>37</v>
      </c>
      <c r="L899">
        <f t="shared" si="270"/>
        <v>1</v>
      </c>
      <c r="M899">
        <f t="shared" si="271"/>
        <v>0</v>
      </c>
      <c r="N899">
        <f t="shared" si="272"/>
        <v>0</v>
      </c>
      <c r="O899" t="s">
        <v>97</v>
      </c>
      <c r="P899">
        <f t="shared" si="273"/>
        <v>0</v>
      </c>
      <c r="Q899">
        <f t="shared" si="274"/>
        <v>0</v>
      </c>
      <c r="R899">
        <f t="shared" si="275"/>
        <v>0</v>
      </c>
      <c r="S899">
        <f t="shared" si="276"/>
        <v>0</v>
      </c>
      <c r="T899">
        <f t="shared" si="277"/>
        <v>1</v>
      </c>
      <c r="U899">
        <f t="shared" si="278"/>
        <v>0</v>
      </c>
      <c r="V899">
        <f t="shared" si="279"/>
        <v>0</v>
      </c>
      <c r="W899" t="s">
        <v>58</v>
      </c>
      <c r="X899">
        <f t="shared" si="280"/>
        <v>0</v>
      </c>
      <c r="Y899">
        <f t="shared" si="281"/>
        <v>1</v>
      </c>
      <c r="Z899">
        <v>5</v>
      </c>
      <c r="AA899">
        <f t="shared" si="282"/>
        <v>1</v>
      </c>
      <c r="AB899" t="s">
        <v>40</v>
      </c>
      <c r="AC899">
        <f t="shared" si="283"/>
        <v>1</v>
      </c>
      <c r="AD899">
        <f t="shared" si="284"/>
        <v>0</v>
      </c>
      <c r="AE899" t="s">
        <v>50</v>
      </c>
      <c r="AF899">
        <f>IF(AE899="website",1,0)</f>
        <v>0</v>
      </c>
    </row>
    <row r="900" spans="1:32">
      <c r="A900" t="s">
        <v>1538</v>
      </c>
      <c r="B900" t="s">
        <v>55</v>
      </c>
      <c r="C900" s="3">
        <f t="shared" si="266"/>
        <v>1</v>
      </c>
      <c r="D900">
        <f t="shared" si="267"/>
        <v>0</v>
      </c>
      <c r="E900" t="s">
        <v>1539</v>
      </c>
      <c r="F900" t="s">
        <v>57</v>
      </c>
      <c r="G900" s="1">
        <v>32320</v>
      </c>
      <c r="H900" s="2">
        <f t="shared" ca="1" si="268"/>
        <v>38</v>
      </c>
      <c r="I900" s="2">
        <f t="shared" ca="1" si="269"/>
        <v>0.18571428571428572</v>
      </c>
      <c r="J900" t="s">
        <v>36</v>
      </c>
      <c r="K900" t="s">
        <v>37</v>
      </c>
      <c r="L900">
        <f t="shared" si="270"/>
        <v>1</v>
      </c>
      <c r="M900">
        <f t="shared" si="271"/>
        <v>0</v>
      </c>
      <c r="N900">
        <f t="shared" si="272"/>
        <v>0</v>
      </c>
      <c r="O900" t="s">
        <v>565</v>
      </c>
      <c r="P900">
        <f t="shared" si="273"/>
        <v>0</v>
      </c>
      <c r="Q900">
        <f t="shared" si="274"/>
        <v>0</v>
      </c>
      <c r="R900">
        <f t="shared" si="275"/>
        <v>0</v>
      </c>
      <c r="S900">
        <f t="shared" si="276"/>
        <v>0</v>
      </c>
      <c r="T900">
        <f t="shared" si="277"/>
        <v>0</v>
      </c>
      <c r="U900">
        <f t="shared" si="278"/>
        <v>0</v>
      </c>
      <c r="V900">
        <f t="shared" si="279"/>
        <v>0</v>
      </c>
      <c r="W900" t="s">
        <v>58</v>
      </c>
      <c r="X900">
        <f t="shared" si="280"/>
        <v>0</v>
      </c>
      <c r="Y900">
        <f t="shared" si="281"/>
        <v>1</v>
      </c>
      <c r="Z900">
        <v>2</v>
      </c>
      <c r="AA900">
        <f t="shared" si="282"/>
        <v>0.25</v>
      </c>
      <c r="AB900" t="s">
        <v>46</v>
      </c>
      <c r="AC900">
        <f t="shared" si="283"/>
        <v>0</v>
      </c>
      <c r="AD900">
        <f t="shared" si="284"/>
        <v>0</v>
      </c>
      <c r="AE900" t="s">
        <v>41</v>
      </c>
      <c r="AF900">
        <f>IF(AE900="website",1,0)</f>
        <v>1</v>
      </c>
    </row>
    <row r="901" spans="1:32">
      <c r="A901" t="s">
        <v>1540</v>
      </c>
      <c r="B901" t="s">
        <v>33</v>
      </c>
      <c r="C901" s="3">
        <f t="shared" si="266"/>
        <v>0</v>
      </c>
      <c r="D901">
        <f t="shared" si="267"/>
        <v>1</v>
      </c>
      <c r="E901" t="s">
        <v>755</v>
      </c>
      <c r="F901" t="s">
        <v>876</v>
      </c>
      <c r="G901" s="1">
        <v>36302</v>
      </c>
      <c r="H901" s="2">
        <f t="shared" ca="1" si="268"/>
        <v>27</v>
      </c>
      <c r="I901" s="2">
        <f t="shared" ca="1" si="269"/>
        <v>2.8571428571428571E-2</v>
      </c>
      <c r="J901" t="s">
        <v>36</v>
      </c>
      <c r="K901" t="s">
        <v>113</v>
      </c>
      <c r="L901">
        <f t="shared" si="270"/>
        <v>0</v>
      </c>
      <c r="M901">
        <f t="shared" si="271"/>
        <v>0</v>
      </c>
      <c r="N901">
        <f t="shared" si="272"/>
        <v>1</v>
      </c>
      <c r="O901" t="s">
        <v>594</v>
      </c>
      <c r="P901">
        <f t="shared" si="273"/>
        <v>0</v>
      </c>
      <c r="Q901">
        <f t="shared" si="274"/>
        <v>0</v>
      </c>
      <c r="R901">
        <f t="shared" si="275"/>
        <v>0</v>
      </c>
      <c r="S901">
        <f t="shared" si="276"/>
        <v>0</v>
      </c>
      <c r="T901">
        <f t="shared" si="277"/>
        <v>0</v>
      </c>
      <c r="U901">
        <f t="shared" si="278"/>
        <v>0</v>
      </c>
      <c r="V901">
        <f t="shared" si="279"/>
        <v>0</v>
      </c>
      <c r="W901" t="s">
        <v>39</v>
      </c>
      <c r="X901">
        <f t="shared" si="280"/>
        <v>1</v>
      </c>
      <c r="Y901">
        <f t="shared" si="281"/>
        <v>0</v>
      </c>
      <c r="Z901">
        <v>4</v>
      </c>
      <c r="AA901">
        <f t="shared" si="282"/>
        <v>0.75</v>
      </c>
      <c r="AB901" t="s">
        <v>46</v>
      </c>
      <c r="AC901">
        <f t="shared" si="283"/>
        <v>1</v>
      </c>
      <c r="AD901">
        <f t="shared" si="284"/>
        <v>0</v>
      </c>
      <c r="AE901" t="s">
        <v>50</v>
      </c>
      <c r="AF901">
        <f>IF(AE901="website",1,0)</f>
        <v>0</v>
      </c>
    </row>
    <row r="902" spans="1:32">
      <c r="A902" t="s">
        <v>1541</v>
      </c>
      <c r="B902" t="s">
        <v>33</v>
      </c>
      <c r="C902" s="3">
        <f t="shared" si="266"/>
        <v>0</v>
      </c>
      <c r="D902">
        <f t="shared" si="267"/>
        <v>1</v>
      </c>
      <c r="E902" t="s">
        <v>1032</v>
      </c>
      <c r="F902" t="s">
        <v>720</v>
      </c>
      <c r="G902" s="1">
        <v>36206</v>
      </c>
      <c r="H902" s="2">
        <f t="shared" ca="1" si="268"/>
        <v>27</v>
      </c>
      <c r="I902" s="2">
        <f t="shared" ca="1" si="269"/>
        <v>2.8571428571428571E-2</v>
      </c>
      <c r="J902" t="s">
        <v>45</v>
      </c>
      <c r="K902" t="s">
        <v>626</v>
      </c>
      <c r="L902">
        <f t="shared" si="270"/>
        <v>0</v>
      </c>
      <c r="M902">
        <f t="shared" si="271"/>
        <v>0</v>
      </c>
      <c r="N902">
        <f t="shared" si="272"/>
        <v>0</v>
      </c>
      <c r="O902" t="s">
        <v>1117</v>
      </c>
      <c r="P902">
        <f t="shared" si="273"/>
        <v>0</v>
      </c>
      <c r="Q902">
        <f t="shared" si="274"/>
        <v>0</v>
      </c>
      <c r="R902">
        <f t="shared" si="275"/>
        <v>0</v>
      </c>
      <c r="S902">
        <f t="shared" si="276"/>
        <v>0</v>
      </c>
      <c r="T902">
        <f t="shared" si="277"/>
        <v>0</v>
      </c>
      <c r="U902">
        <f t="shared" si="278"/>
        <v>0</v>
      </c>
      <c r="V902">
        <f t="shared" si="279"/>
        <v>0</v>
      </c>
      <c r="W902" t="s">
        <v>58</v>
      </c>
      <c r="X902">
        <f t="shared" si="280"/>
        <v>0</v>
      </c>
      <c r="Y902">
        <f t="shared" si="281"/>
        <v>1</v>
      </c>
      <c r="Z902">
        <v>4</v>
      </c>
      <c r="AA902">
        <f t="shared" si="282"/>
        <v>0.75</v>
      </c>
      <c r="AB902" t="s">
        <v>46</v>
      </c>
      <c r="AC902">
        <f t="shared" si="283"/>
        <v>1</v>
      </c>
      <c r="AD902">
        <f t="shared" si="284"/>
        <v>0</v>
      </c>
      <c r="AE902" t="s">
        <v>50</v>
      </c>
      <c r="AF902">
        <f>IF(AE902="website",1,0)</f>
        <v>0</v>
      </c>
    </row>
    <row r="903" spans="1:32">
      <c r="A903" t="s">
        <v>1542</v>
      </c>
      <c r="B903" t="s">
        <v>55</v>
      </c>
      <c r="C903" s="3">
        <f t="shared" si="266"/>
        <v>1</v>
      </c>
      <c r="D903">
        <f t="shared" si="267"/>
        <v>0</v>
      </c>
      <c r="E903" t="s">
        <v>1543</v>
      </c>
      <c r="F903" t="s">
        <v>57</v>
      </c>
      <c r="G903" s="1">
        <v>23418</v>
      </c>
      <c r="H903" s="2">
        <f t="shared" ca="1" si="268"/>
        <v>62</v>
      </c>
      <c r="I903" s="2">
        <f t="shared" ca="1" si="269"/>
        <v>0.52857142857142858</v>
      </c>
      <c r="J903" t="s">
        <v>36</v>
      </c>
      <c r="K903" t="s">
        <v>248</v>
      </c>
      <c r="L903">
        <f t="shared" si="270"/>
        <v>0</v>
      </c>
      <c r="M903">
        <f t="shared" si="271"/>
        <v>0</v>
      </c>
      <c r="N903">
        <f t="shared" si="272"/>
        <v>0</v>
      </c>
      <c r="O903" t="s">
        <v>249</v>
      </c>
      <c r="P903">
        <f t="shared" si="273"/>
        <v>0</v>
      </c>
      <c r="Q903">
        <f t="shared" si="274"/>
        <v>0</v>
      </c>
      <c r="R903">
        <f t="shared" si="275"/>
        <v>0</v>
      </c>
      <c r="S903">
        <f t="shared" si="276"/>
        <v>0</v>
      </c>
      <c r="T903">
        <f t="shared" si="277"/>
        <v>0</v>
      </c>
      <c r="U903">
        <f t="shared" si="278"/>
        <v>0</v>
      </c>
      <c r="V903">
        <f t="shared" si="279"/>
        <v>0</v>
      </c>
      <c r="W903" t="s">
        <v>39</v>
      </c>
      <c r="X903">
        <f t="shared" si="280"/>
        <v>1</v>
      </c>
      <c r="Y903">
        <f t="shared" si="281"/>
        <v>0</v>
      </c>
      <c r="Z903">
        <v>3</v>
      </c>
      <c r="AA903">
        <f t="shared" si="282"/>
        <v>0.5</v>
      </c>
      <c r="AB903" t="s">
        <v>40</v>
      </c>
      <c r="AC903">
        <f t="shared" si="283"/>
        <v>1</v>
      </c>
      <c r="AD903">
        <f t="shared" si="284"/>
        <v>0</v>
      </c>
      <c r="AE903" t="s">
        <v>50</v>
      </c>
      <c r="AF903">
        <f>IF(AE903="website",1,0)</f>
        <v>0</v>
      </c>
    </row>
    <row r="904" spans="1:32">
      <c r="A904" t="s">
        <v>1544</v>
      </c>
      <c r="B904" t="s">
        <v>33</v>
      </c>
      <c r="C904" s="3">
        <f t="shared" si="266"/>
        <v>0</v>
      </c>
      <c r="D904">
        <f t="shared" si="267"/>
        <v>1</v>
      </c>
      <c r="E904" t="s">
        <v>644</v>
      </c>
      <c r="F904" t="s">
        <v>730</v>
      </c>
      <c r="G904" s="1">
        <v>33722</v>
      </c>
      <c r="H904" s="2">
        <f t="shared" ca="1" si="268"/>
        <v>34</v>
      </c>
      <c r="I904" s="2">
        <f t="shared" ca="1" si="269"/>
        <v>0.12857142857142856</v>
      </c>
      <c r="J904" t="s">
        <v>36</v>
      </c>
      <c r="K904" t="s">
        <v>37</v>
      </c>
      <c r="L904">
        <f t="shared" si="270"/>
        <v>1</v>
      </c>
      <c r="M904">
        <f t="shared" si="271"/>
        <v>0</v>
      </c>
      <c r="N904">
        <f t="shared" si="272"/>
        <v>0</v>
      </c>
      <c r="O904" t="s">
        <v>592</v>
      </c>
      <c r="P904">
        <f t="shared" si="273"/>
        <v>0</v>
      </c>
      <c r="Q904">
        <f t="shared" si="274"/>
        <v>0</v>
      </c>
      <c r="R904">
        <f t="shared" si="275"/>
        <v>0</v>
      </c>
      <c r="S904">
        <f t="shared" si="276"/>
        <v>0</v>
      </c>
      <c r="T904">
        <f t="shared" si="277"/>
        <v>0</v>
      </c>
      <c r="U904">
        <f t="shared" si="278"/>
        <v>0</v>
      </c>
      <c r="V904">
        <f t="shared" si="279"/>
        <v>0</v>
      </c>
      <c r="W904" t="s">
        <v>58</v>
      </c>
      <c r="X904">
        <f t="shared" si="280"/>
        <v>0</v>
      </c>
      <c r="Y904">
        <f t="shared" si="281"/>
        <v>1</v>
      </c>
      <c r="Z904">
        <v>3</v>
      </c>
      <c r="AA904">
        <f t="shared" si="282"/>
        <v>0.5</v>
      </c>
      <c r="AB904" t="s">
        <v>46</v>
      </c>
      <c r="AC904">
        <f t="shared" si="283"/>
        <v>0</v>
      </c>
      <c r="AD904">
        <f t="shared" si="284"/>
        <v>0</v>
      </c>
      <c r="AE904" t="s">
        <v>41</v>
      </c>
      <c r="AF904">
        <f>IF(AE904="website",1,0)</f>
        <v>1</v>
      </c>
    </row>
    <row r="905" spans="1:32">
      <c r="A905" t="s">
        <v>1545</v>
      </c>
      <c r="B905" t="s">
        <v>33</v>
      </c>
      <c r="C905" s="3">
        <f t="shared" si="266"/>
        <v>0</v>
      </c>
      <c r="D905">
        <f t="shared" si="267"/>
        <v>1</v>
      </c>
      <c r="E905" t="s">
        <v>652</v>
      </c>
      <c r="F905" t="s">
        <v>645</v>
      </c>
      <c r="G905" s="1">
        <v>30749</v>
      </c>
      <c r="H905" s="2">
        <f t="shared" ca="1" si="268"/>
        <v>42</v>
      </c>
      <c r="I905" s="2">
        <f t="shared" ca="1" si="269"/>
        <v>0.24285714285714285</v>
      </c>
      <c r="J905" t="s">
        <v>36</v>
      </c>
      <c r="K905" t="s">
        <v>172</v>
      </c>
      <c r="L905">
        <f t="shared" si="270"/>
        <v>0</v>
      </c>
      <c r="M905">
        <f t="shared" si="271"/>
        <v>0</v>
      </c>
      <c r="N905">
        <f t="shared" si="272"/>
        <v>0</v>
      </c>
      <c r="O905" t="s">
        <v>355</v>
      </c>
      <c r="P905">
        <f t="shared" si="273"/>
        <v>0</v>
      </c>
      <c r="Q905">
        <f t="shared" si="274"/>
        <v>0</v>
      </c>
      <c r="R905">
        <f t="shared" si="275"/>
        <v>0</v>
      </c>
      <c r="S905">
        <f t="shared" si="276"/>
        <v>0</v>
      </c>
      <c r="T905">
        <f t="shared" si="277"/>
        <v>0</v>
      </c>
      <c r="U905">
        <f t="shared" si="278"/>
        <v>0</v>
      </c>
      <c r="V905">
        <f t="shared" si="279"/>
        <v>0</v>
      </c>
      <c r="W905" t="s">
        <v>39</v>
      </c>
      <c r="X905">
        <f t="shared" si="280"/>
        <v>1</v>
      </c>
      <c r="Y905">
        <f t="shared" si="281"/>
        <v>0</v>
      </c>
      <c r="Z905">
        <v>1</v>
      </c>
      <c r="AA905">
        <f t="shared" si="282"/>
        <v>0</v>
      </c>
      <c r="AB905" t="s">
        <v>40</v>
      </c>
      <c r="AC905">
        <f t="shared" si="283"/>
        <v>0</v>
      </c>
      <c r="AD905">
        <f t="shared" si="284"/>
        <v>0</v>
      </c>
      <c r="AE905" t="s">
        <v>41</v>
      </c>
      <c r="AF905">
        <f>IF(AE905="website",1,0)</f>
        <v>1</v>
      </c>
    </row>
    <row r="906" spans="1:32">
      <c r="A906" t="s">
        <v>1546</v>
      </c>
      <c r="B906" t="s">
        <v>33</v>
      </c>
      <c r="C906" s="3">
        <f t="shared" si="266"/>
        <v>0</v>
      </c>
      <c r="D906">
        <f t="shared" si="267"/>
        <v>1</v>
      </c>
      <c r="E906" t="s">
        <v>766</v>
      </c>
      <c r="F906" t="s">
        <v>720</v>
      </c>
      <c r="G906" s="1">
        <v>34105</v>
      </c>
      <c r="H906" s="2">
        <f t="shared" ca="1" si="268"/>
        <v>33</v>
      </c>
      <c r="I906" s="2">
        <f t="shared" ca="1" si="269"/>
        <v>0.11428571428571428</v>
      </c>
      <c r="J906" t="s">
        <v>36</v>
      </c>
      <c r="K906" t="s">
        <v>37</v>
      </c>
      <c r="L906">
        <f t="shared" si="270"/>
        <v>1</v>
      </c>
      <c r="M906">
        <f t="shared" si="271"/>
        <v>0</v>
      </c>
      <c r="N906">
        <f t="shared" si="272"/>
        <v>0</v>
      </c>
      <c r="O906" t="s">
        <v>305</v>
      </c>
      <c r="P906">
        <f t="shared" si="273"/>
        <v>0</v>
      </c>
      <c r="Q906">
        <f t="shared" si="274"/>
        <v>0</v>
      </c>
      <c r="R906">
        <f t="shared" si="275"/>
        <v>0</v>
      </c>
      <c r="S906">
        <f t="shared" si="276"/>
        <v>0</v>
      </c>
      <c r="T906">
        <f t="shared" si="277"/>
        <v>0</v>
      </c>
      <c r="U906">
        <f t="shared" si="278"/>
        <v>0</v>
      </c>
      <c r="V906">
        <f t="shared" si="279"/>
        <v>0</v>
      </c>
      <c r="W906" t="s">
        <v>39</v>
      </c>
      <c r="X906">
        <f t="shared" si="280"/>
        <v>1</v>
      </c>
      <c r="Y906">
        <f t="shared" si="281"/>
        <v>0</v>
      </c>
      <c r="Z906">
        <v>5</v>
      </c>
      <c r="AA906">
        <f t="shared" si="282"/>
        <v>1</v>
      </c>
      <c r="AB906" t="s">
        <v>40</v>
      </c>
      <c r="AC906">
        <f t="shared" si="283"/>
        <v>0</v>
      </c>
      <c r="AD906">
        <f t="shared" si="284"/>
        <v>0</v>
      </c>
      <c r="AE906" t="s">
        <v>41</v>
      </c>
      <c r="AF906">
        <f>IF(AE906="website",1,0)</f>
        <v>1</v>
      </c>
    </row>
    <row r="907" spans="1:32">
      <c r="A907" t="s">
        <v>1547</v>
      </c>
      <c r="B907" t="s">
        <v>33</v>
      </c>
      <c r="C907" s="3">
        <f t="shared" si="266"/>
        <v>0</v>
      </c>
      <c r="D907">
        <f t="shared" si="267"/>
        <v>1</v>
      </c>
      <c r="E907" t="s">
        <v>332</v>
      </c>
      <c r="F907" t="s">
        <v>728</v>
      </c>
      <c r="G907" s="1">
        <v>25428</v>
      </c>
      <c r="H907" s="2">
        <f t="shared" ca="1" si="268"/>
        <v>57</v>
      </c>
      <c r="I907" s="2">
        <f t="shared" ca="1" si="269"/>
        <v>0.45714285714285713</v>
      </c>
      <c r="J907" t="s">
        <v>36</v>
      </c>
      <c r="K907" t="s">
        <v>37</v>
      </c>
      <c r="L907">
        <f t="shared" si="270"/>
        <v>1</v>
      </c>
      <c r="M907">
        <f t="shared" si="271"/>
        <v>0</v>
      </c>
      <c r="N907">
        <f t="shared" si="272"/>
        <v>0</v>
      </c>
      <c r="O907" t="s">
        <v>38</v>
      </c>
      <c r="P907">
        <f t="shared" si="273"/>
        <v>1</v>
      </c>
      <c r="Q907">
        <f t="shared" si="274"/>
        <v>0</v>
      </c>
      <c r="R907">
        <f t="shared" si="275"/>
        <v>0</v>
      </c>
      <c r="S907">
        <f t="shared" si="276"/>
        <v>0</v>
      </c>
      <c r="T907">
        <f t="shared" si="277"/>
        <v>0</v>
      </c>
      <c r="U907">
        <f t="shared" si="278"/>
        <v>0</v>
      </c>
      <c r="V907">
        <f t="shared" si="279"/>
        <v>0</v>
      </c>
      <c r="W907" t="s">
        <v>58</v>
      </c>
      <c r="X907">
        <f t="shared" si="280"/>
        <v>0</v>
      </c>
      <c r="Y907">
        <f t="shared" si="281"/>
        <v>1</v>
      </c>
      <c r="Z907">
        <v>5</v>
      </c>
      <c r="AA907">
        <f t="shared" si="282"/>
        <v>1</v>
      </c>
      <c r="AB907" t="s">
        <v>46</v>
      </c>
      <c r="AC907">
        <f t="shared" si="283"/>
        <v>0</v>
      </c>
      <c r="AD907">
        <f t="shared" si="284"/>
        <v>0</v>
      </c>
      <c r="AE907" t="s">
        <v>41</v>
      </c>
      <c r="AF907">
        <f>IF(AE907="website",1,0)</f>
        <v>1</v>
      </c>
    </row>
    <row r="908" spans="1:32">
      <c r="A908" t="s">
        <v>1548</v>
      </c>
      <c r="B908" t="s">
        <v>33</v>
      </c>
      <c r="C908" s="3">
        <f t="shared" si="266"/>
        <v>0</v>
      </c>
      <c r="D908">
        <f t="shared" si="267"/>
        <v>1</v>
      </c>
      <c r="E908" t="s">
        <v>784</v>
      </c>
      <c r="F908" t="s">
        <v>941</v>
      </c>
      <c r="G908" s="1">
        <v>26982</v>
      </c>
      <c r="H908" s="2">
        <f t="shared" ca="1" si="268"/>
        <v>52</v>
      </c>
      <c r="I908" s="2">
        <f t="shared" ca="1" si="269"/>
        <v>0.38571428571428573</v>
      </c>
      <c r="J908" t="s">
        <v>36</v>
      </c>
      <c r="K908" t="s">
        <v>37</v>
      </c>
      <c r="L908">
        <f t="shared" si="270"/>
        <v>1</v>
      </c>
      <c r="M908">
        <f t="shared" si="271"/>
        <v>0</v>
      </c>
      <c r="N908">
        <f t="shared" si="272"/>
        <v>0</v>
      </c>
      <c r="O908" t="s">
        <v>38</v>
      </c>
      <c r="P908">
        <f t="shared" si="273"/>
        <v>1</v>
      </c>
      <c r="Q908">
        <f t="shared" si="274"/>
        <v>0</v>
      </c>
      <c r="R908">
        <f t="shared" si="275"/>
        <v>0</v>
      </c>
      <c r="S908">
        <f t="shared" si="276"/>
        <v>0</v>
      </c>
      <c r="T908">
        <f t="shared" si="277"/>
        <v>0</v>
      </c>
      <c r="U908">
        <f t="shared" si="278"/>
        <v>0</v>
      </c>
      <c r="V908">
        <f t="shared" si="279"/>
        <v>0</v>
      </c>
      <c r="W908" t="s">
        <v>39</v>
      </c>
      <c r="X908">
        <f t="shared" si="280"/>
        <v>1</v>
      </c>
      <c r="Y908">
        <f t="shared" si="281"/>
        <v>0</v>
      </c>
      <c r="Z908">
        <v>3</v>
      </c>
      <c r="AA908">
        <f t="shared" si="282"/>
        <v>0.5</v>
      </c>
      <c r="AB908" t="s">
        <v>46</v>
      </c>
      <c r="AC908">
        <f t="shared" si="283"/>
        <v>1</v>
      </c>
      <c r="AD908">
        <f t="shared" si="284"/>
        <v>0</v>
      </c>
      <c r="AE908" t="s">
        <v>50</v>
      </c>
      <c r="AF908">
        <f>IF(AE908="website",1,0)</f>
        <v>0</v>
      </c>
    </row>
    <row r="909" spans="1:32">
      <c r="A909" t="s">
        <v>1549</v>
      </c>
      <c r="B909" t="s">
        <v>33</v>
      </c>
      <c r="C909" s="3">
        <f t="shared" si="266"/>
        <v>0</v>
      </c>
      <c r="D909">
        <f t="shared" si="267"/>
        <v>1</v>
      </c>
      <c r="E909" t="s">
        <v>744</v>
      </c>
      <c r="F909" t="s">
        <v>607</v>
      </c>
      <c r="G909" s="1">
        <v>22237</v>
      </c>
      <c r="H909" s="2">
        <f t="shared" ca="1" si="268"/>
        <v>65</v>
      </c>
      <c r="I909" s="2">
        <f t="shared" ca="1" si="269"/>
        <v>0.5714285714285714</v>
      </c>
      <c r="J909" t="s">
        <v>45</v>
      </c>
      <c r="K909" t="s">
        <v>37</v>
      </c>
      <c r="L909">
        <f t="shared" si="270"/>
        <v>1</v>
      </c>
      <c r="M909">
        <f t="shared" si="271"/>
        <v>0</v>
      </c>
      <c r="N909">
        <f t="shared" si="272"/>
        <v>0</v>
      </c>
      <c r="O909" t="s">
        <v>38</v>
      </c>
      <c r="P909">
        <f t="shared" si="273"/>
        <v>1</v>
      </c>
      <c r="Q909">
        <f t="shared" si="274"/>
        <v>0</v>
      </c>
      <c r="R909">
        <f t="shared" si="275"/>
        <v>0</v>
      </c>
      <c r="S909">
        <f t="shared" si="276"/>
        <v>0</v>
      </c>
      <c r="T909">
        <f t="shared" si="277"/>
        <v>0</v>
      </c>
      <c r="U909">
        <f t="shared" si="278"/>
        <v>0</v>
      </c>
      <c r="V909">
        <f t="shared" si="279"/>
        <v>0</v>
      </c>
      <c r="W909" t="s">
        <v>39</v>
      </c>
      <c r="X909">
        <f t="shared" si="280"/>
        <v>1</v>
      </c>
      <c r="Y909">
        <f t="shared" si="281"/>
        <v>0</v>
      </c>
      <c r="Z909">
        <v>4</v>
      </c>
      <c r="AA909">
        <f t="shared" si="282"/>
        <v>0.75</v>
      </c>
      <c r="AB909" t="s">
        <v>40</v>
      </c>
      <c r="AC909">
        <f t="shared" si="283"/>
        <v>1</v>
      </c>
      <c r="AD909">
        <f t="shared" si="284"/>
        <v>0</v>
      </c>
      <c r="AE909" t="s">
        <v>50</v>
      </c>
      <c r="AF909">
        <f>IF(AE909="website",1,0)</f>
        <v>0</v>
      </c>
    </row>
    <row r="910" spans="1:32">
      <c r="A910" t="s">
        <v>1550</v>
      </c>
      <c r="B910" t="s">
        <v>33</v>
      </c>
      <c r="C910" s="3">
        <f t="shared" si="266"/>
        <v>0</v>
      </c>
      <c r="D910">
        <f t="shared" si="267"/>
        <v>1</v>
      </c>
      <c r="E910" t="s">
        <v>575</v>
      </c>
      <c r="F910" t="s">
        <v>430</v>
      </c>
      <c r="G910" s="1">
        <v>24663</v>
      </c>
      <c r="H910" s="2">
        <f t="shared" ca="1" si="268"/>
        <v>59</v>
      </c>
      <c r="I910" s="2">
        <f t="shared" ca="1" si="269"/>
        <v>0.48571428571428571</v>
      </c>
      <c r="J910" t="s">
        <v>45</v>
      </c>
      <c r="K910" t="s">
        <v>37</v>
      </c>
      <c r="L910">
        <f t="shared" si="270"/>
        <v>1</v>
      </c>
      <c r="M910">
        <f t="shared" si="271"/>
        <v>0</v>
      </c>
      <c r="N910">
        <f t="shared" si="272"/>
        <v>0</v>
      </c>
      <c r="O910" t="s">
        <v>38</v>
      </c>
      <c r="P910">
        <f t="shared" si="273"/>
        <v>1</v>
      </c>
      <c r="Q910">
        <f t="shared" si="274"/>
        <v>0</v>
      </c>
      <c r="R910">
        <f t="shared" si="275"/>
        <v>0</v>
      </c>
      <c r="S910">
        <f t="shared" si="276"/>
        <v>0</v>
      </c>
      <c r="T910">
        <f t="shared" si="277"/>
        <v>0</v>
      </c>
      <c r="U910">
        <f t="shared" si="278"/>
        <v>0</v>
      </c>
      <c r="V910">
        <f t="shared" si="279"/>
        <v>0</v>
      </c>
      <c r="W910" t="s">
        <v>58</v>
      </c>
      <c r="X910">
        <f t="shared" si="280"/>
        <v>0</v>
      </c>
      <c r="Y910">
        <f t="shared" si="281"/>
        <v>1</v>
      </c>
      <c r="Z910">
        <v>1</v>
      </c>
      <c r="AA910">
        <f t="shared" si="282"/>
        <v>0</v>
      </c>
      <c r="AB910" t="s">
        <v>40</v>
      </c>
      <c r="AC910">
        <f t="shared" si="283"/>
        <v>1</v>
      </c>
      <c r="AD910">
        <f t="shared" si="284"/>
        <v>0</v>
      </c>
      <c r="AE910" t="s">
        <v>50</v>
      </c>
      <c r="AF910">
        <f>IF(AE910="website",1,0)</f>
        <v>0</v>
      </c>
    </row>
    <row r="911" spans="1:32">
      <c r="A911" t="s">
        <v>1551</v>
      </c>
      <c r="B911" t="s">
        <v>33</v>
      </c>
      <c r="C911" s="3">
        <f t="shared" si="266"/>
        <v>0</v>
      </c>
      <c r="D911">
        <f t="shared" si="267"/>
        <v>1</v>
      </c>
      <c r="E911" t="s">
        <v>1061</v>
      </c>
      <c r="F911" t="s">
        <v>911</v>
      </c>
      <c r="G911" s="1">
        <v>26261</v>
      </c>
      <c r="H911" s="2">
        <f t="shared" ca="1" si="268"/>
        <v>54</v>
      </c>
      <c r="I911" s="2">
        <f t="shared" ca="1" si="269"/>
        <v>0.41428571428571431</v>
      </c>
      <c r="J911" t="s">
        <v>36</v>
      </c>
      <c r="K911" t="s">
        <v>37</v>
      </c>
      <c r="L911">
        <f t="shared" si="270"/>
        <v>1</v>
      </c>
      <c r="M911">
        <f t="shared" si="271"/>
        <v>0</v>
      </c>
      <c r="N911">
        <f t="shared" si="272"/>
        <v>0</v>
      </c>
      <c r="O911" t="s">
        <v>592</v>
      </c>
      <c r="P911">
        <f t="shared" si="273"/>
        <v>0</v>
      </c>
      <c r="Q911">
        <f t="shared" si="274"/>
        <v>0</v>
      </c>
      <c r="R911">
        <f t="shared" si="275"/>
        <v>0</v>
      </c>
      <c r="S911">
        <f t="shared" si="276"/>
        <v>0</v>
      </c>
      <c r="T911">
        <f t="shared" si="277"/>
        <v>0</v>
      </c>
      <c r="U911">
        <f t="shared" si="278"/>
        <v>0</v>
      </c>
      <c r="V911">
        <f t="shared" si="279"/>
        <v>0</v>
      </c>
      <c r="W911" t="s">
        <v>39</v>
      </c>
      <c r="X911">
        <f t="shared" si="280"/>
        <v>1</v>
      </c>
      <c r="Y911">
        <f t="shared" si="281"/>
        <v>0</v>
      </c>
      <c r="Z911">
        <v>3</v>
      </c>
      <c r="AA911">
        <f t="shared" si="282"/>
        <v>0.5</v>
      </c>
      <c r="AB911" t="s">
        <v>40</v>
      </c>
      <c r="AC911">
        <f t="shared" si="283"/>
        <v>1</v>
      </c>
      <c r="AD911">
        <f t="shared" si="284"/>
        <v>0</v>
      </c>
      <c r="AE911" t="s">
        <v>50</v>
      </c>
      <c r="AF911">
        <f>IF(AE911="website",1,0)</f>
        <v>0</v>
      </c>
    </row>
    <row r="912" spans="1:32">
      <c r="A912" t="s">
        <v>1552</v>
      </c>
      <c r="B912" t="s">
        <v>33</v>
      </c>
      <c r="C912" s="3">
        <f t="shared" si="266"/>
        <v>0</v>
      </c>
      <c r="D912">
        <f t="shared" si="267"/>
        <v>1</v>
      </c>
      <c r="E912" t="s">
        <v>1307</v>
      </c>
      <c r="F912" t="s">
        <v>738</v>
      </c>
      <c r="G912" s="1">
        <v>32594</v>
      </c>
      <c r="H912" s="2">
        <f t="shared" ca="1" si="268"/>
        <v>37</v>
      </c>
      <c r="I912" s="2">
        <f t="shared" ca="1" si="269"/>
        <v>0.17142857142857143</v>
      </c>
      <c r="J912" t="s">
        <v>45</v>
      </c>
      <c r="K912" t="s">
        <v>37</v>
      </c>
      <c r="L912">
        <f t="shared" si="270"/>
        <v>1</v>
      </c>
      <c r="M912">
        <f t="shared" si="271"/>
        <v>0</v>
      </c>
      <c r="N912">
        <f t="shared" si="272"/>
        <v>0</v>
      </c>
      <c r="O912" t="s">
        <v>38</v>
      </c>
      <c r="P912">
        <f t="shared" si="273"/>
        <v>1</v>
      </c>
      <c r="Q912">
        <f t="shared" si="274"/>
        <v>0</v>
      </c>
      <c r="R912">
        <f t="shared" si="275"/>
        <v>0</v>
      </c>
      <c r="S912">
        <f t="shared" si="276"/>
        <v>0</v>
      </c>
      <c r="T912">
        <f t="shared" si="277"/>
        <v>0</v>
      </c>
      <c r="U912">
        <f t="shared" si="278"/>
        <v>0</v>
      </c>
      <c r="V912">
        <f t="shared" si="279"/>
        <v>0</v>
      </c>
      <c r="W912" t="s">
        <v>39</v>
      </c>
      <c r="X912">
        <f t="shared" si="280"/>
        <v>1</v>
      </c>
      <c r="Y912">
        <f t="shared" si="281"/>
        <v>0</v>
      </c>
      <c r="Z912">
        <v>4</v>
      </c>
      <c r="AA912">
        <f t="shared" si="282"/>
        <v>0.75</v>
      </c>
      <c r="AB912" t="s">
        <v>46</v>
      </c>
      <c r="AC912">
        <f t="shared" si="283"/>
        <v>0</v>
      </c>
      <c r="AD912">
        <f t="shared" si="284"/>
        <v>0</v>
      </c>
      <c r="AE912" t="s">
        <v>41</v>
      </c>
      <c r="AF912">
        <f>IF(AE912="website",1,0)</f>
        <v>1</v>
      </c>
    </row>
    <row r="913" spans="1:32">
      <c r="A913" t="s">
        <v>1553</v>
      </c>
      <c r="B913" t="s">
        <v>33</v>
      </c>
      <c r="C913" s="3">
        <f t="shared" si="266"/>
        <v>0</v>
      </c>
      <c r="D913">
        <f t="shared" si="267"/>
        <v>1</v>
      </c>
      <c r="E913" t="s">
        <v>1554</v>
      </c>
      <c r="F913" t="s">
        <v>757</v>
      </c>
      <c r="G913" s="1">
        <v>18029</v>
      </c>
      <c r="H913" s="2">
        <f t="shared" ca="1" si="268"/>
        <v>77</v>
      </c>
      <c r="I913" s="2">
        <f t="shared" ca="1" si="269"/>
        <v>0.74285714285714288</v>
      </c>
      <c r="J913" t="s">
        <v>36</v>
      </c>
      <c r="K913" t="s">
        <v>37</v>
      </c>
      <c r="L913">
        <f t="shared" si="270"/>
        <v>1</v>
      </c>
      <c r="M913">
        <f t="shared" si="271"/>
        <v>0</v>
      </c>
      <c r="N913">
        <f t="shared" si="272"/>
        <v>0</v>
      </c>
      <c r="O913" t="s">
        <v>38</v>
      </c>
      <c r="P913">
        <f t="shared" si="273"/>
        <v>1</v>
      </c>
      <c r="Q913">
        <f t="shared" si="274"/>
        <v>0</v>
      </c>
      <c r="R913">
        <f t="shared" si="275"/>
        <v>0</v>
      </c>
      <c r="S913">
        <f t="shared" si="276"/>
        <v>0</v>
      </c>
      <c r="T913">
        <f t="shared" si="277"/>
        <v>0</v>
      </c>
      <c r="U913">
        <f t="shared" si="278"/>
        <v>0</v>
      </c>
      <c r="V913">
        <f t="shared" si="279"/>
        <v>0</v>
      </c>
      <c r="W913" t="s">
        <v>39</v>
      </c>
      <c r="X913">
        <f t="shared" si="280"/>
        <v>1</v>
      </c>
      <c r="Y913">
        <f t="shared" si="281"/>
        <v>0</v>
      </c>
      <c r="Z913">
        <v>1</v>
      </c>
      <c r="AA913">
        <f t="shared" si="282"/>
        <v>0</v>
      </c>
      <c r="AB913" t="s">
        <v>46</v>
      </c>
      <c r="AC913">
        <f t="shared" si="283"/>
        <v>1</v>
      </c>
      <c r="AD913">
        <f t="shared" si="284"/>
        <v>0</v>
      </c>
      <c r="AE913" t="s">
        <v>50</v>
      </c>
      <c r="AF913">
        <f>IF(AE913="website",1,0)</f>
        <v>0</v>
      </c>
    </row>
    <row r="914" spans="1:32">
      <c r="A914" t="s">
        <v>1555</v>
      </c>
      <c r="B914" t="s">
        <v>33</v>
      </c>
      <c r="C914" s="3">
        <f t="shared" si="266"/>
        <v>0</v>
      </c>
      <c r="D914">
        <f t="shared" si="267"/>
        <v>1</v>
      </c>
      <c r="E914" t="s">
        <v>694</v>
      </c>
      <c r="F914" t="s">
        <v>513</v>
      </c>
      <c r="G914" s="1">
        <v>36173</v>
      </c>
      <c r="H914" s="2">
        <f t="shared" ca="1" si="268"/>
        <v>27</v>
      </c>
      <c r="I914" s="2">
        <f t="shared" ca="1" si="269"/>
        <v>2.8571428571428571E-2</v>
      </c>
      <c r="J914" t="s">
        <v>45</v>
      </c>
      <c r="K914" t="s">
        <v>37</v>
      </c>
      <c r="L914">
        <f t="shared" si="270"/>
        <v>1</v>
      </c>
      <c r="M914">
        <f t="shared" si="271"/>
        <v>0</v>
      </c>
      <c r="N914">
        <f t="shared" si="272"/>
        <v>0</v>
      </c>
      <c r="O914" t="s">
        <v>38</v>
      </c>
      <c r="P914">
        <f t="shared" si="273"/>
        <v>1</v>
      </c>
      <c r="Q914">
        <f t="shared" si="274"/>
        <v>0</v>
      </c>
      <c r="R914">
        <f t="shared" si="275"/>
        <v>0</v>
      </c>
      <c r="S914">
        <f t="shared" si="276"/>
        <v>0</v>
      </c>
      <c r="T914">
        <f t="shared" si="277"/>
        <v>0</v>
      </c>
      <c r="U914">
        <f t="shared" si="278"/>
        <v>0</v>
      </c>
      <c r="V914">
        <f t="shared" si="279"/>
        <v>0</v>
      </c>
      <c r="W914" t="s">
        <v>39</v>
      </c>
      <c r="X914">
        <f t="shared" si="280"/>
        <v>1</v>
      </c>
      <c r="Y914">
        <f t="shared" si="281"/>
        <v>0</v>
      </c>
      <c r="Z914">
        <v>4</v>
      </c>
      <c r="AA914">
        <f t="shared" si="282"/>
        <v>0.75</v>
      </c>
      <c r="AB914" t="s">
        <v>46</v>
      </c>
      <c r="AC914">
        <f t="shared" si="283"/>
        <v>1</v>
      </c>
      <c r="AD914">
        <f t="shared" si="284"/>
        <v>0</v>
      </c>
      <c r="AE914" t="s">
        <v>50</v>
      </c>
      <c r="AF914">
        <f>IF(AE914="website",1,0)</f>
        <v>0</v>
      </c>
    </row>
    <row r="915" spans="1:32">
      <c r="A915" t="s">
        <v>1556</v>
      </c>
      <c r="B915" t="s">
        <v>33</v>
      </c>
      <c r="C915" s="3">
        <f t="shared" si="266"/>
        <v>0</v>
      </c>
      <c r="D915">
        <f t="shared" si="267"/>
        <v>1</v>
      </c>
      <c r="E915" t="s">
        <v>259</v>
      </c>
      <c r="F915" t="s">
        <v>757</v>
      </c>
      <c r="G915" s="1">
        <v>17818</v>
      </c>
      <c r="H915" s="2">
        <f t="shared" ca="1" si="268"/>
        <v>77</v>
      </c>
      <c r="I915" s="2">
        <f t="shared" ca="1" si="269"/>
        <v>0.74285714285714288</v>
      </c>
      <c r="J915" t="s">
        <v>36</v>
      </c>
      <c r="K915" t="s">
        <v>626</v>
      </c>
      <c r="L915">
        <f t="shared" si="270"/>
        <v>0</v>
      </c>
      <c r="M915">
        <f t="shared" si="271"/>
        <v>0</v>
      </c>
      <c r="N915">
        <f t="shared" si="272"/>
        <v>0</v>
      </c>
      <c r="O915" t="s">
        <v>660</v>
      </c>
      <c r="P915">
        <f t="shared" si="273"/>
        <v>0</v>
      </c>
      <c r="Q915">
        <f t="shared" si="274"/>
        <v>0</v>
      </c>
      <c r="R915">
        <f t="shared" si="275"/>
        <v>0</v>
      </c>
      <c r="S915">
        <f t="shared" si="276"/>
        <v>0</v>
      </c>
      <c r="T915">
        <f t="shared" si="277"/>
        <v>0</v>
      </c>
      <c r="U915">
        <f t="shared" si="278"/>
        <v>0</v>
      </c>
      <c r="V915">
        <f t="shared" si="279"/>
        <v>0</v>
      </c>
      <c r="W915" t="s">
        <v>58</v>
      </c>
      <c r="X915">
        <f t="shared" si="280"/>
        <v>0</v>
      </c>
      <c r="Y915">
        <f t="shared" si="281"/>
        <v>1</v>
      </c>
      <c r="Z915">
        <v>4</v>
      </c>
      <c r="AA915">
        <f t="shared" si="282"/>
        <v>0.75</v>
      </c>
      <c r="AB915" t="s">
        <v>46</v>
      </c>
      <c r="AC915">
        <f t="shared" si="283"/>
        <v>0</v>
      </c>
      <c r="AD915">
        <f t="shared" si="284"/>
        <v>0</v>
      </c>
      <c r="AE915" t="s">
        <v>41</v>
      </c>
      <c r="AF915">
        <f>IF(AE915="website",1,0)</f>
        <v>1</v>
      </c>
    </row>
    <row r="916" spans="1:32">
      <c r="A916" t="s">
        <v>1557</v>
      </c>
      <c r="B916" t="s">
        <v>33</v>
      </c>
      <c r="C916" s="3">
        <f t="shared" si="266"/>
        <v>0</v>
      </c>
      <c r="D916">
        <f t="shared" si="267"/>
        <v>1</v>
      </c>
      <c r="E916" t="s">
        <v>708</v>
      </c>
      <c r="F916" t="s">
        <v>573</v>
      </c>
      <c r="G916" s="1">
        <v>17555</v>
      </c>
      <c r="H916" s="2">
        <f t="shared" ca="1" si="268"/>
        <v>78</v>
      </c>
      <c r="I916" s="2">
        <f t="shared" ca="1" si="269"/>
        <v>0.75714285714285712</v>
      </c>
      <c r="J916" t="s">
        <v>45</v>
      </c>
      <c r="K916" t="s">
        <v>37</v>
      </c>
      <c r="L916">
        <f t="shared" si="270"/>
        <v>1</v>
      </c>
      <c r="M916">
        <f t="shared" si="271"/>
        <v>0</v>
      </c>
      <c r="N916">
        <f t="shared" si="272"/>
        <v>0</v>
      </c>
      <c r="O916" t="s">
        <v>600</v>
      </c>
      <c r="P916">
        <f t="shared" si="273"/>
        <v>0</v>
      </c>
      <c r="Q916">
        <f t="shared" si="274"/>
        <v>0</v>
      </c>
      <c r="R916">
        <f t="shared" si="275"/>
        <v>0</v>
      </c>
      <c r="S916">
        <f t="shared" si="276"/>
        <v>0</v>
      </c>
      <c r="T916">
        <f t="shared" si="277"/>
        <v>0</v>
      </c>
      <c r="U916">
        <f t="shared" si="278"/>
        <v>0</v>
      </c>
      <c r="V916">
        <f t="shared" si="279"/>
        <v>0</v>
      </c>
      <c r="W916" t="s">
        <v>39</v>
      </c>
      <c r="X916">
        <f t="shared" si="280"/>
        <v>1</v>
      </c>
      <c r="Y916">
        <f t="shared" si="281"/>
        <v>0</v>
      </c>
      <c r="Z916">
        <v>2</v>
      </c>
      <c r="AA916">
        <f t="shared" si="282"/>
        <v>0.25</v>
      </c>
      <c r="AB916" t="s">
        <v>46</v>
      </c>
      <c r="AC916">
        <f t="shared" si="283"/>
        <v>1</v>
      </c>
      <c r="AD916">
        <f t="shared" si="284"/>
        <v>0</v>
      </c>
      <c r="AE916" t="s">
        <v>50</v>
      </c>
      <c r="AF916">
        <f>IF(AE916="website",1,0)</f>
        <v>0</v>
      </c>
    </row>
    <row r="917" spans="1:32">
      <c r="A917" t="s">
        <v>1558</v>
      </c>
      <c r="B917" t="s">
        <v>33</v>
      </c>
      <c r="C917" s="3">
        <f t="shared" si="266"/>
        <v>0</v>
      </c>
      <c r="D917">
        <f t="shared" si="267"/>
        <v>1</v>
      </c>
      <c r="E917" t="s">
        <v>694</v>
      </c>
      <c r="F917" t="s">
        <v>513</v>
      </c>
      <c r="G917" s="1">
        <v>32183</v>
      </c>
      <c r="H917" s="2">
        <f t="shared" ca="1" si="268"/>
        <v>38</v>
      </c>
      <c r="I917" s="2">
        <f t="shared" ca="1" si="269"/>
        <v>0.18571428571428572</v>
      </c>
      <c r="J917" t="s">
        <v>45</v>
      </c>
      <c r="K917" t="s">
        <v>172</v>
      </c>
      <c r="L917">
        <f t="shared" si="270"/>
        <v>0</v>
      </c>
      <c r="M917">
        <f t="shared" si="271"/>
        <v>0</v>
      </c>
      <c r="N917">
        <f t="shared" si="272"/>
        <v>0</v>
      </c>
      <c r="O917" t="s">
        <v>1559</v>
      </c>
      <c r="P917">
        <f t="shared" si="273"/>
        <v>0</v>
      </c>
      <c r="Q917">
        <f t="shared" si="274"/>
        <v>0</v>
      </c>
      <c r="R917">
        <f t="shared" si="275"/>
        <v>0</v>
      </c>
      <c r="S917">
        <f t="shared" si="276"/>
        <v>0</v>
      </c>
      <c r="T917">
        <f t="shared" si="277"/>
        <v>0</v>
      </c>
      <c r="U917">
        <f t="shared" si="278"/>
        <v>0</v>
      </c>
      <c r="V917">
        <f t="shared" si="279"/>
        <v>0</v>
      </c>
      <c r="W917" t="s">
        <v>39</v>
      </c>
      <c r="X917">
        <f t="shared" si="280"/>
        <v>1</v>
      </c>
      <c r="Y917">
        <f t="shared" si="281"/>
        <v>0</v>
      </c>
      <c r="Z917">
        <v>2</v>
      </c>
      <c r="AA917">
        <f t="shared" si="282"/>
        <v>0.25</v>
      </c>
      <c r="AB917" t="s">
        <v>46</v>
      </c>
      <c r="AC917">
        <f t="shared" si="283"/>
        <v>0</v>
      </c>
      <c r="AD917">
        <f t="shared" si="284"/>
        <v>0</v>
      </c>
      <c r="AE917" t="s">
        <v>41</v>
      </c>
      <c r="AF917">
        <f>IF(AE917="website",1,0)</f>
        <v>1</v>
      </c>
    </row>
    <row r="918" spans="1:32">
      <c r="A918" t="s">
        <v>1560</v>
      </c>
      <c r="B918" t="s">
        <v>33</v>
      </c>
      <c r="C918" s="3">
        <f t="shared" si="266"/>
        <v>0</v>
      </c>
      <c r="D918">
        <f t="shared" si="267"/>
        <v>1</v>
      </c>
      <c r="E918" t="s">
        <v>719</v>
      </c>
      <c r="F918" t="s">
        <v>716</v>
      </c>
      <c r="G918" s="1">
        <v>25416</v>
      </c>
      <c r="H918" s="2">
        <f t="shared" ca="1" si="268"/>
        <v>57</v>
      </c>
      <c r="I918" s="2">
        <f t="shared" ca="1" si="269"/>
        <v>0.45714285714285713</v>
      </c>
      <c r="J918" t="s">
        <v>45</v>
      </c>
      <c r="K918" t="s">
        <v>37</v>
      </c>
      <c r="L918">
        <f t="shared" si="270"/>
        <v>1</v>
      </c>
      <c r="M918">
        <f t="shared" si="271"/>
        <v>0</v>
      </c>
      <c r="N918">
        <f t="shared" si="272"/>
        <v>0</v>
      </c>
      <c r="O918" t="s">
        <v>97</v>
      </c>
      <c r="P918">
        <f t="shared" si="273"/>
        <v>0</v>
      </c>
      <c r="Q918">
        <f t="shared" si="274"/>
        <v>0</v>
      </c>
      <c r="R918">
        <f t="shared" si="275"/>
        <v>0</v>
      </c>
      <c r="S918">
        <f t="shared" si="276"/>
        <v>0</v>
      </c>
      <c r="T918">
        <f t="shared" si="277"/>
        <v>1</v>
      </c>
      <c r="U918">
        <f t="shared" si="278"/>
        <v>0</v>
      </c>
      <c r="V918">
        <f t="shared" si="279"/>
        <v>0</v>
      </c>
      <c r="W918" t="s">
        <v>39</v>
      </c>
      <c r="X918">
        <f t="shared" si="280"/>
        <v>1</v>
      </c>
      <c r="Y918">
        <f t="shared" si="281"/>
        <v>0</v>
      </c>
      <c r="Z918">
        <v>2</v>
      </c>
      <c r="AA918">
        <f t="shared" si="282"/>
        <v>0.25</v>
      </c>
      <c r="AB918" t="s">
        <v>40</v>
      </c>
      <c r="AC918">
        <f t="shared" si="283"/>
        <v>1</v>
      </c>
      <c r="AD918">
        <f t="shared" si="284"/>
        <v>0</v>
      </c>
      <c r="AE918" t="s">
        <v>50</v>
      </c>
      <c r="AF918">
        <f>IF(AE918="website",1,0)</f>
        <v>0</v>
      </c>
    </row>
    <row r="919" spans="1:32">
      <c r="A919" t="s">
        <v>1561</v>
      </c>
      <c r="B919" t="s">
        <v>33</v>
      </c>
      <c r="C919" s="3">
        <f t="shared" si="266"/>
        <v>0</v>
      </c>
      <c r="D919">
        <f t="shared" si="267"/>
        <v>1</v>
      </c>
      <c r="E919" t="s">
        <v>811</v>
      </c>
      <c r="F919" t="s">
        <v>876</v>
      </c>
      <c r="G919" s="1">
        <v>36577</v>
      </c>
      <c r="H919" s="2">
        <f t="shared" ca="1" si="268"/>
        <v>26</v>
      </c>
      <c r="I919" s="2">
        <f t="shared" ca="1" si="269"/>
        <v>1.4285714285714285E-2</v>
      </c>
      <c r="J919" t="s">
        <v>36</v>
      </c>
      <c r="K919" t="s">
        <v>819</v>
      </c>
      <c r="L919">
        <f t="shared" si="270"/>
        <v>0</v>
      </c>
      <c r="M919">
        <f t="shared" si="271"/>
        <v>0</v>
      </c>
      <c r="N919">
        <f t="shared" si="272"/>
        <v>0</v>
      </c>
      <c r="O919" t="s">
        <v>1562</v>
      </c>
      <c r="P919">
        <f t="shared" si="273"/>
        <v>0</v>
      </c>
      <c r="Q919">
        <f t="shared" si="274"/>
        <v>0</v>
      </c>
      <c r="R919">
        <f t="shared" si="275"/>
        <v>0</v>
      </c>
      <c r="S919">
        <f t="shared" si="276"/>
        <v>0</v>
      </c>
      <c r="T919">
        <f t="shared" si="277"/>
        <v>0</v>
      </c>
      <c r="U919">
        <f t="shared" si="278"/>
        <v>0</v>
      </c>
      <c r="V919">
        <f t="shared" si="279"/>
        <v>0</v>
      </c>
      <c r="W919" t="s">
        <v>39</v>
      </c>
      <c r="X919">
        <f t="shared" si="280"/>
        <v>1</v>
      </c>
      <c r="Y919">
        <f t="shared" si="281"/>
        <v>0</v>
      </c>
      <c r="Z919">
        <v>4</v>
      </c>
      <c r="AA919">
        <f t="shared" si="282"/>
        <v>0.75</v>
      </c>
      <c r="AB919" t="s">
        <v>46</v>
      </c>
      <c r="AC919">
        <f t="shared" si="283"/>
        <v>0</v>
      </c>
      <c r="AD919">
        <f t="shared" si="284"/>
        <v>1</v>
      </c>
      <c r="AE919" t="s">
        <v>90</v>
      </c>
      <c r="AF919">
        <f>IF(AE919="website",1,0)</f>
        <v>0</v>
      </c>
    </row>
    <row r="920" spans="1:32">
      <c r="A920" t="s">
        <v>1563</v>
      </c>
      <c r="B920" t="s">
        <v>33</v>
      </c>
      <c r="C920" s="3">
        <f t="shared" si="266"/>
        <v>0</v>
      </c>
      <c r="D920">
        <f t="shared" si="267"/>
        <v>1</v>
      </c>
      <c r="E920" t="s">
        <v>839</v>
      </c>
      <c r="F920" t="s">
        <v>674</v>
      </c>
      <c r="G920" s="1">
        <v>27623</v>
      </c>
      <c r="H920" s="2">
        <f t="shared" ca="1" si="268"/>
        <v>51</v>
      </c>
      <c r="I920" s="2">
        <f t="shared" ca="1" si="269"/>
        <v>0.37142857142857144</v>
      </c>
      <c r="J920" t="s">
        <v>36</v>
      </c>
      <c r="K920" t="s">
        <v>65</v>
      </c>
      <c r="L920">
        <f t="shared" si="270"/>
        <v>0</v>
      </c>
      <c r="M920">
        <f t="shared" si="271"/>
        <v>1</v>
      </c>
      <c r="N920">
        <f t="shared" si="272"/>
        <v>0</v>
      </c>
      <c r="O920" t="s">
        <v>66</v>
      </c>
      <c r="P920">
        <f t="shared" si="273"/>
        <v>0</v>
      </c>
      <c r="Q920">
        <f t="shared" si="274"/>
        <v>0</v>
      </c>
      <c r="R920">
        <f t="shared" si="275"/>
        <v>1</v>
      </c>
      <c r="S920">
        <f t="shared" si="276"/>
        <v>0</v>
      </c>
      <c r="T920">
        <f t="shared" si="277"/>
        <v>0</v>
      </c>
      <c r="U920">
        <f t="shared" si="278"/>
        <v>0</v>
      </c>
      <c r="V920">
        <f t="shared" si="279"/>
        <v>0</v>
      </c>
      <c r="W920" t="s">
        <v>58</v>
      </c>
      <c r="X920">
        <f t="shared" si="280"/>
        <v>0</v>
      </c>
      <c r="Y920">
        <f t="shared" si="281"/>
        <v>1</v>
      </c>
      <c r="Z920">
        <v>5</v>
      </c>
      <c r="AA920">
        <f t="shared" si="282"/>
        <v>1</v>
      </c>
      <c r="AB920" t="s">
        <v>46</v>
      </c>
      <c r="AC920">
        <f t="shared" si="283"/>
        <v>1</v>
      </c>
      <c r="AD920">
        <f t="shared" si="284"/>
        <v>0</v>
      </c>
      <c r="AE920" t="s">
        <v>50</v>
      </c>
      <c r="AF920">
        <f>IF(AE920="website",1,0)</f>
        <v>0</v>
      </c>
    </row>
    <row r="921" spans="1:32">
      <c r="A921" t="s">
        <v>1564</v>
      </c>
      <c r="B921" t="s">
        <v>33</v>
      </c>
      <c r="C921" s="3">
        <f t="shared" si="266"/>
        <v>0</v>
      </c>
      <c r="D921">
        <f t="shared" si="267"/>
        <v>1</v>
      </c>
      <c r="E921" t="s">
        <v>288</v>
      </c>
      <c r="F921" t="s">
        <v>579</v>
      </c>
      <c r="G921" s="1">
        <v>26948</v>
      </c>
      <c r="H921" s="2">
        <f t="shared" ca="1" si="268"/>
        <v>52</v>
      </c>
      <c r="I921" s="2">
        <f t="shared" ca="1" si="269"/>
        <v>0.38571428571428573</v>
      </c>
      <c r="J921" t="s">
        <v>45</v>
      </c>
      <c r="K921" t="s">
        <v>37</v>
      </c>
      <c r="L921">
        <f t="shared" si="270"/>
        <v>1</v>
      </c>
      <c r="M921">
        <f t="shared" si="271"/>
        <v>0</v>
      </c>
      <c r="N921">
        <f t="shared" si="272"/>
        <v>0</v>
      </c>
      <c r="O921" t="s">
        <v>38</v>
      </c>
      <c r="P921">
        <f t="shared" si="273"/>
        <v>1</v>
      </c>
      <c r="Q921">
        <f t="shared" si="274"/>
        <v>0</v>
      </c>
      <c r="R921">
        <f t="shared" si="275"/>
        <v>0</v>
      </c>
      <c r="S921">
        <f t="shared" si="276"/>
        <v>0</v>
      </c>
      <c r="T921">
        <f t="shared" si="277"/>
        <v>0</v>
      </c>
      <c r="U921">
        <f t="shared" si="278"/>
        <v>0</v>
      </c>
      <c r="V921">
        <f t="shared" si="279"/>
        <v>0</v>
      </c>
      <c r="W921" t="s">
        <v>39</v>
      </c>
      <c r="X921">
        <f t="shared" si="280"/>
        <v>1</v>
      </c>
      <c r="Y921">
        <f t="shared" si="281"/>
        <v>0</v>
      </c>
      <c r="Z921">
        <v>4</v>
      </c>
      <c r="AA921">
        <f t="shared" si="282"/>
        <v>0.75</v>
      </c>
      <c r="AB921" t="s">
        <v>46</v>
      </c>
      <c r="AC921">
        <f t="shared" si="283"/>
        <v>0</v>
      </c>
      <c r="AD921">
        <f t="shared" si="284"/>
        <v>0</v>
      </c>
      <c r="AE921" t="s">
        <v>41</v>
      </c>
      <c r="AF921">
        <f>IF(AE921="website",1,0)</f>
        <v>1</v>
      </c>
    </row>
    <row r="922" spans="1:32">
      <c r="A922" t="s">
        <v>1565</v>
      </c>
      <c r="B922" t="s">
        <v>33</v>
      </c>
      <c r="C922" s="3">
        <f t="shared" si="266"/>
        <v>0</v>
      </c>
      <c r="D922">
        <f t="shared" si="267"/>
        <v>1</v>
      </c>
      <c r="E922" t="s">
        <v>1554</v>
      </c>
      <c r="F922" t="s">
        <v>641</v>
      </c>
      <c r="G922" s="1">
        <v>36229</v>
      </c>
      <c r="H922" s="2">
        <f t="shared" ca="1" si="268"/>
        <v>27</v>
      </c>
      <c r="I922" s="2">
        <f t="shared" ca="1" si="269"/>
        <v>2.8571428571428571E-2</v>
      </c>
      <c r="J922" t="s">
        <v>36</v>
      </c>
      <c r="K922" t="s">
        <v>819</v>
      </c>
      <c r="L922">
        <f t="shared" si="270"/>
        <v>0</v>
      </c>
      <c r="M922">
        <f t="shared" si="271"/>
        <v>0</v>
      </c>
      <c r="N922">
        <f t="shared" si="272"/>
        <v>0</v>
      </c>
      <c r="O922" t="s">
        <v>820</v>
      </c>
      <c r="P922">
        <f t="shared" si="273"/>
        <v>0</v>
      </c>
      <c r="Q922">
        <f t="shared" si="274"/>
        <v>0</v>
      </c>
      <c r="R922">
        <f t="shared" si="275"/>
        <v>0</v>
      </c>
      <c r="S922">
        <f t="shared" si="276"/>
        <v>0</v>
      </c>
      <c r="T922">
        <f t="shared" si="277"/>
        <v>0</v>
      </c>
      <c r="U922">
        <f t="shared" si="278"/>
        <v>0</v>
      </c>
      <c r="V922">
        <f t="shared" si="279"/>
        <v>0</v>
      </c>
      <c r="W922" t="s">
        <v>39</v>
      </c>
      <c r="X922">
        <f t="shared" si="280"/>
        <v>1</v>
      </c>
      <c r="Y922">
        <f t="shared" si="281"/>
        <v>0</v>
      </c>
      <c r="Z922">
        <v>4</v>
      </c>
      <c r="AA922">
        <f t="shared" si="282"/>
        <v>0.75</v>
      </c>
      <c r="AB922" t="s">
        <v>46</v>
      </c>
      <c r="AC922">
        <f t="shared" si="283"/>
        <v>1</v>
      </c>
      <c r="AD922">
        <f t="shared" si="284"/>
        <v>0</v>
      </c>
      <c r="AE922" t="s">
        <v>50</v>
      </c>
      <c r="AF922">
        <f>IF(AE922="website",1,0)</f>
        <v>0</v>
      </c>
    </row>
    <row r="923" spans="1:32">
      <c r="A923" t="s">
        <v>1566</v>
      </c>
      <c r="B923" t="s">
        <v>33</v>
      </c>
      <c r="C923" s="3">
        <f t="shared" si="266"/>
        <v>0</v>
      </c>
      <c r="D923">
        <f t="shared" si="267"/>
        <v>1</v>
      </c>
      <c r="E923" t="s">
        <v>1389</v>
      </c>
      <c r="F923" t="s">
        <v>818</v>
      </c>
      <c r="G923" s="1">
        <v>15642</v>
      </c>
      <c r="H923" s="2">
        <f t="shared" ca="1" si="268"/>
        <v>83</v>
      </c>
      <c r="I923" s="2">
        <f t="shared" ca="1" si="269"/>
        <v>0.82857142857142863</v>
      </c>
      <c r="J923" t="s">
        <v>45</v>
      </c>
      <c r="K923" t="s">
        <v>819</v>
      </c>
      <c r="L923">
        <f t="shared" si="270"/>
        <v>0</v>
      </c>
      <c r="M923">
        <f t="shared" si="271"/>
        <v>0</v>
      </c>
      <c r="N923">
        <f t="shared" si="272"/>
        <v>0</v>
      </c>
      <c r="O923" t="s">
        <v>1061</v>
      </c>
      <c r="P923">
        <f t="shared" si="273"/>
        <v>0</v>
      </c>
      <c r="Q923">
        <f t="shared" si="274"/>
        <v>0</v>
      </c>
      <c r="R923">
        <f t="shared" si="275"/>
        <v>0</v>
      </c>
      <c r="S923">
        <f t="shared" si="276"/>
        <v>0</v>
      </c>
      <c r="T923">
        <f t="shared" si="277"/>
        <v>0</v>
      </c>
      <c r="U923">
        <f t="shared" si="278"/>
        <v>0</v>
      </c>
      <c r="V923">
        <f t="shared" si="279"/>
        <v>0</v>
      </c>
      <c r="W923" t="s">
        <v>58</v>
      </c>
      <c r="X923">
        <f t="shared" si="280"/>
        <v>0</v>
      </c>
      <c r="Y923">
        <f t="shared" si="281"/>
        <v>1</v>
      </c>
      <c r="Z923">
        <v>4</v>
      </c>
      <c r="AA923">
        <f t="shared" si="282"/>
        <v>0.75</v>
      </c>
      <c r="AB923" t="s">
        <v>40</v>
      </c>
      <c r="AC923">
        <f t="shared" si="283"/>
        <v>0</v>
      </c>
      <c r="AD923">
        <f t="shared" si="284"/>
        <v>0</v>
      </c>
      <c r="AE923" t="s">
        <v>41</v>
      </c>
      <c r="AF923">
        <f>IF(AE923="website",1,0)</f>
        <v>1</v>
      </c>
    </row>
    <row r="924" spans="1:32">
      <c r="A924" t="s">
        <v>1567</v>
      </c>
      <c r="B924" t="s">
        <v>33</v>
      </c>
      <c r="C924" s="3">
        <f t="shared" si="266"/>
        <v>0</v>
      </c>
      <c r="D924">
        <f t="shared" si="267"/>
        <v>1</v>
      </c>
      <c r="E924" t="s">
        <v>829</v>
      </c>
      <c r="F924" t="s">
        <v>695</v>
      </c>
      <c r="G924" s="1">
        <v>18501</v>
      </c>
      <c r="H924" s="2">
        <f t="shared" ca="1" si="268"/>
        <v>76</v>
      </c>
      <c r="I924" s="2">
        <f t="shared" ca="1" si="269"/>
        <v>0.72857142857142854</v>
      </c>
      <c r="J924" t="s">
        <v>36</v>
      </c>
      <c r="K924" t="s">
        <v>37</v>
      </c>
      <c r="L924">
        <f t="shared" si="270"/>
        <v>1</v>
      </c>
      <c r="M924">
        <f t="shared" si="271"/>
        <v>0</v>
      </c>
      <c r="N924">
        <f t="shared" si="272"/>
        <v>0</v>
      </c>
      <c r="O924" t="s">
        <v>76</v>
      </c>
      <c r="P924">
        <f t="shared" si="273"/>
        <v>0</v>
      </c>
      <c r="Q924">
        <f t="shared" si="274"/>
        <v>1</v>
      </c>
      <c r="R924">
        <f t="shared" si="275"/>
        <v>0</v>
      </c>
      <c r="S924">
        <f t="shared" si="276"/>
        <v>0</v>
      </c>
      <c r="T924">
        <f t="shared" si="277"/>
        <v>0</v>
      </c>
      <c r="U924">
        <f t="shared" si="278"/>
        <v>0</v>
      </c>
      <c r="V924">
        <f t="shared" si="279"/>
        <v>0</v>
      </c>
      <c r="W924" t="s">
        <v>39</v>
      </c>
      <c r="X924">
        <f t="shared" si="280"/>
        <v>1</v>
      </c>
      <c r="Y924">
        <f t="shared" si="281"/>
        <v>0</v>
      </c>
      <c r="Z924">
        <v>3</v>
      </c>
      <c r="AA924">
        <f t="shared" si="282"/>
        <v>0.5</v>
      </c>
      <c r="AB924" t="s">
        <v>46</v>
      </c>
      <c r="AC924">
        <f t="shared" si="283"/>
        <v>0</v>
      </c>
      <c r="AD924">
        <f t="shared" si="284"/>
        <v>1</v>
      </c>
      <c r="AE924" t="s">
        <v>90</v>
      </c>
      <c r="AF924">
        <f>IF(AE924="website",1,0)</f>
        <v>0</v>
      </c>
    </row>
    <row r="925" spans="1:32">
      <c r="A925" t="s">
        <v>1568</v>
      </c>
      <c r="B925" t="s">
        <v>33</v>
      </c>
      <c r="C925" s="3">
        <f t="shared" si="266"/>
        <v>0</v>
      </c>
      <c r="D925">
        <f t="shared" si="267"/>
        <v>1</v>
      </c>
      <c r="E925" t="s">
        <v>809</v>
      </c>
      <c r="F925" t="s">
        <v>61</v>
      </c>
      <c r="G925" s="1">
        <v>32222</v>
      </c>
      <c r="H925" s="2">
        <f t="shared" ca="1" si="268"/>
        <v>38</v>
      </c>
      <c r="I925" s="2">
        <f t="shared" ca="1" si="269"/>
        <v>0.18571428571428572</v>
      </c>
      <c r="J925" t="s">
        <v>36</v>
      </c>
      <c r="K925" t="s">
        <v>37</v>
      </c>
      <c r="L925">
        <f t="shared" si="270"/>
        <v>1</v>
      </c>
      <c r="M925">
        <f t="shared" si="271"/>
        <v>0</v>
      </c>
      <c r="N925">
        <f t="shared" si="272"/>
        <v>0</v>
      </c>
      <c r="O925" t="s">
        <v>38</v>
      </c>
      <c r="P925">
        <f t="shared" si="273"/>
        <v>1</v>
      </c>
      <c r="Q925">
        <f t="shared" si="274"/>
        <v>0</v>
      </c>
      <c r="R925">
        <f t="shared" si="275"/>
        <v>0</v>
      </c>
      <c r="S925">
        <f t="shared" si="276"/>
        <v>0</v>
      </c>
      <c r="T925">
        <f t="shared" si="277"/>
        <v>0</v>
      </c>
      <c r="U925">
        <f t="shared" si="278"/>
        <v>0</v>
      </c>
      <c r="V925">
        <f t="shared" si="279"/>
        <v>0</v>
      </c>
      <c r="W925" t="s">
        <v>39</v>
      </c>
      <c r="X925">
        <f t="shared" si="280"/>
        <v>1</v>
      </c>
      <c r="Y925">
        <f t="shared" si="281"/>
        <v>0</v>
      </c>
      <c r="Z925">
        <v>4</v>
      </c>
      <c r="AA925">
        <f t="shared" si="282"/>
        <v>0.75</v>
      </c>
      <c r="AB925" t="s">
        <v>46</v>
      </c>
      <c r="AC925">
        <f t="shared" si="283"/>
        <v>0</v>
      </c>
      <c r="AD925">
        <f t="shared" si="284"/>
        <v>0</v>
      </c>
      <c r="AE925" t="s">
        <v>41</v>
      </c>
      <c r="AF925">
        <f>IF(AE925="website",1,0)</f>
        <v>1</v>
      </c>
    </row>
    <row r="926" spans="1:32">
      <c r="A926" t="s">
        <v>1569</v>
      </c>
      <c r="B926" t="s">
        <v>33</v>
      </c>
      <c r="C926" s="3">
        <f t="shared" si="266"/>
        <v>0</v>
      </c>
      <c r="D926">
        <f t="shared" si="267"/>
        <v>1</v>
      </c>
      <c r="E926" t="s">
        <v>419</v>
      </c>
      <c r="F926" t="s">
        <v>887</v>
      </c>
      <c r="G926" s="1">
        <v>16204</v>
      </c>
      <c r="H926" s="2">
        <f t="shared" ca="1" si="268"/>
        <v>82</v>
      </c>
      <c r="I926" s="2">
        <f t="shared" ca="1" si="269"/>
        <v>0.81428571428571428</v>
      </c>
      <c r="J926" t="s">
        <v>45</v>
      </c>
      <c r="K926" t="s">
        <v>113</v>
      </c>
      <c r="L926">
        <f t="shared" si="270"/>
        <v>0</v>
      </c>
      <c r="M926">
        <f t="shared" si="271"/>
        <v>0</v>
      </c>
      <c r="N926">
        <f t="shared" si="272"/>
        <v>1</v>
      </c>
      <c r="O926" t="s">
        <v>675</v>
      </c>
      <c r="P926">
        <f t="shared" si="273"/>
        <v>0</v>
      </c>
      <c r="Q926">
        <f t="shared" si="274"/>
        <v>0</v>
      </c>
      <c r="R926">
        <f t="shared" si="275"/>
        <v>0</v>
      </c>
      <c r="S926">
        <f t="shared" si="276"/>
        <v>0</v>
      </c>
      <c r="T926">
        <f t="shared" si="277"/>
        <v>0</v>
      </c>
      <c r="U926">
        <f t="shared" si="278"/>
        <v>0</v>
      </c>
      <c r="V926">
        <f t="shared" si="279"/>
        <v>0</v>
      </c>
      <c r="W926" t="s">
        <v>39</v>
      </c>
      <c r="X926">
        <f t="shared" si="280"/>
        <v>1</v>
      </c>
      <c r="Y926">
        <f t="shared" si="281"/>
        <v>0</v>
      </c>
      <c r="Z926">
        <v>2</v>
      </c>
      <c r="AA926">
        <f t="shared" si="282"/>
        <v>0.25</v>
      </c>
      <c r="AB926" t="s">
        <v>46</v>
      </c>
      <c r="AC926">
        <f t="shared" si="283"/>
        <v>0</v>
      </c>
      <c r="AD926">
        <f t="shared" si="284"/>
        <v>0</v>
      </c>
      <c r="AE926" t="s">
        <v>41</v>
      </c>
      <c r="AF926">
        <f>IF(AE926="website",1,0)</f>
        <v>1</v>
      </c>
    </row>
    <row r="927" spans="1:32">
      <c r="A927" t="s">
        <v>1570</v>
      </c>
      <c r="B927" t="s">
        <v>33</v>
      </c>
      <c r="C927" s="3">
        <f t="shared" si="266"/>
        <v>0</v>
      </c>
      <c r="D927">
        <f t="shared" si="267"/>
        <v>1</v>
      </c>
      <c r="E927" t="s">
        <v>639</v>
      </c>
      <c r="F927" t="s">
        <v>573</v>
      </c>
      <c r="G927" s="1">
        <v>22375</v>
      </c>
      <c r="H927" s="2">
        <f t="shared" ca="1" si="268"/>
        <v>65</v>
      </c>
      <c r="I927" s="2">
        <f t="shared" ca="1" si="269"/>
        <v>0.5714285714285714</v>
      </c>
      <c r="J927" t="s">
        <v>36</v>
      </c>
      <c r="K927" t="s">
        <v>37</v>
      </c>
      <c r="L927">
        <f t="shared" si="270"/>
        <v>1</v>
      </c>
      <c r="M927">
        <f t="shared" si="271"/>
        <v>0</v>
      </c>
      <c r="N927">
        <f t="shared" si="272"/>
        <v>0</v>
      </c>
      <c r="O927" t="s">
        <v>38</v>
      </c>
      <c r="P927">
        <f t="shared" si="273"/>
        <v>1</v>
      </c>
      <c r="Q927">
        <f t="shared" si="274"/>
        <v>0</v>
      </c>
      <c r="R927">
        <f t="shared" si="275"/>
        <v>0</v>
      </c>
      <c r="S927">
        <f t="shared" si="276"/>
        <v>0</v>
      </c>
      <c r="T927">
        <f t="shared" si="277"/>
        <v>0</v>
      </c>
      <c r="U927">
        <f t="shared" si="278"/>
        <v>0</v>
      </c>
      <c r="V927">
        <f t="shared" si="279"/>
        <v>0</v>
      </c>
      <c r="W927" t="s">
        <v>39</v>
      </c>
      <c r="X927">
        <f t="shared" si="280"/>
        <v>1</v>
      </c>
      <c r="Y927">
        <f t="shared" si="281"/>
        <v>0</v>
      </c>
      <c r="Z927">
        <v>3</v>
      </c>
      <c r="AA927">
        <f t="shared" si="282"/>
        <v>0.5</v>
      </c>
      <c r="AB927" t="s">
        <v>46</v>
      </c>
      <c r="AC927">
        <f t="shared" si="283"/>
        <v>0</v>
      </c>
      <c r="AD927">
        <f t="shared" si="284"/>
        <v>0</v>
      </c>
      <c r="AE927" t="s">
        <v>41</v>
      </c>
      <c r="AF927">
        <f>IF(AE927="website",1,0)</f>
        <v>1</v>
      </c>
    </row>
    <row r="928" spans="1:32">
      <c r="A928" t="s">
        <v>1571</v>
      </c>
      <c r="B928" t="s">
        <v>33</v>
      </c>
      <c r="C928" s="3">
        <f t="shared" si="266"/>
        <v>0</v>
      </c>
      <c r="D928">
        <f t="shared" si="267"/>
        <v>1</v>
      </c>
      <c r="E928" t="s">
        <v>604</v>
      </c>
      <c r="F928" t="s">
        <v>823</v>
      </c>
      <c r="G928" s="1">
        <v>22954</v>
      </c>
      <c r="H928" s="2">
        <f t="shared" ca="1" si="268"/>
        <v>63</v>
      </c>
      <c r="I928" s="2">
        <f t="shared" ca="1" si="269"/>
        <v>0.54285714285714282</v>
      </c>
      <c r="J928" t="s">
        <v>36</v>
      </c>
      <c r="K928" t="s">
        <v>626</v>
      </c>
      <c r="L928">
        <f t="shared" si="270"/>
        <v>0</v>
      </c>
      <c r="M928">
        <f t="shared" si="271"/>
        <v>0</v>
      </c>
      <c r="N928">
        <f t="shared" si="272"/>
        <v>0</v>
      </c>
      <c r="O928" t="s">
        <v>627</v>
      </c>
      <c r="P928">
        <f t="shared" si="273"/>
        <v>0</v>
      </c>
      <c r="Q928">
        <f t="shared" si="274"/>
        <v>0</v>
      </c>
      <c r="R928">
        <f t="shared" si="275"/>
        <v>0</v>
      </c>
      <c r="S928">
        <f t="shared" si="276"/>
        <v>0</v>
      </c>
      <c r="T928">
        <f t="shared" si="277"/>
        <v>0</v>
      </c>
      <c r="U928">
        <f t="shared" si="278"/>
        <v>0</v>
      </c>
      <c r="V928">
        <f t="shared" si="279"/>
        <v>0</v>
      </c>
      <c r="W928" t="s">
        <v>39</v>
      </c>
      <c r="X928">
        <f t="shared" si="280"/>
        <v>1</v>
      </c>
      <c r="Y928">
        <f t="shared" si="281"/>
        <v>0</v>
      </c>
      <c r="Z928">
        <v>4</v>
      </c>
      <c r="AA928">
        <f t="shared" si="282"/>
        <v>0.75</v>
      </c>
      <c r="AB928" t="s">
        <v>46</v>
      </c>
      <c r="AC928">
        <f t="shared" si="283"/>
        <v>0</v>
      </c>
      <c r="AD928">
        <f t="shared" si="284"/>
        <v>1</v>
      </c>
      <c r="AE928" t="s">
        <v>90</v>
      </c>
      <c r="AF928">
        <f>IF(AE928="website",1,0)</f>
        <v>0</v>
      </c>
    </row>
    <row r="929" spans="1:32">
      <c r="A929" t="s">
        <v>1572</v>
      </c>
      <c r="B929" t="s">
        <v>33</v>
      </c>
      <c r="C929" s="3">
        <f t="shared" si="266"/>
        <v>0</v>
      </c>
      <c r="D929">
        <f t="shared" si="267"/>
        <v>1</v>
      </c>
      <c r="E929" t="s">
        <v>700</v>
      </c>
      <c r="F929" t="s">
        <v>700</v>
      </c>
      <c r="G929" s="1">
        <v>18321</v>
      </c>
      <c r="H929" s="2">
        <f t="shared" ca="1" si="268"/>
        <v>76</v>
      </c>
      <c r="I929" s="2">
        <f t="shared" ca="1" si="269"/>
        <v>0.72857142857142854</v>
      </c>
      <c r="J929" t="s">
        <v>45</v>
      </c>
      <c r="K929" t="s">
        <v>37</v>
      </c>
      <c r="L929">
        <f t="shared" si="270"/>
        <v>1</v>
      </c>
      <c r="M929">
        <f t="shared" si="271"/>
        <v>0</v>
      </c>
      <c r="N929">
        <f t="shared" si="272"/>
        <v>0</v>
      </c>
      <c r="O929" t="s">
        <v>38</v>
      </c>
      <c r="P929">
        <f t="shared" si="273"/>
        <v>1</v>
      </c>
      <c r="Q929">
        <f t="shared" si="274"/>
        <v>0</v>
      </c>
      <c r="R929">
        <f t="shared" si="275"/>
        <v>0</v>
      </c>
      <c r="S929">
        <f t="shared" si="276"/>
        <v>0</v>
      </c>
      <c r="T929">
        <f t="shared" si="277"/>
        <v>0</v>
      </c>
      <c r="U929">
        <f t="shared" si="278"/>
        <v>0</v>
      </c>
      <c r="V929">
        <f t="shared" si="279"/>
        <v>0</v>
      </c>
      <c r="W929" t="s">
        <v>39</v>
      </c>
      <c r="X929">
        <f t="shared" si="280"/>
        <v>1</v>
      </c>
      <c r="Y929">
        <f t="shared" si="281"/>
        <v>0</v>
      </c>
      <c r="Z929">
        <v>1</v>
      </c>
      <c r="AA929">
        <f t="shared" si="282"/>
        <v>0</v>
      </c>
      <c r="AB929" t="s">
        <v>40</v>
      </c>
      <c r="AC929">
        <f t="shared" si="283"/>
        <v>1</v>
      </c>
      <c r="AD929">
        <f t="shared" si="284"/>
        <v>0</v>
      </c>
      <c r="AE929" t="s">
        <v>50</v>
      </c>
      <c r="AF929">
        <f>IF(AE929="website",1,0)</f>
        <v>0</v>
      </c>
    </row>
    <row r="930" spans="1:32">
      <c r="A930" t="s">
        <v>1573</v>
      </c>
      <c r="B930" t="s">
        <v>33</v>
      </c>
      <c r="C930" s="3">
        <f t="shared" si="266"/>
        <v>0</v>
      </c>
      <c r="D930">
        <f t="shared" si="267"/>
        <v>1</v>
      </c>
      <c r="E930" t="s">
        <v>357</v>
      </c>
      <c r="F930" t="s">
        <v>549</v>
      </c>
      <c r="G930" s="1">
        <v>19867</v>
      </c>
      <c r="H930" s="2">
        <f t="shared" ca="1" si="268"/>
        <v>72</v>
      </c>
      <c r="I930" s="2">
        <f t="shared" ca="1" si="269"/>
        <v>0.67142857142857137</v>
      </c>
      <c r="J930" t="s">
        <v>45</v>
      </c>
      <c r="K930" t="s">
        <v>37</v>
      </c>
      <c r="L930">
        <f t="shared" si="270"/>
        <v>1</v>
      </c>
      <c r="M930">
        <f t="shared" si="271"/>
        <v>0</v>
      </c>
      <c r="N930">
        <f t="shared" si="272"/>
        <v>0</v>
      </c>
      <c r="O930" t="s">
        <v>565</v>
      </c>
      <c r="P930">
        <f t="shared" si="273"/>
        <v>0</v>
      </c>
      <c r="Q930">
        <f t="shared" si="274"/>
        <v>0</v>
      </c>
      <c r="R930">
        <f t="shared" si="275"/>
        <v>0</v>
      </c>
      <c r="S930">
        <f t="shared" si="276"/>
        <v>0</v>
      </c>
      <c r="T930">
        <f t="shared" si="277"/>
        <v>0</v>
      </c>
      <c r="U930">
        <f t="shared" si="278"/>
        <v>0</v>
      </c>
      <c r="V930">
        <f t="shared" si="279"/>
        <v>0</v>
      </c>
      <c r="W930" t="s">
        <v>39</v>
      </c>
      <c r="X930">
        <f t="shared" si="280"/>
        <v>1</v>
      </c>
      <c r="Y930">
        <f t="shared" si="281"/>
        <v>0</v>
      </c>
      <c r="Z930">
        <v>4</v>
      </c>
      <c r="AA930">
        <f t="shared" si="282"/>
        <v>0.75</v>
      </c>
      <c r="AB930" t="s">
        <v>46</v>
      </c>
      <c r="AC930">
        <f t="shared" si="283"/>
        <v>0</v>
      </c>
      <c r="AD930">
        <f t="shared" si="284"/>
        <v>0</v>
      </c>
      <c r="AE930" t="s">
        <v>41</v>
      </c>
      <c r="AF930">
        <f>IF(AE930="website",1,0)</f>
        <v>1</v>
      </c>
    </row>
    <row r="931" spans="1:32">
      <c r="A931" t="s">
        <v>1574</v>
      </c>
      <c r="B931" t="s">
        <v>33</v>
      </c>
      <c r="C931" s="3">
        <f t="shared" si="266"/>
        <v>0</v>
      </c>
      <c r="D931">
        <f t="shared" si="267"/>
        <v>1</v>
      </c>
      <c r="E931" t="s">
        <v>1010</v>
      </c>
      <c r="F931" t="s">
        <v>620</v>
      </c>
      <c r="G931" s="1">
        <v>34074</v>
      </c>
      <c r="H931" s="2">
        <f t="shared" ca="1" si="268"/>
        <v>33</v>
      </c>
      <c r="I931" s="2">
        <f t="shared" ca="1" si="269"/>
        <v>0.11428571428571428</v>
      </c>
      <c r="J931" t="s">
        <v>36</v>
      </c>
      <c r="K931" t="s">
        <v>37</v>
      </c>
      <c r="L931">
        <f t="shared" si="270"/>
        <v>1</v>
      </c>
      <c r="M931">
        <f t="shared" si="271"/>
        <v>0</v>
      </c>
      <c r="N931">
        <f t="shared" si="272"/>
        <v>0</v>
      </c>
      <c r="O931" t="s">
        <v>565</v>
      </c>
      <c r="P931">
        <f t="shared" si="273"/>
        <v>0</v>
      </c>
      <c r="Q931">
        <f t="shared" si="274"/>
        <v>0</v>
      </c>
      <c r="R931">
        <f t="shared" si="275"/>
        <v>0</v>
      </c>
      <c r="S931">
        <f t="shared" si="276"/>
        <v>0</v>
      </c>
      <c r="T931">
        <f t="shared" si="277"/>
        <v>0</v>
      </c>
      <c r="U931">
        <f t="shared" si="278"/>
        <v>0</v>
      </c>
      <c r="V931">
        <f t="shared" si="279"/>
        <v>0</v>
      </c>
      <c r="W931" t="s">
        <v>58</v>
      </c>
      <c r="X931">
        <f t="shared" si="280"/>
        <v>0</v>
      </c>
      <c r="Y931">
        <f t="shared" si="281"/>
        <v>1</v>
      </c>
      <c r="Z931">
        <v>1</v>
      </c>
      <c r="AA931">
        <f t="shared" si="282"/>
        <v>0</v>
      </c>
      <c r="AB931" t="s">
        <v>40</v>
      </c>
      <c r="AC931">
        <f t="shared" si="283"/>
        <v>1</v>
      </c>
      <c r="AD931">
        <f t="shared" si="284"/>
        <v>0</v>
      </c>
      <c r="AE931" t="s">
        <v>50</v>
      </c>
      <c r="AF931">
        <f>IF(AE931="website",1,0)</f>
        <v>0</v>
      </c>
    </row>
    <row r="932" spans="1:32">
      <c r="A932" t="s">
        <v>1575</v>
      </c>
      <c r="B932" t="s">
        <v>33</v>
      </c>
      <c r="C932" s="3">
        <f t="shared" si="266"/>
        <v>0</v>
      </c>
      <c r="D932">
        <f t="shared" si="267"/>
        <v>1</v>
      </c>
      <c r="E932" t="s">
        <v>884</v>
      </c>
      <c r="F932" t="s">
        <v>538</v>
      </c>
      <c r="G932" s="1">
        <v>28484</v>
      </c>
      <c r="H932" s="2">
        <f t="shared" ca="1" si="268"/>
        <v>48</v>
      </c>
      <c r="I932" s="2">
        <f t="shared" ca="1" si="269"/>
        <v>0.32857142857142857</v>
      </c>
      <c r="J932" t="s">
        <v>45</v>
      </c>
      <c r="K932" t="s">
        <v>37</v>
      </c>
      <c r="L932">
        <f t="shared" si="270"/>
        <v>1</v>
      </c>
      <c r="M932">
        <f t="shared" si="271"/>
        <v>0</v>
      </c>
      <c r="N932">
        <f t="shared" si="272"/>
        <v>0</v>
      </c>
      <c r="O932" t="s">
        <v>124</v>
      </c>
      <c r="P932">
        <f t="shared" si="273"/>
        <v>0</v>
      </c>
      <c r="Q932">
        <f t="shared" si="274"/>
        <v>0</v>
      </c>
      <c r="R932">
        <f t="shared" si="275"/>
        <v>0</v>
      </c>
      <c r="S932">
        <f t="shared" si="276"/>
        <v>0</v>
      </c>
      <c r="T932">
        <f t="shared" si="277"/>
        <v>0</v>
      </c>
      <c r="U932">
        <f t="shared" si="278"/>
        <v>1</v>
      </c>
      <c r="V932">
        <f t="shared" si="279"/>
        <v>0</v>
      </c>
      <c r="W932" t="s">
        <v>58</v>
      </c>
      <c r="X932">
        <f t="shared" si="280"/>
        <v>0</v>
      </c>
      <c r="Y932">
        <f t="shared" si="281"/>
        <v>1</v>
      </c>
      <c r="Z932">
        <v>2</v>
      </c>
      <c r="AA932">
        <f t="shared" si="282"/>
        <v>0.25</v>
      </c>
      <c r="AB932" t="s">
        <v>40</v>
      </c>
      <c r="AC932">
        <f t="shared" si="283"/>
        <v>0</v>
      </c>
      <c r="AD932">
        <f t="shared" si="284"/>
        <v>1</v>
      </c>
      <c r="AE932" t="s">
        <v>90</v>
      </c>
      <c r="AF932">
        <f>IF(AE932="website",1,0)</f>
        <v>0</v>
      </c>
    </row>
    <row r="933" spans="1:32">
      <c r="A933" t="s">
        <v>1576</v>
      </c>
      <c r="B933" t="s">
        <v>33</v>
      </c>
      <c r="C933" s="3">
        <f t="shared" si="266"/>
        <v>0</v>
      </c>
      <c r="D933">
        <f t="shared" si="267"/>
        <v>1</v>
      </c>
      <c r="E933" t="s">
        <v>1256</v>
      </c>
      <c r="F933" t="s">
        <v>620</v>
      </c>
      <c r="G933" s="1">
        <v>18093</v>
      </c>
      <c r="H933" s="2">
        <f t="shared" ca="1" si="268"/>
        <v>77</v>
      </c>
      <c r="I933" s="2">
        <f t="shared" ca="1" si="269"/>
        <v>0.74285714285714288</v>
      </c>
      <c r="J933" t="s">
        <v>36</v>
      </c>
      <c r="K933" t="s">
        <v>37</v>
      </c>
      <c r="L933">
        <f t="shared" si="270"/>
        <v>1</v>
      </c>
      <c r="M933">
        <f t="shared" si="271"/>
        <v>0</v>
      </c>
      <c r="N933">
        <f t="shared" si="272"/>
        <v>0</v>
      </c>
      <c r="O933" t="s">
        <v>717</v>
      </c>
      <c r="P933">
        <f t="shared" si="273"/>
        <v>0</v>
      </c>
      <c r="Q933">
        <f t="shared" si="274"/>
        <v>0</v>
      </c>
      <c r="R933">
        <f t="shared" si="275"/>
        <v>0</v>
      </c>
      <c r="S933">
        <f t="shared" si="276"/>
        <v>0</v>
      </c>
      <c r="T933">
        <f t="shared" si="277"/>
        <v>0</v>
      </c>
      <c r="U933">
        <f t="shared" si="278"/>
        <v>0</v>
      </c>
      <c r="V933">
        <f t="shared" si="279"/>
        <v>0</v>
      </c>
      <c r="W933" t="s">
        <v>39</v>
      </c>
      <c r="X933">
        <f t="shared" si="280"/>
        <v>1</v>
      </c>
      <c r="Y933">
        <f t="shared" si="281"/>
        <v>0</v>
      </c>
      <c r="Z933">
        <v>5</v>
      </c>
      <c r="AA933">
        <f t="shared" si="282"/>
        <v>1</v>
      </c>
      <c r="AB933" t="s">
        <v>46</v>
      </c>
      <c r="AC933">
        <f t="shared" si="283"/>
        <v>0</v>
      </c>
      <c r="AD933">
        <f t="shared" si="284"/>
        <v>0</v>
      </c>
      <c r="AE933" t="s">
        <v>41</v>
      </c>
      <c r="AF933">
        <f>IF(AE933="website",1,0)</f>
        <v>1</v>
      </c>
    </row>
    <row r="934" spans="1:32">
      <c r="A934" t="s">
        <v>1577</v>
      </c>
      <c r="B934" t="s">
        <v>33</v>
      </c>
      <c r="C934" s="3">
        <f t="shared" si="266"/>
        <v>0</v>
      </c>
      <c r="D934">
        <f t="shared" si="267"/>
        <v>1</v>
      </c>
      <c r="E934" t="s">
        <v>924</v>
      </c>
      <c r="F934" t="s">
        <v>616</v>
      </c>
      <c r="G934" s="1">
        <v>20335</v>
      </c>
      <c r="H934" s="2">
        <f t="shared" ca="1" si="268"/>
        <v>71</v>
      </c>
      <c r="I934" s="2">
        <f t="shared" ca="1" si="269"/>
        <v>0.65714285714285714</v>
      </c>
      <c r="J934" t="s">
        <v>36</v>
      </c>
      <c r="K934" t="s">
        <v>37</v>
      </c>
      <c r="L934">
        <f t="shared" si="270"/>
        <v>1</v>
      </c>
      <c r="M934">
        <f t="shared" si="271"/>
        <v>0</v>
      </c>
      <c r="N934">
        <f t="shared" si="272"/>
        <v>0</v>
      </c>
      <c r="O934" t="s">
        <v>38</v>
      </c>
      <c r="P934">
        <f t="shared" si="273"/>
        <v>1</v>
      </c>
      <c r="Q934">
        <f t="shared" si="274"/>
        <v>0</v>
      </c>
      <c r="R934">
        <f t="shared" si="275"/>
        <v>0</v>
      </c>
      <c r="S934">
        <f t="shared" si="276"/>
        <v>0</v>
      </c>
      <c r="T934">
        <f t="shared" si="277"/>
        <v>0</v>
      </c>
      <c r="U934">
        <f t="shared" si="278"/>
        <v>0</v>
      </c>
      <c r="V934">
        <f t="shared" si="279"/>
        <v>0</v>
      </c>
      <c r="W934" t="s">
        <v>39</v>
      </c>
      <c r="X934">
        <f t="shared" si="280"/>
        <v>1</v>
      </c>
      <c r="Y934">
        <f t="shared" si="281"/>
        <v>0</v>
      </c>
      <c r="Z934">
        <v>4</v>
      </c>
      <c r="AA934">
        <f t="shared" si="282"/>
        <v>0.75</v>
      </c>
      <c r="AB934" t="s">
        <v>46</v>
      </c>
      <c r="AC934">
        <f t="shared" si="283"/>
        <v>0</v>
      </c>
      <c r="AD934">
        <f t="shared" si="284"/>
        <v>0</v>
      </c>
      <c r="AE934" t="s">
        <v>41</v>
      </c>
      <c r="AF934">
        <f>IF(AE934="website",1,0)</f>
        <v>1</v>
      </c>
    </row>
    <row r="935" spans="1:32">
      <c r="A935" t="s">
        <v>1578</v>
      </c>
      <c r="B935" t="s">
        <v>33</v>
      </c>
      <c r="C935" s="3">
        <f t="shared" si="266"/>
        <v>0</v>
      </c>
      <c r="D935">
        <f t="shared" si="267"/>
        <v>1</v>
      </c>
      <c r="E935" t="s">
        <v>839</v>
      </c>
      <c r="F935" t="s">
        <v>720</v>
      </c>
      <c r="G935" s="1">
        <v>15981</v>
      </c>
      <c r="H935" s="2">
        <f t="shared" ca="1" si="268"/>
        <v>83</v>
      </c>
      <c r="I935" s="2">
        <f t="shared" ca="1" si="269"/>
        <v>0.82857142857142863</v>
      </c>
      <c r="J935" t="s">
        <v>36</v>
      </c>
      <c r="K935" t="s">
        <v>248</v>
      </c>
      <c r="L935">
        <f t="shared" si="270"/>
        <v>0</v>
      </c>
      <c r="M935">
        <f t="shared" si="271"/>
        <v>0</v>
      </c>
      <c r="N935">
        <f t="shared" si="272"/>
        <v>0</v>
      </c>
      <c r="O935" t="s">
        <v>249</v>
      </c>
      <c r="P935">
        <f t="shared" si="273"/>
        <v>0</v>
      </c>
      <c r="Q935">
        <f t="shared" si="274"/>
        <v>0</v>
      </c>
      <c r="R935">
        <f t="shared" si="275"/>
        <v>0</v>
      </c>
      <c r="S935">
        <f t="shared" si="276"/>
        <v>0</v>
      </c>
      <c r="T935">
        <f t="shared" si="277"/>
        <v>0</v>
      </c>
      <c r="U935">
        <f t="shared" si="278"/>
        <v>0</v>
      </c>
      <c r="V935">
        <f t="shared" si="279"/>
        <v>0</v>
      </c>
      <c r="W935" t="s">
        <v>58</v>
      </c>
      <c r="X935">
        <f t="shared" si="280"/>
        <v>0</v>
      </c>
      <c r="Y935">
        <f t="shared" si="281"/>
        <v>1</v>
      </c>
      <c r="Z935">
        <v>5</v>
      </c>
      <c r="AA935">
        <f t="shared" si="282"/>
        <v>1</v>
      </c>
      <c r="AB935" t="s">
        <v>40</v>
      </c>
      <c r="AC935">
        <f t="shared" si="283"/>
        <v>0</v>
      </c>
      <c r="AD935">
        <f t="shared" si="284"/>
        <v>0</v>
      </c>
      <c r="AE935" t="s">
        <v>41</v>
      </c>
      <c r="AF935">
        <f>IF(AE935="website",1,0)</f>
        <v>1</v>
      </c>
    </row>
    <row r="936" spans="1:32">
      <c r="A936" t="s">
        <v>1579</v>
      </c>
      <c r="B936" t="s">
        <v>33</v>
      </c>
      <c r="C936" s="3">
        <f t="shared" si="266"/>
        <v>0</v>
      </c>
      <c r="D936">
        <f t="shared" si="267"/>
        <v>1</v>
      </c>
      <c r="E936" t="s">
        <v>807</v>
      </c>
      <c r="F936" t="s">
        <v>861</v>
      </c>
      <c r="G936" s="1">
        <v>36663</v>
      </c>
      <c r="H936" s="2">
        <f t="shared" ca="1" si="268"/>
        <v>26</v>
      </c>
      <c r="I936" s="2">
        <f t="shared" ca="1" si="269"/>
        <v>1.4285714285714285E-2</v>
      </c>
      <c r="J936" t="s">
        <v>36</v>
      </c>
      <c r="K936" t="s">
        <v>65</v>
      </c>
      <c r="L936">
        <f t="shared" si="270"/>
        <v>0</v>
      </c>
      <c r="M936">
        <f t="shared" si="271"/>
        <v>1</v>
      </c>
      <c r="N936">
        <f t="shared" si="272"/>
        <v>0</v>
      </c>
      <c r="O936" t="s">
        <v>723</v>
      </c>
      <c r="P936">
        <f t="shared" si="273"/>
        <v>0</v>
      </c>
      <c r="Q936">
        <f t="shared" si="274"/>
        <v>0</v>
      </c>
      <c r="R936">
        <f t="shared" si="275"/>
        <v>0</v>
      </c>
      <c r="S936">
        <f t="shared" si="276"/>
        <v>0</v>
      </c>
      <c r="T936">
        <f t="shared" si="277"/>
        <v>0</v>
      </c>
      <c r="U936">
        <f t="shared" si="278"/>
        <v>0</v>
      </c>
      <c r="V936">
        <f t="shared" si="279"/>
        <v>0</v>
      </c>
      <c r="W936" t="s">
        <v>39</v>
      </c>
      <c r="X936">
        <f t="shared" si="280"/>
        <v>1</v>
      </c>
      <c r="Y936">
        <f t="shared" si="281"/>
        <v>0</v>
      </c>
      <c r="Z936">
        <v>4</v>
      </c>
      <c r="AA936">
        <f t="shared" si="282"/>
        <v>0.75</v>
      </c>
      <c r="AB936" t="s">
        <v>46</v>
      </c>
      <c r="AC936">
        <f t="shared" si="283"/>
        <v>1</v>
      </c>
      <c r="AD936">
        <f t="shared" si="284"/>
        <v>0</v>
      </c>
      <c r="AE936" t="s">
        <v>50</v>
      </c>
      <c r="AF936">
        <f>IF(AE936="website",1,0)</f>
        <v>0</v>
      </c>
    </row>
    <row r="937" spans="1:32">
      <c r="A937" t="s">
        <v>1580</v>
      </c>
      <c r="B937" t="s">
        <v>33</v>
      </c>
      <c r="C937" s="3">
        <f t="shared" si="266"/>
        <v>0</v>
      </c>
      <c r="D937">
        <f t="shared" si="267"/>
        <v>1</v>
      </c>
      <c r="E937" t="s">
        <v>551</v>
      </c>
      <c r="F937" t="s">
        <v>645</v>
      </c>
      <c r="G937" s="1">
        <v>18728</v>
      </c>
      <c r="H937" s="2">
        <f t="shared" ca="1" si="268"/>
        <v>75</v>
      </c>
      <c r="I937" s="2">
        <f t="shared" ca="1" si="269"/>
        <v>0.7142857142857143</v>
      </c>
      <c r="J937" t="s">
        <v>36</v>
      </c>
      <c r="K937" t="s">
        <v>37</v>
      </c>
      <c r="L937">
        <f t="shared" si="270"/>
        <v>1</v>
      </c>
      <c r="M937">
        <f t="shared" si="271"/>
        <v>0</v>
      </c>
      <c r="N937">
        <f t="shared" si="272"/>
        <v>0</v>
      </c>
      <c r="O937" t="s">
        <v>38</v>
      </c>
      <c r="P937">
        <f t="shared" si="273"/>
        <v>1</v>
      </c>
      <c r="Q937">
        <f t="shared" si="274"/>
        <v>0</v>
      </c>
      <c r="R937">
        <f t="shared" si="275"/>
        <v>0</v>
      </c>
      <c r="S937">
        <f t="shared" si="276"/>
        <v>0</v>
      </c>
      <c r="T937">
        <f t="shared" si="277"/>
        <v>0</v>
      </c>
      <c r="U937">
        <f t="shared" si="278"/>
        <v>0</v>
      </c>
      <c r="V937">
        <f t="shared" si="279"/>
        <v>0</v>
      </c>
      <c r="W937" t="s">
        <v>39</v>
      </c>
      <c r="X937">
        <f t="shared" si="280"/>
        <v>1</v>
      </c>
      <c r="Y937">
        <f t="shared" si="281"/>
        <v>0</v>
      </c>
      <c r="Z937">
        <v>3</v>
      </c>
      <c r="AA937">
        <f t="shared" si="282"/>
        <v>0.5</v>
      </c>
      <c r="AB937" t="s">
        <v>46</v>
      </c>
      <c r="AC937">
        <f t="shared" si="283"/>
        <v>0</v>
      </c>
      <c r="AD937">
        <f t="shared" si="284"/>
        <v>1</v>
      </c>
      <c r="AE937" t="s">
        <v>90</v>
      </c>
      <c r="AF937">
        <f>IF(AE937="website",1,0)</f>
        <v>0</v>
      </c>
    </row>
    <row r="938" spans="1:32">
      <c r="A938" t="s">
        <v>1581</v>
      </c>
      <c r="B938" t="s">
        <v>33</v>
      </c>
      <c r="C938" s="3">
        <f t="shared" si="266"/>
        <v>0</v>
      </c>
      <c r="D938">
        <f t="shared" si="267"/>
        <v>1</v>
      </c>
      <c r="E938" t="s">
        <v>722</v>
      </c>
      <c r="F938" t="s">
        <v>585</v>
      </c>
      <c r="G938" s="1">
        <v>30044</v>
      </c>
      <c r="H938" s="2">
        <f t="shared" ca="1" si="268"/>
        <v>44</v>
      </c>
      <c r="I938" s="2">
        <f t="shared" ca="1" si="269"/>
        <v>0.27142857142857141</v>
      </c>
      <c r="J938" t="s">
        <v>45</v>
      </c>
      <c r="K938" t="s">
        <v>37</v>
      </c>
      <c r="L938">
        <f t="shared" si="270"/>
        <v>1</v>
      </c>
      <c r="M938">
        <f t="shared" si="271"/>
        <v>0</v>
      </c>
      <c r="N938">
        <f t="shared" si="272"/>
        <v>0</v>
      </c>
      <c r="O938" t="s">
        <v>97</v>
      </c>
      <c r="P938">
        <f t="shared" si="273"/>
        <v>0</v>
      </c>
      <c r="Q938">
        <f t="shared" si="274"/>
        <v>0</v>
      </c>
      <c r="R938">
        <f t="shared" si="275"/>
        <v>0</v>
      </c>
      <c r="S938">
        <f t="shared" si="276"/>
        <v>0</v>
      </c>
      <c r="T938">
        <f t="shared" si="277"/>
        <v>1</v>
      </c>
      <c r="U938">
        <f t="shared" si="278"/>
        <v>0</v>
      </c>
      <c r="V938">
        <f t="shared" si="279"/>
        <v>0</v>
      </c>
      <c r="W938" t="s">
        <v>39</v>
      </c>
      <c r="X938">
        <f t="shared" si="280"/>
        <v>1</v>
      </c>
      <c r="Y938">
        <f t="shared" si="281"/>
        <v>0</v>
      </c>
      <c r="Z938">
        <v>5</v>
      </c>
      <c r="AA938">
        <f t="shared" si="282"/>
        <v>1</v>
      </c>
      <c r="AB938" t="s">
        <v>46</v>
      </c>
      <c r="AC938">
        <f t="shared" si="283"/>
        <v>0</v>
      </c>
      <c r="AD938">
        <f t="shared" si="284"/>
        <v>1</v>
      </c>
      <c r="AE938" t="s">
        <v>90</v>
      </c>
      <c r="AF938">
        <f>IF(AE938="website",1,0)</f>
        <v>0</v>
      </c>
    </row>
    <row r="939" spans="1:32">
      <c r="A939" t="s">
        <v>1582</v>
      </c>
      <c r="B939" t="s">
        <v>33</v>
      </c>
      <c r="C939" s="3">
        <f t="shared" si="266"/>
        <v>0</v>
      </c>
      <c r="D939">
        <f t="shared" si="267"/>
        <v>1</v>
      </c>
      <c r="E939" t="s">
        <v>683</v>
      </c>
      <c r="F939" t="s">
        <v>585</v>
      </c>
      <c r="G939" s="1">
        <v>23139</v>
      </c>
      <c r="H939" s="2">
        <f t="shared" ca="1" si="268"/>
        <v>63</v>
      </c>
      <c r="I939" s="2">
        <f t="shared" ca="1" si="269"/>
        <v>0.54285714285714282</v>
      </c>
      <c r="J939" t="s">
        <v>45</v>
      </c>
      <c r="K939" t="s">
        <v>172</v>
      </c>
      <c r="L939">
        <f t="shared" si="270"/>
        <v>0</v>
      </c>
      <c r="M939">
        <f t="shared" si="271"/>
        <v>0</v>
      </c>
      <c r="N939">
        <f t="shared" si="272"/>
        <v>0</v>
      </c>
      <c r="O939" t="s">
        <v>173</v>
      </c>
      <c r="P939">
        <f t="shared" si="273"/>
        <v>0</v>
      </c>
      <c r="Q939">
        <f t="shared" si="274"/>
        <v>0</v>
      </c>
      <c r="R939">
        <f t="shared" si="275"/>
        <v>0</v>
      </c>
      <c r="S939">
        <f t="shared" si="276"/>
        <v>0</v>
      </c>
      <c r="T939">
        <f t="shared" si="277"/>
        <v>0</v>
      </c>
      <c r="U939">
        <f t="shared" si="278"/>
        <v>0</v>
      </c>
      <c r="V939">
        <f t="shared" si="279"/>
        <v>0</v>
      </c>
      <c r="W939" t="s">
        <v>39</v>
      </c>
      <c r="X939">
        <f t="shared" si="280"/>
        <v>1</v>
      </c>
      <c r="Y939">
        <f t="shared" si="281"/>
        <v>0</v>
      </c>
      <c r="Z939">
        <v>4</v>
      </c>
      <c r="AA939">
        <f t="shared" si="282"/>
        <v>0.75</v>
      </c>
      <c r="AB939" t="s">
        <v>46</v>
      </c>
      <c r="AC939">
        <f t="shared" si="283"/>
        <v>0</v>
      </c>
      <c r="AD939">
        <f t="shared" si="284"/>
        <v>0</v>
      </c>
      <c r="AE939" t="s">
        <v>41</v>
      </c>
      <c r="AF939">
        <f>IF(AE939="website",1,0)</f>
        <v>1</v>
      </c>
    </row>
    <row r="940" spans="1:32">
      <c r="A940" t="s">
        <v>1583</v>
      </c>
      <c r="B940" t="s">
        <v>33</v>
      </c>
      <c r="C940" s="3">
        <f t="shared" si="266"/>
        <v>0</v>
      </c>
      <c r="D940">
        <f t="shared" si="267"/>
        <v>1</v>
      </c>
      <c r="E940" t="s">
        <v>612</v>
      </c>
      <c r="F940" t="s">
        <v>576</v>
      </c>
      <c r="G940" s="1">
        <v>28523</v>
      </c>
      <c r="H940" s="2">
        <f t="shared" ca="1" si="268"/>
        <v>48</v>
      </c>
      <c r="I940" s="2">
        <f t="shared" ca="1" si="269"/>
        <v>0.32857142857142857</v>
      </c>
      <c r="J940" t="s">
        <v>36</v>
      </c>
      <c r="K940" t="s">
        <v>153</v>
      </c>
      <c r="L940">
        <f t="shared" si="270"/>
        <v>0</v>
      </c>
      <c r="M940">
        <f t="shared" si="271"/>
        <v>0</v>
      </c>
      <c r="N940">
        <f t="shared" si="272"/>
        <v>0</v>
      </c>
      <c r="O940" t="s">
        <v>154</v>
      </c>
      <c r="P940">
        <f t="shared" si="273"/>
        <v>0</v>
      </c>
      <c r="Q940">
        <f t="shared" si="274"/>
        <v>0</v>
      </c>
      <c r="R940">
        <f t="shared" si="275"/>
        <v>0</v>
      </c>
      <c r="S940">
        <f t="shared" si="276"/>
        <v>0</v>
      </c>
      <c r="T940">
        <f t="shared" si="277"/>
        <v>0</v>
      </c>
      <c r="U940">
        <f t="shared" si="278"/>
        <v>0</v>
      </c>
      <c r="V940">
        <f t="shared" si="279"/>
        <v>0</v>
      </c>
      <c r="W940" t="s">
        <v>58</v>
      </c>
      <c r="X940">
        <f t="shared" si="280"/>
        <v>0</v>
      </c>
      <c r="Y940">
        <f t="shared" si="281"/>
        <v>1</v>
      </c>
      <c r="Z940">
        <v>1</v>
      </c>
      <c r="AA940">
        <f t="shared" si="282"/>
        <v>0</v>
      </c>
      <c r="AB940" t="s">
        <v>46</v>
      </c>
      <c r="AC940">
        <f t="shared" si="283"/>
        <v>0</v>
      </c>
      <c r="AD940">
        <f t="shared" si="284"/>
        <v>0</v>
      </c>
      <c r="AE940" t="s">
        <v>41</v>
      </c>
      <c r="AF940">
        <f>IF(AE940="website",1,0)</f>
        <v>1</v>
      </c>
    </row>
    <row r="941" spans="1:32">
      <c r="A941" t="s">
        <v>1584</v>
      </c>
      <c r="B941" t="s">
        <v>33</v>
      </c>
      <c r="C941" s="3">
        <f t="shared" si="266"/>
        <v>0</v>
      </c>
      <c r="D941">
        <f t="shared" si="267"/>
        <v>1</v>
      </c>
      <c r="E941" t="s">
        <v>655</v>
      </c>
      <c r="F941" t="s">
        <v>818</v>
      </c>
      <c r="G941" s="1">
        <v>31400</v>
      </c>
      <c r="H941" s="2">
        <f t="shared" ca="1" si="268"/>
        <v>40</v>
      </c>
      <c r="I941" s="2">
        <f t="shared" ca="1" si="269"/>
        <v>0.21428571428571427</v>
      </c>
      <c r="J941" t="s">
        <v>45</v>
      </c>
      <c r="K941" t="s">
        <v>37</v>
      </c>
      <c r="L941">
        <f t="shared" si="270"/>
        <v>1</v>
      </c>
      <c r="M941">
        <f t="shared" si="271"/>
        <v>0</v>
      </c>
      <c r="N941">
        <f t="shared" si="272"/>
        <v>0</v>
      </c>
      <c r="O941" t="s">
        <v>305</v>
      </c>
      <c r="P941">
        <f t="shared" si="273"/>
        <v>0</v>
      </c>
      <c r="Q941">
        <f t="shared" si="274"/>
        <v>0</v>
      </c>
      <c r="R941">
        <f t="shared" si="275"/>
        <v>0</v>
      </c>
      <c r="S941">
        <f t="shared" si="276"/>
        <v>0</v>
      </c>
      <c r="T941">
        <f t="shared" si="277"/>
        <v>0</v>
      </c>
      <c r="U941">
        <f t="shared" si="278"/>
        <v>0</v>
      </c>
      <c r="V941">
        <f t="shared" si="279"/>
        <v>0</v>
      </c>
      <c r="W941" t="s">
        <v>58</v>
      </c>
      <c r="X941">
        <f t="shared" si="280"/>
        <v>0</v>
      </c>
      <c r="Y941">
        <f t="shared" si="281"/>
        <v>1</v>
      </c>
      <c r="Z941">
        <v>5</v>
      </c>
      <c r="AA941">
        <f t="shared" si="282"/>
        <v>1</v>
      </c>
      <c r="AB941" t="s">
        <v>46</v>
      </c>
      <c r="AC941">
        <f t="shared" si="283"/>
        <v>0</v>
      </c>
      <c r="AD941">
        <f t="shared" si="284"/>
        <v>0</v>
      </c>
      <c r="AE941" t="s">
        <v>41</v>
      </c>
      <c r="AF941">
        <f>IF(AE941="website",1,0)</f>
        <v>1</v>
      </c>
    </row>
    <row r="942" spans="1:32">
      <c r="A942" t="s">
        <v>1585</v>
      </c>
      <c r="B942" t="s">
        <v>33</v>
      </c>
      <c r="C942" s="3">
        <f t="shared" si="266"/>
        <v>0</v>
      </c>
      <c r="D942">
        <f t="shared" si="267"/>
        <v>1</v>
      </c>
      <c r="E942" t="s">
        <v>317</v>
      </c>
      <c r="F942" t="s">
        <v>620</v>
      </c>
      <c r="G942" s="1">
        <v>20287</v>
      </c>
      <c r="H942" s="2">
        <f t="shared" ca="1" si="268"/>
        <v>71</v>
      </c>
      <c r="I942" s="2">
        <f t="shared" ca="1" si="269"/>
        <v>0.65714285714285714</v>
      </c>
      <c r="J942" t="s">
        <v>36</v>
      </c>
      <c r="K942" t="s">
        <v>158</v>
      </c>
      <c r="L942">
        <f t="shared" si="270"/>
        <v>0</v>
      </c>
      <c r="M942">
        <f t="shared" si="271"/>
        <v>0</v>
      </c>
      <c r="N942">
        <f t="shared" si="272"/>
        <v>0</v>
      </c>
      <c r="O942" t="s">
        <v>1068</v>
      </c>
      <c r="P942">
        <f t="shared" si="273"/>
        <v>0</v>
      </c>
      <c r="Q942">
        <f t="shared" si="274"/>
        <v>0</v>
      </c>
      <c r="R942">
        <f t="shared" si="275"/>
        <v>0</v>
      </c>
      <c r="S942">
        <f t="shared" si="276"/>
        <v>0</v>
      </c>
      <c r="T942">
        <f t="shared" si="277"/>
        <v>0</v>
      </c>
      <c r="U942">
        <f t="shared" si="278"/>
        <v>0</v>
      </c>
      <c r="V942">
        <f t="shared" si="279"/>
        <v>0</v>
      </c>
      <c r="W942" t="s">
        <v>39</v>
      </c>
      <c r="X942">
        <f t="shared" si="280"/>
        <v>1</v>
      </c>
      <c r="Y942">
        <f t="shared" si="281"/>
        <v>0</v>
      </c>
      <c r="Z942">
        <v>1</v>
      </c>
      <c r="AA942">
        <f t="shared" si="282"/>
        <v>0</v>
      </c>
      <c r="AB942" t="s">
        <v>46</v>
      </c>
      <c r="AC942">
        <f t="shared" si="283"/>
        <v>1</v>
      </c>
      <c r="AD942">
        <f t="shared" si="284"/>
        <v>0</v>
      </c>
      <c r="AE942" t="s">
        <v>50</v>
      </c>
      <c r="AF942">
        <f>IF(AE942="website",1,0)</f>
        <v>0</v>
      </c>
    </row>
    <row r="943" spans="1:32">
      <c r="A943" t="s">
        <v>1586</v>
      </c>
      <c r="B943" t="s">
        <v>33</v>
      </c>
      <c r="C943" s="3">
        <f t="shared" si="266"/>
        <v>0</v>
      </c>
      <c r="D943">
        <f t="shared" si="267"/>
        <v>1</v>
      </c>
      <c r="E943" t="s">
        <v>817</v>
      </c>
      <c r="F943" t="s">
        <v>911</v>
      </c>
      <c r="G943" s="1">
        <v>33586</v>
      </c>
      <c r="H943" s="2">
        <f t="shared" ca="1" si="268"/>
        <v>34</v>
      </c>
      <c r="I943" s="2">
        <f t="shared" ca="1" si="269"/>
        <v>0.12857142857142856</v>
      </c>
      <c r="J943" t="s">
        <v>36</v>
      </c>
      <c r="K943" t="s">
        <v>37</v>
      </c>
      <c r="L943">
        <f t="shared" si="270"/>
        <v>1</v>
      </c>
      <c r="M943">
        <f t="shared" si="271"/>
        <v>0</v>
      </c>
      <c r="N943">
        <f t="shared" si="272"/>
        <v>0</v>
      </c>
      <c r="O943" t="s">
        <v>38</v>
      </c>
      <c r="P943">
        <f t="shared" si="273"/>
        <v>1</v>
      </c>
      <c r="Q943">
        <f t="shared" si="274"/>
        <v>0</v>
      </c>
      <c r="R943">
        <f t="shared" si="275"/>
        <v>0</v>
      </c>
      <c r="S943">
        <f t="shared" si="276"/>
        <v>0</v>
      </c>
      <c r="T943">
        <f t="shared" si="277"/>
        <v>0</v>
      </c>
      <c r="U943">
        <f t="shared" si="278"/>
        <v>0</v>
      </c>
      <c r="V943">
        <f t="shared" si="279"/>
        <v>0</v>
      </c>
      <c r="W943" t="s">
        <v>39</v>
      </c>
      <c r="X943">
        <f t="shared" si="280"/>
        <v>1</v>
      </c>
      <c r="Y943">
        <f t="shared" si="281"/>
        <v>0</v>
      </c>
      <c r="Z943">
        <v>1</v>
      </c>
      <c r="AA943">
        <f t="shared" si="282"/>
        <v>0</v>
      </c>
      <c r="AB943" t="s">
        <v>46</v>
      </c>
      <c r="AC943">
        <f t="shared" si="283"/>
        <v>0</v>
      </c>
      <c r="AD943">
        <f t="shared" si="284"/>
        <v>0</v>
      </c>
      <c r="AE943" t="s">
        <v>41</v>
      </c>
      <c r="AF943">
        <f>IF(AE943="website",1,0)</f>
        <v>1</v>
      </c>
    </row>
    <row r="944" spans="1:32">
      <c r="A944" t="s">
        <v>1587</v>
      </c>
      <c r="B944" t="s">
        <v>33</v>
      </c>
      <c r="C944" s="3">
        <f t="shared" si="266"/>
        <v>0</v>
      </c>
      <c r="D944">
        <f t="shared" si="267"/>
        <v>1</v>
      </c>
      <c r="E944" t="s">
        <v>615</v>
      </c>
      <c r="F944" t="s">
        <v>856</v>
      </c>
      <c r="G944" s="1">
        <v>21076</v>
      </c>
      <c r="H944" s="2">
        <f t="shared" ca="1" si="268"/>
        <v>69</v>
      </c>
      <c r="I944" s="2">
        <f t="shared" ca="1" si="269"/>
        <v>0.62857142857142856</v>
      </c>
      <c r="J944" t="s">
        <v>36</v>
      </c>
      <c r="K944" t="s">
        <v>65</v>
      </c>
      <c r="L944">
        <f t="shared" si="270"/>
        <v>0</v>
      </c>
      <c r="M944">
        <f t="shared" si="271"/>
        <v>1</v>
      </c>
      <c r="N944">
        <f t="shared" si="272"/>
        <v>0</v>
      </c>
      <c r="O944" t="s">
        <v>723</v>
      </c>
      <c r="P944">
        <f t="shared" si="273"/>
        <v>0</v>
      </c>
      <c r="Q944">
        <f t="shared" si="274"/>
        <v>0</v>
      </c>
      <c r="R944">
        <f t="shared" si="275"/>
        <v>0</v>
      </c>
      <c r="S944">
        <f t="shared" si="276"/>
        <v>0</v>
      </c>
      <c r="T944">
        <f t="shared" si="277"/>
        <v>0</v>
      </c>
      <c r="U944">
        <f t="shared" si="278"/>
        <v>0</v>
      </c>
      <c r="V944">
        <f t="shared" si="279"/>
        <v>0</v>
      </c>
      <c r="W944" t="s">
        <v>58</v>
      </c>
      <c r="X944">
        <f t="shared" si="280"/>
        <v>0</v>
      </c>
      <c r="Y944">
        <f t="shared" si="281"/>
        <v>1</v>
      </c>
      <c r="Z944">
        <v>5</v>
      </c>
      <c r="AA944">
        <f t="shared" si="282"/>
        <v>1</v>
      </c>
      <c r="AB944" t="s">
        <v>46</v>
      </c>
      <c r="AC944">
        <f t="shared" si="283"/>
        <v>0</v>
      </c>
      <c r="AD944">
        <f t="shared" si="284"/>
        <v>0</v>
      </c>
      <c r="AE944" t="s">
        <v>41</v>
      </c>
      <c r="AF944">
        <f>IF(AE944="website",1,0)</f>
        <v>1</v>
      </c>
    </row>
    <row r="945" spans="1:32">
      <c r="A945" t="s">
        <v>1588</v>
      </c>
      <c r="B945" t="s">
        <v>33</v>
      </c>
      <c r="C945" s="3">
        <f t="shared" si="266"/>
        <v>0</v>
      </c>
      <c r="D945">
        <f t="shared" si="267"/>
        <v>1</v>
      </c>
      <c r="E945" t="s">
        <v>305</v>
      </c>
      <c r="F945" t="s">
        <v>716</v>
      </c>
      <c r="G945" s="1">
        <v>20691</v>
      </c>
      <c r="H945" s="2">
        <f t="shared" ca="1" si="268"/>
        <v>70</v>
      </c>
      <c r="I945" s="2">
        <f t="shared" ca="1" si="269"/>
        <v>0.6428571428571429</v>
      </c>
      <c r="J945" t="s">
        <v>36</v>
      </c>
      <c r="K945" t="s">
        <v>37</v>
      </c>
      <c r="L945">
        <f t="shared" si="270"/>
        <v>1</v>
      </c>
      <c r="M945">
        <f t="shared" si="271"/>
        <v>0</v>
      </c>
      <c r="N945">
        <f t="shared" si="272"/>
        <v>0</v>
      </c>
      <c r="O945" t="s">
        <v>600</v>
      </c>
      <c r="P945">
        <f t="shared" si="273"/>
        <v>0</v>
      </c>
      <c r="Q945">
        <f t="shared" si="274"/>
        <v>0</v>
      </c>
      <c r="R945">
        <f t="shared" si="275"/>
        <v>0</v>
      </c>
      <c r="S945">
        <f t="shared" si="276"/>
        <v>0</v>
      </c>
      <c r="T945">
        <f t="shared" si="277"/>
        <v>0</v>
      </c>
      <c r="U945">
        <f t="shared" si="278"/>
        <v>0</v>
      </c>
      <c r="V945">
        <f t="shared" si="279"/>
        <v>0</v>
      </c>
      <c r="W945" t="s">
        <v>39</v>
      </c>
      <c r="X945">
        <f t="shared" si="280"/>
        <v>1</v>
      </c>
      <c r="Y945">
        <f t="shared" si="281"/>
        <v>0</v>
      </c>
      <c r="Z945">
        <v>2</v>
      </c>
      <c r="AA945">
        <f t="shared" si="282"/>
        <v>0.25</v>
      </c>
      <c r="AB945" t="s">
        <v>46</v>
      </c>
      <c r="AC945">
        <f t="shared" si="283"/>
        <v>0</v>
      </c>
      <c r="AD945">
        <f t="shared" si="284"/>
        <v>0</v>
      </c>
      <c r="AE945" t="s">
        <v>41</v>
      </c>
      <c r="AF945">
        <f>IF(AE945="website",1,0)</f>
        <v>1</v>
      </c>
    </row>
    <row r="946" spans="1:32">
      <c r="A946" t="s">
        <v>1589</v>
      </c>
      <c r="B946" t="s">
        <v>33</v>
      </c>
      <c r="C946" s="3">
        <f t="shared" si="266"/>
        <v>0</v>
      </c>
      <c r="D946">
        <f t="shared" si="267"/>
        <v>1</v>
      </c>
      <c r="E946" t="s">
        <v>809</v>
      </c>
      <c r="F946" t="s">
        <v>823</v>
      </c>
      <c r="G946" s="1">
        <v>16684</v>
      </c>
      <c r="H946" s="2">
        <f t="shared" ca="1" si="268"/>
        <v>81</v>
      </c>
      <c r="I946" s="2">
        <f t="shared" ca="1" si="269"/>
        <v>0.8</v>
      </c>
      <c r="J946" t="s">
        <v>36</v>
      </c>
      <c r="K946" t="s">
        <v>626</v>
      </c>
      <c r="L946">
        <f t="shared" si="270"/>
        <v>0</v>
      </c>
      <c r="M946">
        <f t="shared" si="271"/>
        <v>0</v>
      </c>
      <c r="N946">
        <f t="shared" si="272"/>
        <v>0</v>
      </c>
      <c r="O946" t="s">
        <v>660</v>
      </c>
      <c r="P946">
        <f t="shared" si="273"/>
        <v>0</v>
      </c>
      <c r="Q946">
        <f t="shared" si="274"/>
        <v>0</v>
      </c>
      <c r="R946">
        <f t="shared" si="275"/>
        <v>0</v>
      </c>
      <c r="S946">
        <f t="shared" si="276"/>
        <v>0</v>
      </c>
      <c r="T946">
        <f t="shared" si="277"/>
        <v>0</v>
      </c>
      <c r="U946">
        <f t="shared" si="278"/>
        <v>0</v>
      </c>
      <c r="V946">
        <f t="shared" si="279"/>
        <v>0</v>
      </c>
      <c r="W946" t="s">
        <v>39</v>
      </c>
      <c r="X946">
        <f t="shared" si="280"/>
        <v>1</v>
      </c>
      <c r="Y946">
        <f t="shared" si="281"/>
        <v>0</v>
      </c>
      <c r="Z946">
        <v>4</v>
      </c>
      <c r="AA946">
        <f t="shared" si="282"/>
        <v>0.75</v>
      </c>
      <c r="AB946" t="s">
        <v>46</v>
      </c>
      <c r="AC946">
        <f t="shared" si="283"/>
        <v>0</v>
      </c>
      <c r="AD946">
        <f t="shared" si="284"/>
        <v>0</v>
      </c>
      <c r="AE946" t="s">
        <v>41</v>
      </c>
      <c r="AF946">
        <f>IF(AE946="website",1,0)</f>
        <v>1</v>
      </c>
    </row>
    <row r="947" spans="1:32">
      <c r="A947" t="s">
        <v>1590</v>
      </c>
      <c r="B947" t="s">
        <v>33</v>
      </c>
      <c r="C947" s="3">
        <f t="shared" si="266"/>
        <v>0</v>
      </c>
      <c r="D947">
        <f t="shared" si="267"/>
        <v>1</v>
      </c>
      <c r="E947" t="s">
        <v>587</v>
      </c>
      <c r="F947" t="s">
        <v>552</v>
      </c>
      <c r="G947" s="1">
        <v>16987</v>
      </c>
      <c r="H947" s="2">
        <f t="shared" ca="1" si="268"/>
        <v>80</v>
      </c>
      <c r="I947" s="2">
        <f t="shared" ca="1" si="269"/>
        <v>0.7857142857142857</v>
      </c>
      <c r="J947" t="s">
        <v>36</v>
      </c>
      <c r="K947" t="s">
        <v>37</v>
      </c>
      <c r="L947">
        <f t="shared" si="270"/>
        <v>1</v>
      </c>
      <c r="M947">
        <f t="shared" si="271"/>
        <v>0</v>
      </c>
      <c r="N947">
        <f t="shared" si="272"/>
        <v>0</v>
      </c>
      <c r="O947" t="s">
        <v>124</v>
      </c>
      <c r="P947">
        <f t="shared" si="273"/>
        <v>0</v>
      </c>
      <c r="Q947">
        <f t="shared" si="274"/>
        <v>0</v>
      </c>
      <c r="R947">
        <f t="shared" si="275"/>
        <v>0</v>
      </c>
      <c r="S947">
        <f t="shared" si="276"/>
        <v>0</v>
      </c>
      <c r="T947">
        <f t="shared" si="277"/>
        <v>0</v>
      </c>
      <c r="U947">
        <f t="shared" si="278"/>
        <v>1</v>
      </c>
      <c r="V947">
        <f t="shared" si="279"/>
        <v>0</v>
      </c>
      <c r="W947" t="s">
        <v>58</v>
      </c>
      <c r="X947">
        <f t="shared" si="280"/>
        <v>0</v>
      </c>
      <c r="Y947">
        <f t="shared" si="281"/>
        <v>1</v>
      </c>
      <c r="Z947">
        <v>3</v>
      </c>
      <c r="AA947">
        <f t="shared" si="282"/>
        <v>0.5</v>
      </c>
      <c r="AB947" t="s">
        <v>40</v>
      </c>
      <c r="AC947">
        <f t="shared" si="283"/>
        <v>1</v>
      </c>
      <c r="AD947">
        <f t="shared" si="284"/>
        <v>0</v>
      </c>
      <c r="AE947" t="s">
        <v>50</v>
      </c>
      <c r="AF947">
        <f>IF(AE947="website",1,0)</f>
        <v>0</v>
      </c>
    </row>
    <row r="948" spans="1:32">
      <c r="A948" t="s">
        <v>1591</v>
      </c>
      <c r="B948" t="s">
        <v>33</v>
      </c>
      <c r="C948" s="3">
        <f t="shared" si="266"/>
        <v>0</v>
      </c>
      <c r="D948">
        <f t="shared" si="267"/>
        <v>1</v>
      </c>
      <c r="E948" t="s">
        <v>879</v>
      </c>
      <c r="F948" t="s">
        <v>856</v>
      </c>
      <c r="G948" s="1">
        <v>29722</v>
      </c>
      <c r="H948" s="2">
        <f t="shared" ca="1" si="268"/>
        <v>45</v>
      </c>
      <c r="I948" s="2">
        <f t="shared" ca="1" si="269"/>
        <v>0.2857142857142857</v>
      </c>
      <c r="J948" t="s">
        <v>36</v>
      </c>
      <c r="K948" t="s">
        <v>37</v>
      </c>
      <c r="L948">
        <f t="shared" si="270"/>
        <v>1</v>
      </c>
      <c r="M948">
        <f t="shared" si="271"/>
        <v>0</v>
      </c>
      <c r="N948">
        <f t="shared" si="272"/>
        <v>0</v>
      </c>
      <c r="O948" t="s">
        <v>592</v>
      </c>
      <c r="P948">
        <f t="shared" si="273"/>
        <v>0</v>
      </c>
      <c r="Q948">
        <f t="shared" si="274"/>
        <v>0</v>
      </c>
      <c r="R948">
        <f t="shared" si="275"/>
        <v>0</v>
      </c>
      <c r="S948">
        <f t="shared" si="276"/>
        <v>0</v>
      </c>
      <c r="T948">
        <f t="shared" si="277"/>
        <v>0</v>
      </c>
      <c r="U948">
        <f t="shared" si="278"/>
        <v>0</v>
      </c>
      <c r="V948">
        <f t="shared" si="279"/>
        <v>0</v>
      </c>
      <c r="W948" t="s">
        <v>39</v>
      </c>
      <c r="X948">
        <f t="shared" si="280"/>
        <v>1</v>
      </c>
      <c r="Y948">
        <f t="shared" si="281"/>
        <v>0</v>
      </c>
      <c r="Z948">
        <v>2</v>
      </c>
      <c r="AA948">
        <f t="shared" si="282"/>
        <v>0.25</v>
      </c>
      <c r="AB948" t="s">
        <v>46</v>
      </c>
      <c r="AC948">
        <f t="shared" si="283"/>
        <v>0</v>
      </c>
      <c r="AD948">
        <f t="shared" si="284"/>
        <v>0</v>
      </c>
      <c r="AE948" t="s">
        <v>41</v>
      </c>
      <c r="AF948">
        <f>IF(AE948="website",1,0)</f>
        <v>1</v>
      </c>
    </row>
    <row r="949" spans="1:32">
      <c r="A949" t="s">
        <v>1592</v>
      </c>
      <c r="B949" t="s">
        <v>33</v>
      </c>
      <c r="C949" s="3">
        <f t="shared" si="266"/>
        <v>0</v>
      </c>
      <c r="D949">
        <f t="shared" si="267"/>
        <v>1</v>
      </c>
      <c r="E949" t="s">
        <v>766</v>
      </c>
      <c r="F949" t="s">
        <v>112</v>
      </c>
      <c r="G949" s="1">
        <v>32858</v>
      </c>
      <c r="H949" s="2">
        <f t="shared" ca="1" si="268"/>
        <v>36</v>
      </c>
      <c r="I949" s="2">
        <f t="shared" ca="1" si="269"/>
        <v>0.15714285714285714</v>
      </c>
      <c r="J949" t="s">
        <v>36</v>
      </c>
      <c r="K949" t="s">
        <v>37</v>
      </c>
      <c r="L949">
        <f t="shared" si="270"/>
        <v>1</v>
      </c>
      <c r="M949">
        <f t="shared" si="271"/>
        <v>0</v>
      </c>
      <c r="N949">
        <f t="shared" si="272"/>
        <v>0</v>
      </c>
      <c r="O949" t="s">
        <v>38</v>
      </c>
      <c r="P949">
        <f t="shared" si="273"/>
        <v>1</v>
      </c>
      <c r="Q949">
        <f t="shared" si="274"/>
        <v>0</v>
      </c>
      <c r="R949">
        <f t="shared" si="275"/>
        <v>0</v>
      </c>
      <c r="S949">
        <f t="shared" si="276"/>
        <v>0</v>
      </c>
      <c r="T949">
        <f t="shared" si="277"/>
        <v>0</v>
      </c>
      <c r="U949">
        <f t="shared" si="278"/>
        <v>0</v>
      </c>
      <c r="V949">
        <f t="shared" si="279"/>
        <v>0</v>
      </c>
      <c r="W949" t="s">
        <v>58</v>
      </c>
      <c r="X949">
        <f t="shared" si="280"/>
        <v>0</v>
      </c>
      <c r="Y949">
        <f t="shared" si="281"/>
        <v>1</v>
      </c>
      <c r="Z949">
        <v>3</v>
      </c>
      <c r="AA949">
        <f t="shared" si="282"/>
        <v>0.5</v>
      </c>
      <c r="AB949" t="s">
        <v>40</v>
      </c>
      <c r="AC949">
        <f t="shared" si="283"/>
        <v>0</v>
      </c>
      <c r="AD949">
        <f t="shared" si="284"/>
        <v>0</v>
      </c>
      <c r="AE949" t="s">
        <v>41</v>
      </c>
      <c r="AF949">
        <f>IF(AE949="website",1,0)</f>
        <v>1</v>
      </c>
    </row>
    <row r="950" spans="1:32">
      <c r="A950" t="s">
        <v>1593</v>
      </c>
      <c r="B950" t="s">
        <v>33</v>
      </c>
      <c r="C950" s="3">
        <f t="shared" si="266"/>
        <v>0</v>
      </c>
      <c r="D950">
        <f t="shared" si="267"/>
        <v>1</v>
      </c>
      <c r="E950" t="s">
        <v>699</v>
      </c>
      <c r="F950" t="s">
        <v>664</v>
      </c>
      <c r="G950" s="1">
        <v>15883</v>
      </c>
      <c r="H950" s="2">
        <f t="shared" ca="1" si="268"/>
        <v>83</v>
      </c>
      <c r="I950" s="2">
        <f t="shared" ca="1" si="269"/>
        <v>0.82857142857142863</v>
      </c>
      <c r="J950" t="s">
        <v>36</v>
      </c>
      <c r="K950" t="s">
        <v>37</v>
      </c>
      <c r="L950">
        <f t="shared" si="270"/>
        <v>1</v>
      </c>
      <c r="M950">
        <f t="shared" si="271"/>
        <v>0</v>
      </c>
      <c r="N950">
        <f t="shared" si="272"/>
        <v>0</v>
      </c>
      <c r="O950" t="s">
        <v>137</v>
      </c>
      <c r="P950">
        <f t="shared" si="273"/>
        <v>0</v>
      </c>
      <c r="Q950">
        <f t="shared" si="274"/>
        <v>0</v>
      </c>
      <c r="R950">
        <f t="shared" si="275"/>
        <v>0</v>
      </c>
      <c r="S950">
        <f t="shared" si="276"/>
        <v>0</v>
      </c>
      <c r="T950">
        <f t="shared" si="277"/>
        <v>0</v>
      </c>
      <c r="U950">
        <f t="shared" si="278"/>
        <v>0</v>
      </c>
      <c r="V950">
        <f t="shared" si="279"/>
        <v>0</v>
      </c>
      <c r="W950" t="s">
        <v>58</v>
      </c>
      <c r="X950">
        <f t="shared" si="280"/>
        <v>0</v>
      </c>
      <c r="Y950">
        <f t="shared" si="281"/>
        <v>1</v>
      </c>
      <c r="Z950">
        <v>5</v>
      </c>
      <c r="AA950">
        <f t="shared" si="282"/>
        <v>1</v>
      </c>
      <c r="AB950" t="s">
        <v>40</v>
      </c>
      <c r="AC950">
        <f t="shared" si="283"/>
        <v>0</v>
      </c>
      <c r="AD950">
        <f t="shared" si="284"/>
        <v>1</v>
      </c>
      <c r="AE950" t="s">
        <v>90</v>
      </c>
      <c r="AF950">
        <f>IF(AE950="website",1,0)</f>
        <v>0</v>
      </c>
    </row>
    <row r="951" spans="1:32">
      <c r="A951" t="s">
        <v>1594</v>
      </c>
      <c r="B951" t="s">
        <v>33</v>
      </c>
      <c r="C951" s="3">
        <f t="shared" si="266"/>
        <v>0</v>
      </c>
      <c r="D951">
        <f t="shared" si="267"/>
        <v>1</v>
      </c>
      <c r="E951" t="s">
        <v>1554</v>
      </c>
      <c r="F951" t="s">
        <v>664</v>
      </c>
      <c r="G951" s="1">
        <v>33583</v>
      </c>
      <c r="H951" s="2">
        <f t="shared" ca="1" si="268"/>
        <v>34</v>
      </c>
      <c r="I951" s="2">
        <f t="shared" ca="1" si="269"/>
        <v>0.12857142857142856</v>
      </c>
      <c r="J951" t="s">
        <v>36</v>
      </c>
      <c r="K951" t="s">
        <v>37</v>
      </c>
      <c r="L951">
        <f t="shared" si="270"/>
        <v>1</v>
      </c>
      <c r="M951">
        <f t="shared" si="271"/>
        <v>0</v>
      </c>
      <c r="N951">
        <f t="shared" si="272"/>
        <v>0</v>
      </c>
      <c r="O951" t="s">
        <v>592</v>
      </c>
      <c r="P951">
        <f t="shared" si="273"/>
        <v>0</v>
      </c>
      <c r="Q951">
        <f t="shared" si="274"/>
        <v>0</v>
      </c>
      <c r="R951">
        <f t="shared" si="275"/>
        <v>0</v>
      </c>
      <c r="S951">
        <f t="shared" si="276"/>
        <v>0</v>
      </c>
      <c r="T951">
        <f t="shared" si="277"/>
        <v>0</v>
      </c>
      <c r="U951">
        <f t="shared" si="278"/>
        <v>0</v>
      </c>
      <c r="V951">
        <f t="shared" si="279"/>
        <v>0</v>
      </c>
      <c r="W951" t="s">
        <v>58</v>
      </c>
      <c r="X951">
        <f t="shared" si="280"/>
        <v>0</v>
      </c>
      <c r="Y951">
        <f t="shared" si="281"/>
        <v>1</v>
      </c>
      <c r="Z951">
        <v>5</v>
      </c>
      <c r="AA951">
        <f t="shared" si="282"/>
        <v>1</v>
      </c>
      <c r="AB951" t="s">
        <v>46</v>
      </c>
      <c r="AC951">
        <f t="shared" si="283"/>
        <v>0</v>
      </c>
      <c r="AD951">
        <f t="shared" si="284"/>
        <v>0</v>
      </c>
      <c r="AE951" t="s">
        <v>41</v>
      </c>
      <c r="AF951">
        <f>IF(AE951="website",1,0)</f>
        <v>1</v>
      </c>
    </row>
    <row r="952" spans="1:32">
      <c r="A952" t="s">
        <v>1595</v>
      </c>
      <c r="B952" t="s">
        <v>33</v>
      </c>
      <c r="C952" s="3">
        <f t="shared" si="266"/>
        <v>0</v>
      </c>
      <c r="D952">
        <f t="shared" si="267"/>
        <v>1</v>
      </c>
      <c r="E952" t="s">
        <v>476</v>
      </c>
      <c r="F952" t="s">
        <v>585</v>
      </c>
      <c r="G952" s="1">
        <v>36114</v>
      </c>
      <c r="H952" s="2">
        <f t="shared" ca="1" si="268"/>
        <v>27</v>
      </c>
      <c r="I952" s="2">
        <f t="shared" ca="1" si="269"/>
        <v>2.8571428571428571E-2</v>
      </c>
      <c r="J952" t="s">
        <v>36</v>
      </c>
      <c r="K952" t="s">
        <v>158</v>
      </c>
      <c r="L952">
        <f t="shared" si="270"/>
        <v>0</v>
      </c>
      <c r="M952">
        <f t="shared" si="271"/>
        <v>0</v>
      </c>
      <c r="N952">
        <f t="shared" si="272"/>
        <v>0</v>
      </c>
      <c r="O952" t="s">
        <v>732</v>
      </c>
      <c r="P952">
        <f t="shared" si="273"/>
        <v>0</v>
      </c>
      <c r="Q952">
        <f t="shared" si="274"/>
        <v>0</v>
      </c>
      <c r="R952">
        <f t="shared" si="275"/>
        <v>0</v>
      </c>
      <c r="S952">
        <f t="shared" si="276"/>
        <v>0</v>
      </c>
      <c r="T952">
        <f t="shared" si="277"/>
        <v>0</v>
      </c>
      <c r="U952">
        <f t="shared" si="278"/>
        <v>0</v>
      </c>
      <c r="V952">
        <f t="shared" si="279"/>
        <v>0</v>
      </c>
      <c r="W952" t="s">
        <v>39</v>
      </c>
      <c r="X952">
        <f t="shared" si="280"/>
        <v>1</v>
      </c>
      <c r="Y952">
        <f t="shared" si="281"/>
        <v>0</v>
      </c>
      <c r="Z952">
        <v>1</v>
      </c>
      <c r="AA952">
        <f t="shared" si="282"/>
        <v>0</v>
      </c>
      <c r="AB952" t="s">
        <v>40</v>
      </c>
      <c r="AC952">
        <f t="shared" si="283"/>
        <v>0</v>
      </c>
      <c r="AD952">
        <f t="shared" si="284"/>
        <v>1</v>
      </c>
      <c r="AE952" t="s">
        <v>90</v>
      </c>
      <c r="AF952">
        <f>IF(AE952="website",1,0)</f>
        <v>0</v>
      </c>
    </row>
    <row r="953" spans="1:32">
      <c r="A953" t="s">
        <v>1596</v>
      </c>
      <c r="B953" t="s">
        <v>33</v>
      </c>
      <c r="C953" s="3">
        <f t="shared" si="266"/>
        <v>0</v>
      </c>
      <c r="D953">
        <f t="shared" si="267"/>
        <v>1</v>
      </c>
      <c r="E953" t="s">
        <v>894</v>
      </c>
      <c r="F953" t="s">
        <v>610</v>
      </c>
      <c r="G953" s="1">
        <v>21796</v>
      </c>
      <c r="H953" s="2">
        <f t="shared" ca="1" si="268"/>
        <v>67</v>
      </c>
      <c r="I953" s="2">
        <f t="shared" ca="1" si="269"/>
        <v>0.6</v>
      </c>
      <c r="J953" t="s">
        <v>36</v>
      </c>
      <c r="K953" t="s">
        <v>37</v>
      </c>
      <c r="L953">
        <f t="shared" si="270"/>
        <v>1</v>
      </c>
      <c r="M953">
        <f t="shared" si="271"/>
        <v>0</v>
      </c>
      <c r="N953">
        <f t="shared" si="272"/>
        <v>0</v>
      </c>
      <c r="O953" t="s">
        <v>76</v>
      </c>
      <c r="P953">
        <f t="shared" si="273"/>
        <v>0</v>
      </c>
      <c r="Q953">
        <f t="shared" si="274"/>
        <v>1</v>
      </c>
      <c r="R953">
        <f t="shared" si="275"/>
        <v>0</v>
      </c>
      <c r="S953">
        <f t="shared" si="276"/>
        <v>0</v>
      </c>
      <c r="T953">
        <f t="shared" si="277"/>
        <v>0</v>
      </c>
      <c r="U953">
        <f t="shared" si="278"/>
        <v>0</v>
      </c>
      <c r="V953">
        <f t="shared" si="279"/>
        <v>0</v>
      </c>
      <c r="W953" t="s">
        <v>39</v>
      </c>
      <c r="X953">
        <f t="shared" si="280"/>
        <v>1</v>
      </c>
      <c r="Y953">
        <f t="shared" si="281"/>
        <v>0</v>
      </c>
      <c r="Z953">
        <v>5</v>
      </c>
      <c r="AA953">
        <f t="shared" si="282"/>
        <v>1</v>
      </c>
      <c r="AB953" t="s">
        <v>46</v>
      </c>
      <c r="AC953">
        <f t="shared" si="283"/>
        <v>0</v>
      </c>
      <c r="AD953">
        <f t="shared" si="284"/>
        <v>0</v>
      </c>
      <c r="AE953" t="s">
        <v>41</v>
      </c>
      <c r="AF953">
        <f>IF(AE953="website",1,0)</f>
        <v>1</v>
      </c>
    </row>
    <row r="954" spans="1:32">
      <c r="A954" t="s">
        <v>1597</v>
      </c>
      <c r="B954" t="s">
        <v>55</v>
      </c>
      <c r="C954" s="3">
        <f t="shared" si="266"/>
        <v>1</v>
      </c>
      <c r="D954">
        <f t="shared" si="267"/>
        <v>0</v>
      </c>
      <c r="E954" t="s">
        <v>1305</v>
      </c>
      <c r="F954" t="s">
        <v>57</v>
      </c>
      <c r="G954" s="1">
        <v>34994</v>
      </c>
      <c r="H954" s="2">
        <f t="shared" ca="1" si="268"/>
        <v>30</v>
      </c>
      <c r="I954" s="2">
        <f t="shared" ca="1" si="269"/>
        <v>7.1428571428571425E-2</v>
      </c>
      <c r="J954" t="s">
        <v>45</v>
      </c>
      <c r="K954" t="s">
        <v>37</v>
      </c>
      <c r="L954">
        <f t="shared" si="270"/>
        <v>1</v>
      </c>
      <c r="M954">
        <f t="shared" si="271"/>
        <v>0</v>
      </c>
      <c r="N954">
        <f t="shared" si="272"/>
        <v>0</v>
      </c>
      <c r="O954" t="s">
        <v>565</v>
      </c>
      <c r="P954">
        <f t="shared" si="273"/>
        <v>0</v>
      </c>
      <c r="Q954">
        <f t="shared" si="274"/>
        <v>0</v>
      </c>
      <c r="R954">
        <f t="shared" si="275"/>
        <v>0</v>
      </c>
      <c r="S954">
        <f t="shared" si="276"/>
        <v>0</v>
      </c>
      <c r="T954">
        <f t="shared" si="277"/>
        <v>0</v>
      </c>
      <c r="U954">
        <f t="shared" si="278"/>
        <v>0</v>
      </c>
      <c r="V954">
        <f t="shared" si="279"/>
        <v>0</v>
      </c>
      <c r="W954" t="s">
        <v>39</v>
      </c>
      <c r="X954">
        <f t="shared" si="280"/>
        <v>1</v>
      </c>
      <c r="Y954">
        <f t="shared" si="281"/>
        <v>0</v>
      </c>
      <c r="Z954">
        <v>5</v>
      </c>
      <c r="AA954">
        <f t="shared" si="282"/>
        <v>1</v>
      </c>
      <c r="AB954" t="s">
        <v>40</v>
      </c>
      <c r="AC954">
        <f t="shared" si="283"/>
        <v>0</v>
      </c>
      <c r="AD954">
        <f t="shared" si="284"/>
        <v>0</v>
      </c>
      <c r="AE954" t="s">
        <v>41</v>
      </c>
      <c r="AF954">
        <f>IF(AE954="website",1,0)</f>
        <v>1</v>
      </c>
    </row>
    <row r="955" spans="1:32">
      <c r="A955" t="s">
        <v>1598</v>
      </c>
      <c r="B955" t="s">
        <v>33</v>
      </c>
      <c r="C955" s="3">
        <f t="shared" si="266"/>
        <v>0</v>
      </c>
      <c r="D955">
        <f t="shared" si="267"/>
        <v>1</v>
      </c>
      <c r="E955" t="s">
        <v>419</v>
      </c>
      <c r="F955" t="s">
        <v>667</v>
      </c>
      <c r="G955" s="1">
        <v>18361</v>
      </c>
      <c r="H955" s="2">
        <f t="shared" ca="1" si="268"/>
        <v>76</v>
      </c>
      <c r="I955" s="2">
        <f t="shared" ca="1" si="269"/>
        <v>0.72857142857142854</v>
      </c>
      <c r="J955" t="s">
        <v>45</v>
      </c>
      <c r="K955" t="s">
        <v>626</v>
      </c>
      <c r="L955">
        <f t="shared" si="270"/>
        <v>0</v>
      </c>
      <c r="M955">
        <f t="shared" si="271"/>
        <v>0</v>
      </c>
      <c r="N955">
        <f t="shared" si="272"/>
        <v>0</v>
      </c>
      <c r="O955" t="s">
        <v>1117</v>
      </c>
      <c r="P955">
        <f t="shared" si="273"/>
        <v>0</v>
      </c>
      <c r="Q955">
        <f t="shared" si="274"/>
        <v>0</v>
      </c>
      <c r="R955">
        <f t="shared" si="275"/>
        <v>0</v>
      </c>
      <c r="S955">
        <f t="shared" si="276"/>
        <v>0</v>
      </c>
      <c r="T955">
        <f t="shared" si="277"/>
        <v>0</v>
      </c>
      <c r="U955">
        <f t="shared" si="278"/>
        <v>0</v>
      </c>
      <c r="V955">
        <f t="shared" si="279"/>
        <v>0</v>
      </c>
      <c r="W955" t="s">
        <v>58</v>
      </c>
      <c r="X955">
        <f t="shared" si="280"/>
        <v>0</v>
      </c>
      <c r="Y955">
        <f t="shared" si="281"/>
        <v>1</v>
      </c>
      <c r="Z955">
        <v>4</v>
      </c>
      <c r="AA955">
        <f t="shared" si="282"/>
        <v>0.75</v>
      </c>
      <c r="AB955" t="s">
        <v>40</v>
      </c>
      <c r="AC955">
        <f t="shared" si="283"/>
        <v>1</v>
      </c>
      <c r="AD955">
        <f t="shared" si="284"/>
        <v>0</v>
      </c>
      <c r="AE955" t="s">
        <v>50</v>
      </c>
      <c r="AF955">
        <f>IF(AE955="website",1,0)</f>
        <v>0</v>
      </c>
    </row>
    <row r="956" spans="1:32">
      <c r="A956" t="s">
        <v>1599</v>
      </c>
      <c r="B956" t="s">
        <v>33</v>
      </c>
      <c r="C956" s="3">
        <f t="shared" si="266"/>
        <v>0</v>
      </c>
      <c r="D956">
        <f t="shared" si="267"/>
        <v>1</v>
      </c>
      <c r="E956" t="s">
        <v>712</v>
      </c>
      <c r="F956" t="s">
        <v>714</v>
      </c>
      <c r="G956" s="1">
        <v>25214</v>
      </c>
      <c r="H956" s="2">
        <f t="shared" ca="1" si="268"/>
        <v>57</v>
      </c>
      <c r="I956" s="2">
        <f t="shared" ca="1" si="269"/>
        <v>0.45714285714285713</v>
      </c>
      <c r="J956" t="s">
        <v>36</v>
      </c>
      <c r="K956" t="s">
        <v>37</v>
      </c>
      <c r="L956">
        <f t="shared" si="270"/>
        <v>1</v>
      </c>
      <c r="M956">
        <f t="shared" si="271"/>
        <v>0</v>
      </c>
      <c r="N956">
        <f t="shared" si="272"/>
        <v>0</v>
      </c>
      <c r="O956" t="s">
        <v>38</v>
      </c>
      <c r="P956">
        <f t="shared" si="273"/>
        <v>1</v>
      </c>
      <c r="Q956">
        <f t="shared" si="274"/>
        <v>0</v>
      </c>
      <c r="R956">
        <f t="shared" si="275"/>
        <v>0</v>
      </c>
      <c r="S956">
        <f t="shared" si="276"/>
        <v>0</v>
      </c>
      <c r="T956">
        <f t="shared" si="277"/>
        <v>0</v>
      </c>
      <c r="U956">
        <f t="shared" si="278"/>
        <v>0</v>
      </c>
      <c r="V956">
        <f t="shared" si="279"/>
        <v>0</v>
      </c>
      <c r="W956" t="s">
        <v>39</v>
      </c>
      <c r="X956">
        <f t="shared" si="280"/>
        <v>1</v>
      </c>
      <c r="Y956">
        <f t="shared" si="281"/>
        <v>0</v>
      </c>
      <c r="Z956">
        <v>1</v>
      </c>
      <c r="AA956">
        <f t="shared" si="282"/>
        <v>0</v>
      </c>
      <c r="AB956" t="s">
        <v>46</v>
      </c>
      <c r="AC956">
        <f t="shared" si="283"/>
        <v>0</v>
      </c>
      <c r="AD956">
        <f t="shared" si="284"/>
        <v>0</v>
      </c>
      <c r="AE956" t="s">
        <v>41</v>
      </c>
      <c r="AF956">
        <f>IF(AE956="website",1,0)</f>
        <v>1</v>
      </c>
    </row>
    <row r="957" spans="1:32">
      <c r="A957" t="s">
        <v>1600</v>
      </c>
      <c r="B957" t="s">
        <v>33</v>
      </c>
      <c r="C957" s="3">
        <f t="shared" si="266"/>
        <v>0</v>
      </c>
      <c r="D957">
        <f t="shared" si="267"/>
        <v>1</v>
      </c>
      <c r="E957" t="s">
        <v>1307</v>
      </c>
      <c r="F957" t="s">
        <v>911</v>
      </c>
      <c r="G957" s="1">
        <v>24176</v>
      </c>
      <c r="H957" s="2">
        <f t="shared" ca="1" si="268"/>
        <v>60</v>
      </c>
      <c r="I957" s="2">
        <f t="shared" ca="1" si="269"/>
        <v>0.5</v>
      </c>
      <c r="J957" t="s">
        <v>45</v>
      </c>
      <c r="K957" t="s">
        <v>37</v>
      </c>
      <c r="L957">
        <f t="shared" si="270"/>
        <v>1</v>
      </c>
      <c r="M957">
        <f t="shared" si="271"/>
        <v>0</v>
      </c>
      <c r="N957">
        <f t="shared" si="272"/>
        <v>0</v>
      </c>
      <c r="O957" t="s">
        <v>38</v>
      </c>
      <c r="P957">
        <f t="shared" si="273"/>
        <v>1</v>
      </c>
      <c r="Q957">
        <f t="shared" si="274"/>
        <v>0</v>
      </c>
      <c r="R957">
        <f t="shared" si="275"/>
        <v>0</v>
      </c>
      <c r="S957">
        <f t="shared" si="276"/>
        <v>0</v>
      </c>
      <c r="T957">
        <f t="shared" si="277"/>
        <v>0</v>
      </c>
      <c r="U957">
        <f t="shared" si="278"/>
        <v>0</v>
      </c>
      <c r="V957">
        <f t="shared" si="279"/>
        <v>0</v>
      </c>
      <c r="W957" t="s">
        <v>39</v>
      </c>
      <c r="X957">
        <f t="shared" si="280"/>
        <v>1</v>
      </c>
      <c r="Y957">
        <f t="shared" si="281"/>
        <v>0</v>
      </c>
      <c r="Z957">
        <v>1</v>
      </c>
      <c r="AA957">
        <f t="shared" si="282"/>
        <v>0</v>
      </c>
      <c r="AB957" t="s">
        <v>40</v>
      </c>
      <c r="AC957">
        <f t="shared" si="283"/>
        <v>0</v>
      </c>
      <c r="AD957">
        <f t="shared" si="284"/>
        <v>0</v>
      </c>
      <c r="AE957" t="s">
        <v>41</v>
      </c>
      <c r="AF957">
        <f>IF(AE957="website",1,0)</f>
        <v>1</v>
      </c>
    </row>
    <row r="958" spans="1:32">
      <c r="A958" t="s">
        <v>1601</v>
      </c>
      <c r="B958" t="s">
        <v>55</v>
      </c>
      <c r="C958" s="3">
        <f t="shared" si="266"/>
        <v>1</v>
      </c>
      <c r="D958">
        <f t="shared" si="267"/>
        <v>0</v>
      </c>
      <c r="E958" t="s">
        <v>1602</v>
      </c>
      <c r="F958" t="s">
        <v>57</v>
      </c>
      <c r="G958" s="1">
        <v>22422</v>
      </c>
      <c r="H958" s="2">
        <f t="shared" ca="1" si="268"/>
        <v>65</v>
      </c>
      <c r="I958" s="2">
        <f t="shared" ca="1" si="269"/>
        <v>0.5714285714285714</v>
      </c>
      <c r="J958" t="s">
        <v>45</v>
      </c>
      <c r="K958" t="s">
        <v>37</v>
      </c>
      <c r="L958">
        <f t="shared" si="270"/>
        <v>1</v>
      </c>
      <c r="M958">
        <f t="shared" si="271"/>
        <v>0</v>
      </c>
      <c r="N958">
        <f t="shared" si="272"/>
        <v>0</v>
      </c>
      <c r="O958" t="s">
        <v>76</v>
      </c>
      <c r="P958">
        <f t="shared" si="273"/>
        <v>0</v>
      </c>
      <c r="Q958">
        <f t="shared" si="274"/>
        <v>1</v>
      </c>
      <c r="R958">
        <f t="shared" si="275"/>
        <v>0</v>
      </c>
      <c r="S958">
        <f t="shared" si="276"/>
        <v>0</v>
      </c>
      <c r="T958">
        <f t="shared" si="277"/>
        <v>0</v>
      </c>
      <c r="U958">
        <f t="shared" si="278"/>
        <v>0</v>
      </c>
      <c r="V958">
        <f t="shared" si="279"/>
        <v>0</v>
      </c>
      <c r="W958" t="s">
        <v>39</v>
      </c>
      <c r="X958">
        <f t="shared" si="280"/>
        <v>1</v>
      </c>
      <c r="Y958">
        <f t="shared" si="281"/>
        <v>0</v>
      </c>
      <c r="Z958">
        <v>2</v>
      </c>
      <c r="AA958">
        <f t="shared" si="282"/>
        <v>0.25</v>
      </c>
      <c r="AB958" t="s">
        <v>40</v>
      </c>
      <c r="AC958">
        <f t="shared" si="283"/>
        <v>0</v>
      </c>
      <c r="AD958">
        <f t="shared" si="284"/>
        <v>1</v>
      </c>
      <c r="AE958" t="s">
        <v>90</v>
      </c>
      <c r="AF958">
        <f>IF(AE958="website",1,0)</f>
        <v>0</v>
      </c>
    </row>
    <row r="959" spans="1:32">
      <c r="A959" t="s">
        <v>1603</v>
      </c>
      <c r="B959" t="s">
        <v>33</v>
      </c>
      <c r="C959" s="3">
        <f t="shared" si="266"/>
        <v>0</v>
      </c>
      <c r="D959">
        <f t="shared" si="267"/>
        <v>1</v>
      </c>
      <c r="E959" t="s">
        <v>755</v>
      </c>
      <c r="F959" t="s">
        <v>709</v>
      </c>
      <c r="G959" s="1">
        <v>33430</v>
      </c>
      <c r="H959" s="2">
        <f t="shared" ca="1" si="268"/>
        <v>35</v>
      </c>
      <c r="I959" s="2">
        <f t="shared" ca="1" si="269"/>
        <v>0.14285714285714285</v>
      </c>
      <c r="J959" t="s">
        <v>36</v>
      </c>
      <c r="K959" t="s">
        <v>37</v>
      </c>
      <c r="L959">
        <f t="shared" si="270"/>
        <v>1</v>
      </c>
      <c r="M959">
        <f t="shared" si="271"/>
        <v>0</v>
      </c>
      <c r="N959">
        <f t="shared" si="272"/>
        <v>0</v>
      </c>
      <c r="O959" t="s">
        <v>124</v>
      </c>
      <c r="P959">
        <f t="shared" si="273"/>
        <v>0</v>
      </c>
      <c r="Q959">
        <f t="shared" si="274"/>
        <v>0</v>
      </c>
      <c r="R959">
        <f t="shared" si="275"/>
        <v>0</v>
      </c>
      <c r="S959">
        <f t="shared" si="276"/>
        <v>0</v>
      </c>
      <c r="T959">
        <f t="shared" si="277"/>
        <v>0</v>
      </c>
      <c r="U959">
        <f t="shared" si="278"/>
        <v>1</v>
      </c>
      <c r="V959">
        <f t="shared" si="279"/>
        <v>0</v>
      </c>
      <c r="W959" t="s">
        <v>39</v>
      </c>
      <c r="X959">
        <f t="shared" si="280"/>
        <v>1</v>
      </c>
      <c r="Y959">
        <f t="shared" si="281"/>
        <v>0</v>
      </c>
      <c r="Z959">
        <v>1</v>
      </c>
      <c r="AA959">
        <f t="shared" si="282"/>
        <v>0</v>
      </c>
      <c r="AB959" t="s">
        <v>40</v>
      </c>
      <c r="AC959">
        <f t="shared" si="283"/>
        <v>0</v>
      </c>
      <c r="AD959">
        <f t="shared" si="284"/>
        <v>0</v>
      </c>
      <c r="AE959" t="s">
        <v>41</v>
      </c>
      <c r="AF959">
        <f>IF(AE959="website",1,0)</f>
        <v>1</v>
      </c>
    </row>
    <row r="960" spans="1:32">
      <c r="A960" t="s">
        <v>1604</v>
      </c>
      <c r="B960" t="s">
        <v>33</v>
      </c>
      <c r="C960" s="3">
        <f t="shared" si="266"/>
        <v>0</v>
      </c>
      <c r="D960">
        <f t="shared" si="267"/>
        <v>1</v>
      </c>
      <c r="E960" t="s">
        <v>744</v>
      </c>
      <c r="F960" t="s">
        <v>823</v>
      </c>
      <c r="G960" s="1">
        <v>19250</v>
      </c>
      <c r="H960" s="2">
        <f t="shared" ca="1" si="268"/>
        <v>74</v>
      </c>
      <c r="I960" s="2">
        <f t="shared" ca="1" si="269"/>
        <v>0.7</v>
      </c>
      <c r="J960" t="s">
        <v>45</v>
      </c>
      <c r="K960" t="s">
        <v>37</v>
      </c>
      <c r="L960">
        <f t="shared" si="270"/>
        <v>1</v>
      </c>
      <c r="M960">
        <f t="shared" si="271"/>
        <v>0</v>
      </c>
      <c r="N960">
        <f t="shared" si="272"/>
        <v>0</v>
      </c>
      <c r="O960" t="s">
        <v>38</v>
      </c>
      <c r="P960">
        <f t="shared" si="273"/>
        <v>1</v>
      </c>
      <c r="Q960">
        <f t="shared" si="274"/>
        <v>0</v>
      </c>
      <c r="R960">
        <f t="shared" si="275"/>
        <v>0</v>
      </c>
      <c r="S960">
        <f t="shared" si="276"/>
        <v>0</v>
      </c>
      <c r="T960">
        <f t="shared" si="277"/>
        <v>0</v>
      </c>
      <c r="U960">
        <f t="shared" si="278"/>
        <v>0</v>
      </c>
      <c r="V960">
        <f t="shared" si="279"/>
        <v>0</v>
      </c>
      <c r="W960" t="s">
        <v>39</v>
      </c>
      <c r="X960">
        <f t="shared" si="280"/>
        <v>1</v>
      </c>
      <c r="Y960">
        <f t="shared" si="281"/>
        <v>0</v>
      </c>
      <c r="Z960">
        <v>3</v>
      </c>
      <c r="AA960">
        <f t="shared" si="282"/>
        <v>0.5</v>
      </c>
      <c r="AB960" t="s">
        <v>46</v>
      </c>
      <c r="AC960">
        <f t="shared" si="283"/>
        <v>1</v>
      </c>
      <c r="AD960">
        <f t="shared" si="284"/>
        <v>0</v>
      </c>
      <c r="AE960" t="s">
        <v>50</v>
      </c>
      <c r="AF960">
        <f>IF(AE960="website",1,0)</f>
        <v>0</v>
      </c>
    </row>
    <row r="961" spans="1:32">
      <c r="A961" t="s">
        <v>1605</v>
      </c>
      <c r="B961" t="s">
        <v>33</v>
      </c>
      <c r="C961" s="3">
        <f t="shared" si="266"/>
        <v>0</v>
      </c>
      <c r="D961">
        <f t="shared" si="267"/>
        <v>1</v>
      </c>
      <c r="E961" t="s">
        <v>637</v>
      </c>
      <c r="F961" t="s">
        <v>378</v>
      </c>
      <c r="G961" s="1">
        <v>22007</v>
      </c>
      <c r="H961" s="2">
        <f t="shared" ca="1" si="268"/>
        <v>66</v>
      </c>
      <c r="I961" s="2">
        <f t="shared" ca="1" si="269"/>
        <v>0.58571428571428574</v>
      </c>
      <c r="J961" t="s">
        <v>36</v>
      </c>
      <c r="K961" t="s">
        <v>37</v>
      </c>
      <c r="L961">
        <f t="shared" si="270"/>
        <v>1</v>
      </c>
      <c r="M961">
        <f t="shared" si="271"/>
        <v>0</v>
      </c>
      <c r="N961">
        <f t="shared" si="272"/>
        <v>0</v>
      </c>
      <c r="O961" t="s">
        <v>97</v>
      </c>
      <c r="P961">
        <f t="shared" si="273"/>
        <v>0</v>
      </c>
      <c r="Q961">
        <f t="shared" si="274"/>
        <v>0</v>
      </c>
      <c r="R961">
        <f t="shared" si="275"/>
        <v>0</v>
      </c>
      <c r="S961">
        <f t="shared" si="276"/>
        <v>0</v>
      </c>
      <c r="T961">
        <f t="shared" si="277"/>
        <v>1</v>
      </c>
      <c r="U961">
        <f t="shared" si="278"/>
        <v>0</v>
      </c>
      <c r="V961">
        <f t="shared" si="279"/>
        <v>0</v>
      </c>
      <c r="W961" t="s">
        <v>58</v>
      </c>
      <c r="X961">
        <f t="shared" si="280"/>
        <v>0</v>
      </c>
      <c r="Y961">
        <f t="shared" si="281"/>
        <v>1</v>
      </c>
      <c r="Z961">
        <v>1</v>
      </c>
      <c r="AA961">
        <f t="shared" si="282"/>
        <v>0</v>
      </c>
      <c r="AB961" t="s">
        <v>40</v>
      </c>
      <c r="AC961">
        <f t="shared" si="283"/>
        <v>0</v>
      </c>
      <c r="AD961">
        <f t="shared" si="284"/>
        <v>1</v>
      </c>
      <c r="AE961" t="s">
        <v>90</v>
      </c>
      <c r="AF961">
        <f>IF(AE961="website",1,0)</f>
        <v>0</v>
      </c>
    </row>
    <row r="962" spans="1:32">
      <c r="A962" t="s">
        <v>1606</v>
      </c>
      <c r="B962" t="s">
        <v>33</v>
      </c>
      <c r="C962" s="3">
        <f t="shared" ref="C962:C1025" si="285">IF(B962="company",1,0)</f>
        <v>0</v>
      </c>
      <c r="D962">
        <f t="shared" ref="D962:D1025" si="286">IF(B962="individual",1,0)</f>
        <v>1</v>
      </c>
      <c r="E962" t="s">
        <v>575</v>
      </c>
      <c r="F962" t="s">
        <v>730</v>
      </c>
      <c r="G962" s="1">
        <v>27244</v>
      </c>
      <c r="H962" s="2">
        <f t="shared" ref="H962:H1025" ca="1" si="287">DATEDIF(G962,TODAY(),"Y")</f>
        <v>52</v>
      </c>
      <c r="I962" s="2">
        <f t="shared" ref="I962:I1025" ca="1" si="288">(H962-MIN(H:H))/(MAX(H:H)-MIN(H:H))</f>
        <v>0.38571428571428573</v>
      </c>
      <c r="J962" t="s">
        <v>45</v>
      </c>
      <c r="K962" t="s">
        <v>248</v>
      </c>
      <c r="L962">
        <f t="shared" ref="L962:L1025" si="289">IF(K962="usa",1,0)</f>
        <v>0</v>
      </c>
      <c r="M962">
        <f t="shared" ref="M962:M1025" si="290">IF(K962="canada",1,0)</f>
        <v>0</v>
      </c>
      <c r="N962">
        <f t="shared" ref="N962:N1025" si="291">IF(K962="germany",1,0)</f>
        <v>0</v>
      </c>
      <c r="O962" t="s">
        <v>836</v>
      </c>
      <c r="P962">
        <f t="shared" ref="P962:P1025" si="292">IF(O962="california",1,0)</f>
        <v>0</v>
      </c>
      <c r="Q962">
        <f t="shared" ref="Q962:Q1025" si="293">IF(O962="oregon",1,0)</f>
        <v>0</v>
      </c>
      <c r="R962">
        <f t="shared" ref="R962:R1025" si="294">IF(O962="quebec",1,0)</f>
        <v>0</v>
      </c>
      <c r="S962">
        <f t="shared" ref="S962:S1025" si="295">IF(O962="berlin",1,0)</f>
        <v>0</v>
      </c>
      <c r="T962">
        <f t="shared" ref="T962:T1025" si="296">IF(O962="arizona",1,0)</f>
        <v>0</v>
      </c>
      <c r="U962">
        <f t="shared" ref="U962:U1025" si="297">IF(O962="nevada",1,0)</f>
        <v>0</v>
      </c>
      <c r="V962">
        <f t="shared" ref="V962:V1025" si="298">IF(O962="colardo",1,0)</f>
        <v>0</v>
      </c>
      <c r="W962" t="s">
        <v>39</v>
      </c>
      <c r="X962">
        <f t="shared" ref="X962:X1025" si="299">IF(W962="home",1,0)</f>
        <v>1</v>
      </c>
      <c r="Y962">
        <f t="shared" ref="Y962:Y1025" si="300">IF(W962="investment",1,0)</f>
        <v>0</v>
      </c>
      <c r="Z962">
        <v>2</v>
      </c>
      <c r="AA962">
        <f t="shared" ref="AA962:AA1025" si="301">(Z962-1)/4</f>
        <v>0.25</v>
      </c>
      <c r="AB962" t="s">
        <v>40</v>
      </c>
      <c r="AC962">
        <f t="shared" ref="AC962:AC1025" si="302">IF(AE962="agency",1,0)</f>
        <v>0</v>
      </c>
      <c r="AD962">
        <f t="shared" ref="AD962:AD1025" si="303">IF(AE962="client",1,0)</f>
        <v>0</v>
      </c>
      <c r="AE962" t="s">
        <v>41</v>
      </c>
      <c r="AF962">
        <f>IF(AE962="website",1,0)</f>
        <v>1</v>
      </c>
    </row>
    <row r="963" spans="1:32">
      <c r="A963" t="s">
        <v>1607</v>
      </c>
      <c r="B963" t="s">
        <v>33</v>
      </c>
      <c r="C963" s="3">
        <f t="shared" si="285"/>
        <v>0</v>
      </c>
      <c r="D963">
        <f t="shared" si="286"/>
        <v>1</v>
      </c>
      <c r="E963" t="s">
        <v>596</v>
      </c>
      <c r="F963" t="s">
        <v>513</v>
      </c>
      <c r="G963" s="1">
        <v>14810</v>
      </c>
      <c r="H963" s="2">
        <f t="shared" ca="1" si="287"/>
        <v>86</v>
      </c>
      <c r="I963" s="2">
        <f t="shared" ca="1" si="288"/>
        <v>0.87142857142857144</v>
      </c>
      <c r="J963" t="s">
        <v>45</v>
      </c>
      <c r="K963" t="s">
        <v>37</v>
      </c>
      <c r="L963">
        <f t="shared" si="289"/>
        <v>1</v>
      </c>
      <c r="M963">
        <f t="shared" si="290"/>
        <v>0</v>
      </c>
      <c r="N963">
        <f t="shared" si="291"/>
        <v>0</v>
      </c>
      <c r="O963" t="s">
        <v>38</v>
      </c>
      <c r="P963">
        <f t="shared" si="292"/>
        <v>1</v>
      </c>
      <c r="Q963">
        <f t="shared" si="293"/>
        <v>0</v>
      </c>
      <c r="R963">
        <f t="shared" si="294"/>
        <v>0</v>
      </c>
      <c r="S963">
        <f t="shared" si="295"/>
        <v>0</v>
      </c>
      <c r="T963">
        <f t="shared" si="296"/>
        <v>0</v>
      </c>
      <c r="U963">
        <f t="shared" si="297"/>
        <v>0</v>
      </c>
      <c r="V963">
        <f t="shared" si="298"/>
        <v>0</v>
      </c>
      <c r="W963" t="s">
        <v>39</v>
      </c>
      <c r="X963">
        <f t="shared" si="299"/>
        <v>1</v>
      </c>
      <c r="Y963">
        <f t="shared" si="300"/>
        <v>0</v>
      </c>
      <c r="Z963">
        <v>4</v>
      </c>
      <c r="AA963">
        <f t="shared" si="301"/>
        <v>0.75</v>
      </c>
      <c r="AB963" t="s">
        <v>46</v>
      </c>
      <c r="AC963">
        <f t="shared" si="302"/>
        <v>0</v>
      </c>
      <c r="AD963">
        <f t="shared" si="303"/>
        <v>0</v>
      </c>
      <c r="AE963" t="s">
        <v>41</v>
      </c>
      <c r="AF963">
        <f>IF(AE963="website",1,0)</f>
        <v>1</v>
      </c>
    </row>
    <row r="964" spans="1:32">
      <c r="A964" t="s">
        <v>1608</v>
      </c>
      <c r="B964" t="s">
        <v>33</v>
      </c>
      <c r="C964" s="3">
        <f t="shared" si="285"/>
        <v>0</v>
      </c>
      <c r="D964">
        <f t="shared" si="286"/>
        <v>1</v>
      </c>
      <c r="E964" t="s">
        <v>659</v>
      </c>
      <c r="F964" t="s">
        <v>840</v>
      </c>
      <c r="G964" s="1">
        <v>15197</v>
      </c>
      <c r="H964" s="2">
        <f t="shared" ca="1" si="287"/>
        <v>85</v>
      </c>
      <c r="I964" s="2">
        <f t="shared" ca="1" si="288"/>
        <v>0.8571428571428571</v>
      </c>
      <c r="J964" t="s">
        <v>45</v>
      </c>
      <c r="K964" t="s">
        <v>65</v>
      </c>
      <c r="L964">
        <f t="shared" si="289"/>
        <v>0</v>
      </c>
      <c r="M964">
        <f t="shared" si="290"/>
        <v>1</v>
      </c>
      <c r="N964">
        <f t="shared" si="291"/>
        <v>0</v>
      </c>
      <c r="O964" t="s">
        <v>843</v>
      </c>
      <c r="P964">
        <f t="shared" si="292"/>
        <v>0</v>
      </c>
      <c r="Q964">
        <f t="shared" si="293"/>
        <v>0</v>
      </c>
      <c r="R964">
        <f t="shared" si="294"/>
        <v>0</v>
      </c>
      <c r="S964">
        <f t="shared" si="295"/>
        <v>0</v>
      </c>
      <c r="T964">
        <f t="shared" si="296"/>
        <v>0</v>
      </c>
      <c r="U964">
        <f t="shared" si="297"/>
        <v>0</v>
      </c>
      <c r="V964">
        <f t="shared" si="298"/>
        <v>0</v>
      </c>
      <c r="W964" t="s">
        <v>39</v>
      </c>
      <c r="X964">
        <f t="shared" si="299"/>
        <v>1</v>
      </c>
      <c r="Y964">
        <f t="shared" si="300"/>
        <v>0</v>
      </c>
      <c r="Z964">
        <v>4</v>
      </c>
      <c r="AA964">
        <f t="shared" si="301"/>
        <v>0.75</v>
      </c>
      <c r="AB964" t="s">
        <v>46</v>
      </c>
      <c r="AC964">
        <f t="shared" si="302"/>
        <v>1</v>
      </c>
      <c r="AD964">
        <f t="shared" si="303"/>
        <v>0</v>
      </c>
      <c r="AE964" t="s">
        <v>50</v>
      </c>
      <c r="AF964">
        <f>IF(AE964="website",1,0)</f>
        <v>0</v>
      </c>
    </row>
    <row r="965" spans="1:32">
      <c r="A965" t="s">
        <v>1609</v>
      </c>
      <c r="B965" t="s">
        <v>33</v>
      </c>
      <c r="C965" s="3">
        <f t="shared" si="285"/>
        <v>0</v>
      </c>
      <c r="D965">
        <f t="shared" si="286"/>
        <v>1</v>
      </c>
      <c r="E965" t="s">
        <v>753</v>
      </c>
      <c r="F965" t="s">
        <v>549</v>
      </c>
      <c r="G965" s="1">
        <v>19621</v>
      </c>
      <c r="H965" s="2">
        <f t="shared" ca="1" si="287"/>
        <v>73</v>
      </c>
      <c r="I965" s="2">
        <f t="shared" ca="1" si="288"/>
        <v>0.68571428571428572</v>
      </c>
      <c r="J965" t="s">
        <v>36</v>
      </c>
      <c r="K965" t="s">
        <v>37</v>
      </c>
      <c r="L965">
        <f t="shared" si="289"/>
        <v>1</v>
      </c>
      <c r="M965">
        <f t="shared" si="290"/>
        <v>0</v>
      </c>
      <c r="N965">
        <f t="shared" si="291"/>
        <v>0</v>
      </c>
      <c r="O965" t="s">
        <v>38</v>
      </c>
      <c r="P965">
        <f t="shared" si="292"/>
        <v>1</v>
      </c>
      <c r="Q965">
        <f t="shared" si="293"/>
        <v>0</v>
      </c>
      <c r="R965">
        <f t="shared" si="294"/>
        <v>0</v>
      </c>
      <c r="S965">
        <f t="shared" si="295"/>
        <v>0</v>
      </c>
      <c r="T965">
        <f t="shared" si="296"/>
        <v>0</v>
      </c>
      <c r="U965">
        <f t="shared" si="297"/>
        <v>0</v>
      </c>
      <c r="V965">
        <f t="shared" si="298"/>
        <v>0</v>
      </c>
      <c r="W965" t="s">
        <v>39</v>
      </c>
      <c r="X965">
        <f t="shared" si="299"/>
        <v>1</v>
      </c>
      <c r="Y965">
        <f t="shared" si="300"/>
        <v>0</v>
      </c>
      <c r="Z965">
        <v>4</v>
      </c>
      <c r="AA965">
        <f t="shared" si="301"/>
        <v>0.75</v>
      </c>
      <c r="AB965" t="s">
        <v>46</v>
      </c>
      <c r="AC965">
        <f t="shared" si="302"/>
        <v>0</v>
      </c>
      <c r="AD965">
        <f t="shared" si="303"/>
        <v>0</v>
      </c>
      <c r="AE965" t="s">
        <v>41</v>
      </c>
      <c r="AF965">
        <f>IF(AE965="website",1,0)</f>
        <v>1</v>
      </c>
    </row>
    <row r="966" spans="1:32">
      <c r="A966" t="s">
        <v>1610</v>
      </c>
      <c r="B966" t="s">
        <v>33</v>
      </c>
      <c r="C966" s="3">
        <f t="shared" si="285"/>
        <v>0</v>
      </c>
      <c r="D966">
        <f t="shared" si="286"/>
        <v>1</v>
      </c>
      <c r="E966" t="s">
        <v>639</v>
      </c>
      <c r="F966" t="s">
        <v>613</v>
      </c>
      <c r="G966" s="1">
        <v>22550</v>
      </c>
      <c r="H966" s="2">
        <f t="shared" ca="1" si="287"/>
        <v>65</v>
      </c>
      <c r="I966" s="2">
        <f t="shared" ca="1" si="288"/>
        <v>0.5714285714285714</v>
      </c>
      <c r="J966" t="s">
        <v>36</v>
      </c>
      <c r="K966" t="s">
        <v>37</v>
      </c>
      <c r="L966">
        <f t="shared" si="289"/>
        <v>1</v>
      </c>
      <c r="M966">
        <f t="shared" si="290"/>
        <v>0</v>
      </c>
      <c r="N966">
        <f t="shared" si="291"/>
        <v>0</v>
      </c>
      <c r="O966" t="s">
        <v>717</v>
      </c>
      <c r="P966">
        <f t="shared" si="292"/>
        <v>0</v>
      </c>
      <c r="Q966">
        <f t="shared" si="293"/>
        <v>0</v>
      </c>
      <c r="R966">
        <f t="shared" si="294"/>
        <v>0</v>
      </c>
      <c r="S966">
        <f t="shared" si="295"/>
        <v>0</v>
      </c>
      <c r="T966">
        <f t="shared" si="296"/>
        <v>0</v>
      </c>
      <c r="U966">
        <f t="shared" si="297"/>
        <v>0</v>
      </c>
      <c r="V966">
        <f t="shared" si="298"/>
        <v>0</v>
      </c>
      <c r="W966" t="s">
        <v>58</v>
      </c>
      <c r="X966">
        <f t="shared" si="299"/>
        <v>0</v>
      </c>
      <c r="Y966">
        <f t="shared" si="300"/>
        <v>1</v>
      </c>
      <c r="Z966">
        <v>3</v>
      </c>
      <c r="AA966">
        <f t="shared" si="301"/>
        <v>0.5</v>
      </c>
      <c r="AB966" t="s">
        <v>46</v>
      </c>
      <c r="AC966">
        <f t="shared" si="302"/>
        <v>0</v>
      </c>
      <c r="AD966">
        <f t="shared" si="303"/>
        <v>0</v>
      </c>
      <c r="AE966" t="s">
        <v>41</v>
      </c>
      <c r="AF966">
        <f>IF(AE966="website",1,0)</f>
        <v>1</v>
      </c>
    </row>
    <row r="967" spans="1:32">
      <c r="A967" t="s">
        <v>1611</v>
      </c>
      <c r="B967" t="s">
        <v>55</v>
      </c>
      <c r="C967" s="3">
        <f t="shared" si="285"/>
        <v>1</v>
      </c>
      <c r="D967">
        <f t="shared" si="286"/>
        <v>0</v>
      </c>
      <c r="E967" t="s">
        <v>1175</v>
      </c>
      <c r="F967" t="s">
        <v>57</v>
      </c>
      <c r="G967" s="1">
        <v>34983</v>
      </c>
      <c r="H967" s="2">
        <f t="shared" ca="1" si="287"/>
        <v>30</v>
      </c>
      <c r="I967" s="2">
        <f t="shared" ca="1" si="288"/>
        <v>7.1428571428571425E-2</v>
      </c>
      <c r="J967" t="s">
        <v>45</v>
      </c>
      <c r="K967" t="s">
        <v>37</v>
      </c>
      <c r="L967">
        <f t="shared" si="289"/>
        <v>1</v>
      </c>
      <c r="M967">
        <f t="shared" si="290"/>
        <v>0</v>
      </c>
      <c r="N967">
        <f t="shared" si="291"/>
        <v>0</v>
      </c>
      <c r="O967" t="s">
        <v>38</v>
      </c>
      <c r="P967">
        <f t="shared" si="292"/>
        <v>1</v>
      </c>
      <c r="Q967">
        <f t="shared" si="293"/>
        <v>0</v>
      </c>
      <c r="R967">
        <f t="shared" si="294"/>
        <v>0</v>
      </c>
      <c r="S967">
        <f t="shared" si="295"/>
        <v>0</v>
      </c>
      <c r="T967">
        <f t="shared" si="296"/>
        <v>0</v>
      </c>
      <c r="U967">
        <f t="shared" si="297"/>
        <v>0</v>
      </c>
      <c r="V967">
        <f t="shared" si="298"/>
        <v>0</v>
      </c>
      <c r="W967" t="s">
        <v>58</v>
      </c>
      <c r="X967">
        <f t="shared" si="299"/>
        <v>0</v>
      </c>
      <c r="Y967">
        <f t="shared" si="300"/>
        <v>1</v>
      </c>
      <c r="Z967">
        <v>3</v>
      </c>
      <c r="AA967">
        <f t="shared" si="301"/>
        <v>0.5</v>
      </c>
      <c r="AB967" t="s">
        <v>46</v>
      </c>
      <c r="AC967">
        <f t="shared" si="302"/>
        <v>0</v>
      </c>
      <c r="AD967">
        <f t="shared" si="303"/>
        <v>0</v>
      </c>
      <c r="AE967" t="s">
        <v>41</v>
      </c>
      <c r="AF967">
        <f>IF(AE967="website",1,0)</f>
        <v>1</v>
      </c>
    </row>
    <row r="968" spans="1:32">
      <c r="A968" t="s">
        <v>1612</v>
      </c>
      <c r="B968" t="s">
        <v>33</v>
      </c>
      <c r="C968" s="3">
        <f t="shared" si="285"/>
        <v>0</v>
      </c>
      <c r="D968">
        <f t="shared" si="286"/>
        <v>1</v>
      </c>
      <c r="E968" t="s">
        <v>982</v>
      </c>
      <c r="F968" t="s">
        <v>620</v>
      </c>
      <c r="G968" s="1">
        <v>21570</v>
      </c>
      <c r="H968" s="2">
        <f t="shared" ca="1" si="287"/>
        <v>67</v>
      </c>
      <c r="I968" s="2">
        <f t="shared" ca="1" si="288"/>
        <v>0.6</v>
      </c>
      <c r="J968" t="s">
        <v>36</v>
      </c>
      <c r="K968" t="s">
        <v>37</v>
      </c>
      <c r="L968">
        <f t="shared" si="289"/>
        <v>1</v>
      </c>
      <c r="M968">
        <f t="shared" si="290"/>
        <v>0</v>
      </c>
      <c r="N968">
        <f t="shared" si="291"/>
        <v>0</v>
      </c>
      <c r="O968" t="s">
        <v>38</v>
      </c>
      <c r="P968">
        <f t="shared" si="292"/>
        <v>1</v>
      </c>
      <c r="Q968">
        <f t="shared" si="293"/>
        <v>0</v>
      </c>
      <c r="R968">
        <f t="shared" si="294"/>
        <v>0</v>
      </c>
      <c r="S968">
        <f t="shared" si="295"/>
        <v>0</v>
      </c>
      <c r="T968">
        <f t="shared" si="296"/>
        <v>0</v>
      </c>
      <c r="U968">
        <f t="shared" si="297"/>
        <v>0</v>
      </c>
      <c r="V968">
        <f t="shared" si="298"/>
        <v>0</v>
      </c>
      <c r="W968" t="s">
        <v>39</v>
      </c>
      <c r="X968">
        <f t="shared" si="299"/>
        <v>1</v>
      </c>
      <c r="Y968">
        <f t="shared" si="300"/>
        <v>0</v>
      </c>
      <c r="Z968">
        <v>2</v>
      </c>
      <c r="AA968">
        <f t="shared" si="301"/>
        <v>0.25</v>
      </c>
      <c r="AB968" t="s">
        <v>46</v>
      </c>
      <c r="AC968">
        <f t="shared" si="302"/>
        <v>1</v>
      </c>
      <c r="AD968">
        <f t="shared" si="303"/>
        <v>0</v>
      </c>
      <c r="AE968" t="s">
        <v>50</v>
      </c>
      <c r="AF968">
        <f>IF(AE968="website",1,0)</f>
        <v>0</v>
      </c>
    </row>
    <row r="969" spans="1:32">
      <c r="A969" t="s">
        <v>1613</v>
      </c>
      <c r="B969" t="s">
        <v>33</v>
      </c>
      <c r="C969" s="3">
        <f t="shared" si="285"/>
        <v>0</v>
      </c>
      <c r="D969">
        <f t="shared" si="286"/>
        <v>1</v>
      </c>
      <c r="E969" t="s">
        <v>564</v>
      </c>
      <c r="F969" t="s">
        <v>513</v>
      </c>
      <c r="G969" s="1">
        <v>35024</v>
      </c>
      <c r="H969" s="2">
        <f t="shared" ca="1" si="287"/>
        <v>30</v>
      </c>
      <c r="I969" s="2">
        <f t="shared" ca="1" si="288"/>
        <v>7.1428571428571425E-2</v>
      </c>
      <c r="J969" t="s">
        <v>36</v>
      </c>
      <c r="K969" t="s">
        <v>37</v>
      </c>
      <c r="L969">
        <f t="shared" si="289"/>
        <v>1</v>
      </c>
      <c r="M969">
        <f t="shared" si="290"/>
        <v>0</v>
      </c>
      <c r="N969">
        <f t="shared" si="291"/>
        <v>0</v>
      </c>
      <c r="O969" t="s">
        <v>97</v>
      </c>
      <c r="P969">
        <f t="shared" si="292"/>
        <v>0</v>
      </c>
      <c r="Q969">
        <f t="shared" si="293"/>
        <v>0</v>
      </c>
      <c r="R969">
        <f t="shared" si="294"/>
        <v>0</v>
      </c>
      <c r="S969">
        <f t="shared" si="295"/>
        <v>0</v>
      </c>
      <c r="T969">
        <f t="shared" si="296"/>
        <v>1</v>
      </c>
      <c r="U969">
        <f t="shared" si="297"/>
        <v>0</v>
      </c>
      <c r="V969">
        <f t="shared" si="298"/>
        <v>0</v>
      </c>
      <c r="W969" t="s">
        <v>39</v>
      </c>
      <c r="X969">
        <f t="shared" si="299"/>
        <v>1</v>
      </c>
      <c r="Y969">
        <f t="shared" si="300"/>
        <v>0</v>
      </c>
      <c r="Z969">
        <v>4</v>
      </c>
      <c r="AA969">
        <f t="shared" si="301"/>
        <v>0.75</v>
      </c>
      <c r="AB969" t="s">
        <v>46</v>
      </c>
      <c r="AC969">
        <f t="shared" si="302"/>
        <v>0</v>
      </c>
      <c r="AD969">
        <f t="shared" si="303"/>
        <v>0</v>
      </c>
      <c r="AE969" t="s">
        <v>41</v>
      </c>
      <c r="AF969">
        <f>IF(AE969="website",1,0)</f>
        <v>1</v>
      </c>
    </row>
    <row r="970" spans="1:32">
      <c r="A970" t="s">
        <v>1614</v>
      </c>
      <c r="B970" t="s">
        <v>33</v>
      </c>
      <c r="C970" s="3">
        <f t="shared" si="285"/>
        <v>0</v>
      </c>
      <c r="D970">
        <f t="shared" si="286"/>
        <v>1</v>
      </c>
      <c r="E970" t="s">
        <v>570</v>
      </c>
      <c r="F970" t="s">
        <v>887</v>
      </c>
      <c r="G970" s="1">
        <v>27846</v>
      </c>
      <c r="H970" s="2">
        <f t="shared" ca="1" si="287"/>
        <v>50</v>
      </c>
      <c r="I970" s="2">
        <f t="shared" ca="1" si="288"/>
        <v>0.35714285714285715</v>
      </c>
      <c r="J970" t="s">
        <v>36</v>
      </c>
      <c r="K970" t="s">
        <v>172</v>
      </c>
      <c r="L970">
        <f t="shared" si="289"/>
        <v>0</v>
      </c>
      <c r="M970">
        <f t="shared" si="290"/>
        <v>0</v>
      </c>
      <c r="N970">
        <f t="shared" si="291"/>
        <v>0</v>
      </c>
      <c r="O970" t="s">
        <v>833</v>
      </c>
      <c r="P970">
        <f t="shared" si="292"/>
        <v>0</v>
      </c>
      <c r="Q970">
        <f t="shared" si="293"/>
        <v>0</v>
      </c>
      <c r="R970">
        <f t="shared" si="294"/>
        <v>0</v>
      </c>
      <c r="S970">
        <f t="shared" si="295"/>
        <v>0</v>
      </c>
      <c r="T970">
        <f t="shared" si="296"/>
        <v>0</v>
      </c>
      <c r="U970">
        <f t="shared" si="297"/>
        <v>0</v>
      </c>
      <c r="V970">
        <f t="shared" si="298"/>
        <v>0</v>
      </c>
      <c r="W970" t="s">
        <v>58</v>
      </c>
      <c r="X970">
        <f t="shared" si="299"/>
        <v>0</v>
      </c>
      <c r="Y970">
        <f t="shared" si="300"/>
        <v>1</v>
      </c>
      <c r="Z970">
        <v>1</v>
      </c>
      <c r="AA970">
        <f t="shared" si="301"/>
        <v>0</v>
      </c>
      <c r="AB970" t="s">
        <v>40</v>
      </c>
      <c r="AC970">
        <f t="shared" si="302"/>
        <v>1</v>
      </c>
      <c r="AD970">
        <f t="shared" si="303"/>
        <v>0</v>
      </c>
      <c r="AE970" t="s">
        <v>50</v>
      </c>
      <c r="AF970">
        <f>IF(AE970="website",1,0)</f>
        <v>0</v>
      </c>
    </row>
    <row r="971" spans="1:32">
      <c r="A971" t="s">
        <v>1615</v>
      </c>
      <c r="B971" t="s">
        <v>33</v>
      </c>
      <c r="C971" s="3">
        <f t="shared" si="285"/>
        <v>0</v>
      </c>
      <c r="D971">
        <f t="shared" si="286"/>
        <v>1</v>
      </c>
      <c r="E971" t="s">
        <v>598</v>
      </c>
      <c r="F971" t="s">
        <v>616</v>
      </c>
      <c r="G971" s="1">
        <v>31747</v>
      </c>
      <c r="H971" s="2">
        <f t="shared" ca="1" si="287"/>
        <v>39</v>
      </c>
      <c r="I971" s="2">
        <f t="shared" ca="1" si="288"/>
        <v>0.2</v>
      </c>
      <c r="J971" t="s">
        <v>45</v>
      </c>
      <c r="K971" t="s">
        <v>276</v>
      </c>
      <c r="L971">
        <f t="shared" si="289"/>
        <v>0</v>
      </c>
      <c r="M971">
        <f t="shared" si="290"/>
        <v>0</v>
      </c>
      <c r="N971">
        <f t="shared" si="291"/>
        <v>0</v>
      </c>
      <c r="O971" t="s">
        <v>1173</v>
      </c>
      <c r="P971">
        <f t="shared" si="292"/>
        <v>0</v>
      </c>
      <c r="Q971">
        <f t="shared" si="293"/>
        <v>0</v>
      </c>
      <c r="R971">
        <f t="shared" si="294"/>
        <v>0</v>
      </c>
      <c r="S971">
        <f t="shared" si="295"/>
        <v>0</v>
      </c>
      <c r="T971">
        <f t="shared" si="296"/>
        <v>0</v>
      </c>
      <c r="U971">
        <f t="shared" si="297"/>
        <v>0</v>
      </c>
      <c r="V971">
        <f t="shared" si="298"/>
        <v>0</v>
      </c>
      <c r="W971" t="s">
        <v>39</v>
      </c>
      <c r="X971">
        <f t="shared" si="299"/>
        <v>1</v>
      </c>
      <c r="Y971">
        <f t="shared" si="300"/>
        <v>0</v>
      </c>
      <c r="Z971">
        <v>3</v>
      </c>
      <c r="AA971">
        <f t="shared" si="301"/>
        <v>0.5</v>
      </c>
      <c r="AB971" t="s">
        <v>40</v>
      </c>
      <c r="AC971">
        <f t="shared" si="302"/>
        <v>0</v>
      </c>
      <c r="AD971">
        <f t="shared" si="303"/>
        <v>0</v>
      </c>
      <c r="AE971" t="s">
        <v>41</v>
      </c>
      <c r="AF971">
        <f>IF(AE971="website",1,0)</f>
        <v>1</v>
      </c>
    </row>
    <row r="972" spans="1:32">
      <c r="A972" t="s">
        <v>1616</v>
      </c>
      <c r="B972" t="s">
        <v>33</v>
      </c>
      <c r="C972" s="3">
        <f t="shared" si="285"/>
        <v>0</v>
      </c>
      <c r="D972">
        <f t="shared" si="286"/>
        <v>1</v>
      </c>
      <c r="E972" t="s">
        <v>1133</v>
      </c>
      <c r="F972" t="s">
        <v>1270</v>
      </c>
      <c r="G972" s="1">
        <v>25356</v>
      </c>
      <c r="H972" s="2">
        <f t="shared" ca="1" si="287"/>
        <v>57</v>
      </c>
      <c r="I972" s="2">
        <f t="shared" ca="1" si="288"/>
        <v>0.45714285714285713</v>
      </c>
      <c r="J972" t="s">
        <v>36</v>
      </c>
      <c r="K972" t="s">
        <v>37</v>
      </c>
      <c r="L972">
        <f t="shared" si="289"/>
        <v>1</v>
      </c>
      <c r="M972">
        <f t="shared" si="290"/>
        <v>0</v>
      </c>
      <c r="N972">
        <f t="shared" si="291"/>
        <v>0</v>
      </c>
      <c r="O972" t="s">
        <v>137</v>
      </c>
      <c r="P972">
        <f t="shared" si="292"/>
        <v>0</v>
      </c>
      <c r="Q972">
        <f t="shared" si="293"/>
        <v>0</v>
      </c>
      <c r="R972">
        <f t="shared" si="294"/>
        <v>0</v>
      </c>
      <c r="S972">
        <f t="shared" si="295"/>
        <v>0</v>
      </c>
      <c r="T972">
        <f t="shared" si="296"/>
        <v>0</v>
      </c>
      <c r="U972">
        <f t="shared" si="297"/>
        <v>0</v>
      </c>
      <c r="V972">
        <f t="shared" si="298"/>
        <v>0</v>
      </c>
      <c r="W972" t="s">
        <v>58</v>
      </c>
      <c r="X972">
        <f t="shared" si="299"/>
        <v>0</v>
      </c>
      <c r="Y972">
        <f t="shared" si="300"/>
        <v>1</v>
      </c>
      <c r="Z972">
        <v>5</v>
      </c>
      <c r="AA972">
        <f t="shared" si="301"/>
        <v>1</v>
      </c>
      <c r="AB972" t="s">
        <v>40</v>
      </c>
      <c r="AC972">
        <f t="shared" si="302"/>
        <v>0</v>
      </c>
      <c r="AD972">
        <f t="shared" si="303"/>
        <v>0</v>
      </c>
      <c r="AE972" t="s">
        <v>41</v>
      </c>
      <c r="AF972">
        <f>IF(AE972="website",1,0)</f>
        <v>1</v>
      </c>
    </row>
    <row r="973" spans="1:32">
      <c r="A973" t="s">
        <v>1617</v>
      </c>
      <c r="B973" t="s">
        <v>33</v>
      </c>
      <c r="C973" s="3">
        <f t="shared" si="285"/>
        <v>0</v>
      </c>
      <c r="D973">
        <f t="shared" si="286"/>
        <v>1</v>
      </c>
      <c r="E973" t="s">
        <v>1370</v>
      </c>
      <c r="F973" t="s">
        <v>667</v>
      </c>
      <c r="G973" s="1">
        <v>23636</v>
      </c>
      <c r="H973" s="2">
        <f t="shared" ca="1" si="287"/>
        <v>62</v>
      </c>
      <c r="I973" s="2">
        <f t="shared" ca="1" si="288"/>
        <v>0.52857142857142858</v>
      </c>
      <c r="J973" t="s">
        <v>36</v>
      </c>
      <c r="K973" t="s">
        <v>37</v>
      </c>
      <c r="L973">
        <f t="shared" si="289"/>
        <v>1</v>
      </c>
      <c r="M973">
        <f t="shared" si="290"/>
        <v>0</v>
      </c>
      <c r="N973">
        <f t="shared" si="291"/>
        <v>0</v>
      </c>
      <c r="O973" t="s">
        <v>97</v>
      </c>
      <c r="P973">
        <f t="shared" si="292"/>
        <v>0</v>
      </c>
      <c r="Q973">
        <f t="shared" si="293"/>
        <v>0</v>
      </c>
      <c r="R973">
        <f t="shared" si="294"/>
        <v>0</v>
      </c>
      <c r="S973">
        <f t="shared" si="295"/>
        <v>0</v>
      </c>
      <c r="T973">
        <f t="shared" si="296"/>
        <v>1</v>
      </c>
      <c r="U973">
        <f t="shared" si="297"/>
        <v>0</v>
      </c>
      <c r="V973">
        <f t="shared" si="298"/>
        <v>0</v>
      </c>
      <c r="W973" t="s">
        <v>39</v>
      </c>
      <c r="X973">
        <f t="shared" si="299"/>
        <v>1</v>
      </c>
      <c r="Y973">
        <f t="shared" si="300"/>
        <v>0</v>
      </c>
      <c r="Z973">
        <v>5</v>
      </c>
      <c r="AA973">
        <f t="shared" si="301"/>
        <v>1</v>
      </c>
      <c r="AB973" t="s">
        <v>46</v>
      </c>
      <c r="AC973">
        <f t="shared" si="302"/>
        <v>1</v>
      </c>
      <c r="AD973">
        <f t="shared" si="303"/>
        <v>0</v>
      </c>
      <c r="AE973" t="s">
        <v>50</v>
      </c>
      <c r="AF973">
        <f>IF(AE973="website",1,0)</f>
        <v>0</v>
      </c>
    </row>
    <row r="974" spans="1:32">
      <c r="A974" t="s">
        <v>1618</v>
      </c>
      <c r="B974" t="s">
        <v>33</v>
      </c>
      <c r="C974" s="3">
        <f t="shared" si="285"/>
        <v>0</v>
      </c>
      <c r="D974">
        <f t="shared" si="286"/>
        <v>1</v>
      </c>
      <c r="E974" t="s">
        <v>527</v>
      </c>
      <c r="F974" t="s">
        <v>691</v>
      </c>
      <c r="G974" s="1">
        <v>33941</v>
      </c>
      <c r="H974" s="2">
        <f t="shared" ca="1" si="287"/>
        <v>33</v>
      </c>
      <c r="I974" s="2">
        <f t="shared" ca="1" si="288"/>
        <v>0.11428571428571428</v>
      </c>
      <c r="J974" t="s">
        <v>45</v>
      </c>
      <c r="K974" t="s">
        <v>37</v>
      </c>
      <c r="L974">
        <f t="shared" si="289"/>
        <v>1</v>
      </c>
      <c r="M974">
        <f t="shared" si="290"/>
        <v>0</v>
      </c>
      <c r="N974">
        <f t="shared" si="291"/>
        <v>0</v>
      </c>
      <c r="O974" t="s">
        <v>38</v>
      </c>
      <c r="P974">
        <f t="shared" si="292"/>
        <v>1</v>
      </c>
      <c r="Q974">
        <f t="shared" si="293"/>
        <v>0</v>
      </c>
      <c r="R974">
        <f t="shared" si="294"/>
        <v>0</v>
      </c>
      <c r="S974">
        <f t="shared" si="295"/>
        <v>0</v>
      </c>
      <c r="T974">
        <f t="shared" si="296"/>
        <v>0</v>
      </c>
      <c r="U974">
        <f t="shared" si="297"/>
        <v>0</v>
      </c>
      <c r="V974">
        <f t="shared" si="298"/>
        <v>0</v>
      </c>
      <c r="W974" t="s">
        <v>58</v>
      </c>
      <c r="X974">
        <f t="shared" si="299"/>
        <v>0</v>
      </c>
      <c r="Y974">
        <f t="shared" si="300"/>
        <v>1</v>
      </c>
      <c r="Z974">
        <v>2</v>
      </c>
      <c r="AA974">
        <f t="shared" si="301"/>
        <v>0.25</v>
      </c>
      <c r="AB974" t="s">
        <v>46</v>
      </c>
      <c r="AC974">
        <f t="shared" si="302"/>
        <v>0</v>
      </c>
      <c r="AD974">
        <f t="shared" si="303"/>
        <v>1</v>
      </c>
      <c r="AE974" t="s">
        <v>90</v>
      </c>
      <c r="AF974">
        <f>IF(AE974="website",1,0)</f>
        <v>0</v>
      </c>
    </row>
    <row r="975" spans="1:32">
      <c r="A975" t="s">
        <v>1619</v>
      </c>
      <c r="B975" t="s">
        <v>33</v>
      </c>
      <c r="C975" s="3">
        <f t="shared" si="285"/>
        <v>0</v>
      </c>
      <c r="D975">
        <f t="shared" si="286"/>
        <v>1</v>
      </c>
      <c r="E975" t="s">
        <v>419</v>
      </c>
      <c r="F975" t="s">
        <v>513</v>
      </c>
      <c r="G975" s="1">
        <v>22423</v>
      </c>
      <c r="H975" s="2">
        <f t="shared" ca="1" si="287"/>
        <v>65</v>
      </c>
      <c r="I975" s="2">
        <f t="shared" ca="1" si="288"/>
        <v>0.5714285714285714</v>
      </c>
      <c r="J975" t="s">
        <v>45</v>
      </c>
      <c r="K975" t="s">
        <v>37</v>
      </c>
      <c r="L975">
        <f t="shared" si="289"/>
        <v>1</v>
      </c>
      <c r="M975">
        <f t="shared" si="290"/>
        <v>0</v>
      </c>
      <c r="N975">
        <f t="shared" si="291"/>
        <v>0</v>
      </c>
      <c r="O975" t="s">
        <v>717</v>
      </c>
      <c r="P975">
        <f t="shared" si="292"/>
        <v>0</v>
      </c>
      <c r="Q975">
        <f t="shared" si="293"/>
        <v>0</v>
      </c>
      <c r="R975">
        <f t="shared" si="294"/>
        <v>0</v>
      </c>
      <c r="S975">
        <f t="shared" si="295"/>
        <v>0</v>
      </c>
      <c r="T975">
        <f t="shared" si="296"/>
        <v>0</v>
      </c>
      <c r="U975">
        <f t="shared" si="297"/>
        <v>0</v>
      </c>
      <c r="V975">
        <f t="shared" si="298"/>
        <v>0</v>
      </c>
      <c r="W975" t="s">
        <v>39</v>
      </c>
      <c r="X975">
        <f t="shared" si="299"/>
        <v>1</v>
      </c>
      <c r="Y975">
        <f t="shared" si="300"/>
        <v>0</v>
      </c>
      <c r="Z975">
        <v>1</v>
      </c>
      <c r="AA975">
        <f t="shared" si="301"/>
        <v>0</v>
      </c>
      <c r="AB975" t="s">
        <v>46</v>
      </c>
      <c r="AC975">
        <f t="shared" si="302"/>
        <v>1</v>
      </c>
      <c r="AD975">
        <f t="shared" si="303"/>
        <v>0</v>
      </c>
      <c r="AE975" t="s">
        <v>50</v>
      </c>
      <c r="AF975">
        <f>IF(AE975="website",1,0)</f>
        <v>0</v>
      </c>
    </row>
    <row r="976" spans="1:32">
      <c r="A976" t="s">
        <v>1620</v>
      </c>
      <c r="B976" t="s">
        <v>33</v>
      </c>
      <c r="C976" s="3">
        <f t="shared" si="285"/>
        <v>0</v>
      </c>
      <c r="D976">
        <f t="shared" si="286"/>
        <v>1</v>
      </c>
      <c r="E976" t="s">
        <v>1032</v>
      </c>
      <c r="F976" t="s">
        <v>641</v>
      </c>
      <c r="G976" s="1">
        <v>16992</v>
      </c>
      <c r="H976" s="2">
        <f t="shared" ca="1" si="287"/>
        <v>80</v>
      </c>
      <c r="I976" s="2">
        <f t="shared" ca="1" si="288"/>
        <v>0.7857142857142857</v>
      </c>
      <c r="J976" t="s">
        <v>45</v>
      </c>
      <c r="K976" t="s">
        <v>37</v>
      </c>
      <c r="L976">
        <f t="shared" si="289"/>
        <v>1</v>
      </c>
      <c r="M976">
        <f t="shared" si="290"/>
        <v>0</v>
      </c>
      <c r="N976">
        <f t="shared" si="291"/>
        <v>0</v>
      </c>
      <c r="O976" t="s">
        <v>183</v>
      </c>
      <c r="P976">
        <f t="shared" si="292"/>
        <v>0</v>
      </c>
      <c r="Q976">
        <f t="shared" si="293"/>
        <v>0</v>
      </c>
      <c r="R976">
        <f t="shared" si="294"/>
        <v>0</v>
      </c>
      <c r="S976">
        <f t="shared" si="295"/>
        <v>0</v>
      </c>
      <c r="T976">
        <f t="shared" si="296"/>
        <v>0</v>
      </c>
      <c r="U976">
        <f t="shared" si="297"/>
        <v>0</v>
      </c>
      <c r="V976">
        <f t="shared" si="298"/>
        <v>0</v>
      </c>
      <c r="W976" t="s">
        <v>39</v>
      </c>
      <c r="X976">
        <f t="shared" si="299"/>
        <v>1</v>
      </c>
      <c r="Y976">
        <f t="shared" si="300"/>
        <v>0</v>
      </c>
      <c r="Z976">
        <v>4</v>
      </c>
      <c r="AA976">
        <f t="shared" si="301"/>
        <v>0.75</v>
      </c>
      <c r="AB976" t="s">
        <v>46</v>
      </c>
      <c r="AC976">
        <f t="shared" si="302"/>
        <v>0</v>
      </c>
      <c r="AD976">
        <f t="shared" si="303"/>
        <v>0</v>
      </c>
      <c r="AE976" t="s">
        <v>41</v>
      </c>
      <c r="AF976">
        <f>IF(AE976="website",1,0)</f>
        <v>1</v>
      </c>
    </row>
    <row r="977" spans="1:32">
      <c r="A977" t="s">
        <v>1621</v>
      </c>
      <c r="B977" t="s">
        <v>33</v>
      </c>
      <c r="C977" s="3">
        <f t="shared" si="285"/>
        <v>0</v>
      </c>
      <c r="D977">
        <f t="shared" si="286"/>
        <v>1</v>
      </c>
      <c r="E977" t="s">
        <v>635</v>
      </c>
      <c r="F977" t="s">
        <v>364</v>
      </c>
      <c r="G977" s="1">
        <v>30515</v>
      </c>
      <c r="H977" s="2">
        <f t="shared" ca="1" si="287"/>
        <v>43</v>
      </c>
      <c r="I977" s="2">
        <f t="shared" ca="1" si="288"/>
        <v>0.25714285714285712</v>
      </c>
      <c r="J977" t="s">
        <v>45</v>
      </c>
      <c r="K977" t="s">
        <v>37</v>
      </c>
      <c r="L977">
        <f t="shared" si="289"/>
        <v>1</v>
      </c>
      <c r="M977">
        <f t="shared" si="290"/>
        <v>0</v>
      </c>
      <c r="N977">
        <f t="shared" si="291"/>
        <v>0</v>
      </c>
      <c r="O977" t="s">
        <v>38</v>
      </c>
      <c r="P977">
        <f t="shared" si="292"/>
        <v>1</v>
      </c>
      <c r="Q977">
        <f t="shared" si="293"/>
        <v>0</v>
      </c>
      <c r="R977">
        <f t="shared" si="294"/>
        <v>0</v>
      </c>
      <c r="S977">
        <f t="shared" si="295"/>
        <v>0</v>
      </c>
      <c r="T977">
        <f t="shared" si="296"/>
        <v>0</v>
      </c>
      <c r="U977">
        <f t="shared" si="297"/>
        <v>0</v>
      </c>
      <c r="V977">
        <f t="shared" si="298"/>
        <v>0</v>
      </c>
      <c r="W977" t="s">
        <v>39</v>
      </c>
      <c r="X977">
        <f t="shared" si="299"/>
        <v>1</v>
      </c>
      <c r="Y977">
        <f t="shared" si="300"/>
        <v>0</v>
      </c>
      <c r="Z977">
        <v>4</v>
      </c>
      <c r="AA977">
        <f t="shared" si="301"/>
        <v>0.75</v>
      </c>
      <c r="AB977" t="s">
        <v>40</v>
      </c>
      <c r="AC977">
        <f t="shared" si="302"/>
        <v>0</v>
      </c>
      <c r="AD977">
        <f t="shared" si="303"/>
        <v>0</v>
      </c>
      <c r="AE977" t="s">
        <v>41</v>
      </c>
      <c r="AF977">
        <f>IF(AE977="website",1,0)</f>
        <v>1</v>
      </c>
    </row>
    <row r="978" spans="1:32">
      <c r="A978" t="s">
        <v>1622</v>
      </c>
      <c r="B978" t="s">
        <v>33</v>
      </c>
      <c r="C978" s="3">
        <f t="shared" si="285"/>
        <v>0</v>
      </c>
      <c r="D978">
        <f t="shared" si="286"/>
        <v>1</v>
      </c>
      <c r="E978" t="s">
        <v>635</v>
      </c>
      <c r="F978" t="s">
        <v>659</v>
      </c>
      <c r="G978" s="1">
        <v>35162</v>
      </c>
      <c r="H978" s="2">
        <f t="shared" ca="1" si="287"/>
        <v>30</v>
      </c>
      <c r="I978" s="2">
        <f t="shared" ca="1" si="288"/>
        <v>7.1428571428571425E-2</v>
      </c>
      <c r="J978" t="s">
        <v>45</v>
      </c>
      <c r="K978" t="s">
        <v>37</v>
      </c>
      <c r="L978">
        <f t="shared" si="289"/>
        <v>1</v>
      </c>
      <c r="M978">
        <f t="shared" si="290"/>
        <v>0</v>
      </c>
      <c r="N978">
        <f t="shared" si="291"/>
        <v>0</v>
      </c>
      <c r="O978" t="s">
        <v>38</v>
      </c>
      <c r="P978">
        <f t="shared" si="292"/>
        <v>1</v>
      </c>
      <c r="Q978">
        <f t="shared" si="293"/>
        <v>0</v>
      </c>
      <c r="R978">
        <f t="shared" si="294"/>
        <v>0</v>
      </c>
      <c r="S978">
        <f t="shared" si="295"/>
        <v>0</v>
      </c>
      <c r="T978">
        <f t="shared" si="296"/>
        <v>0</v>
      </c>
      <c r="U978">
        <f t="shared" si="297"/>
        <v>0</v>
      </c>
      <c r="V978">
        <f t="shared" si="298"/>
        <v>0</v>
      </c>
      <c r="W978" t="s">
        <v>39</v>
      </c>
      <c r="X978">
        <f t="shared" si="299"/>
        <v>1</v>
      </c>
      <c r="Y978">
        <f t="shared" si="300"/>
        <v>0</v>
      </c>
      <c r="Z978">
        <v>1</v>
      </c>
      <c r="AA978">
        <f t="shared" si="301"/>
        <v>0</v>
      </c>
      <c r="AB978" t="s">
        <v>46</v>
      </c>
      <c r="AC978">
        <f t="shared" si="302"/>
        <v>1</v>
      </c>
      <c r="AD978">
        <f t="shared" si="303"/>
        <v>0</v>
      </c>
      <c r="AE978" t="s">
        <v>50</v>
      </c>
      <c r="AF978">
        <f>IF(AE978="website",1,0)</f>
        <v>0</v>
      </c>
    </row>
    <row r="979" spans="1:32">
      <c r="A979" t="s">
        <v>1623</v>
      </c>
      <c r="B979" t="s">
        <v>33</v>
      </c>
      <c r="C979" s="3">
        <f t="shared" si="285"/>
        <v>0</v>
      </c>
      <c r="D979">
        <f t="shared" si="286"/>
        <v>1</v>
      </c>
      <c r="E979" t="s">
        <v>639</v>
      </c>
      <c r="F979" t="s">
        <v>247</v>
      </c>
      <c r="G979" s="1">
        <v>23326</v>
      </c>
      <c r="H979" s="2">
        <f t="shared" ca="1" si="287"/>
        <v>62</v>
      </c>
      <c r="I979" s="2">
        <f t="shared" ca="1" si="288"/>
        <v>0.52857142857142858</v>
      </c>
      <c r="J979" t="s">
        <v>36</v>
      </c>
      <c r="K979" t="s">
        <v>37</v>
      </c>
      <c r="L979">
        <f t="shared" si="289"/>
        <v>1</v>
      </c>
      <c r="M979">
        <f t="shared" si="290"/>
        <v>0</v>
      </c>
      <c r="N979">
        <f t="shared" si="291"/>
        <v>0</v>
      </c>
      <c r="O979" t="s">
        <v>38</v>
      </c>
      <c r="P979">
        <f t="shared" si="292"/>
        <v>1</v>
      </c>
      <c r="Q979">
        <f t="shared" si="293"/>
        <v>0</v>
      </c>
      <c r="R979">
        <f t="shared" si="294"/>
        <v>0</v>
      </c>
      <c r="S979">
        <f t="shared" si="295"/>
        <v>0</v>
      </c>
      <c r="T979">
        <f t="shared" si="296"/>
        <v>0</v>
      </c>
      <c r="U979">
        <f t="shared" si="297"/>
        <v>0</v>
      </c>
      <c r="V979">
        <f t="shared" si="298"/>
        <v>0</v>
      </c>
      <c r="W979" t="s">
        <v>39</v>
      </c>
      <c r="X979">
        <f t="shared" si="299"/>
        <v>1</v>
      </c>
      <c r="Y979">
        <f t="shared" si="300"/>
        <v>0</v>
      </c>
      <c r="Z979">
        <v>4</v>
      </c>
      <c r="AA979">
        <f t="shared" si="301"/>
        <v>0.75</v>
      </c>
      <c r="AB979" t="s">
        <v>40</v>
      </c>
      <c r="AC979">
        <f t="shared" si="302"/>
        <v>0</v>
      </c>
      <c r="AD979">
        <f t="shared" si="303"/>
        <v>0</v>
      </c>
      <c r="AE979" t="s">
        <v>41</v>
      </c>
      <c r="AF979">
        <f>IF(AE979="website",1,0)</f>
        <v>1</v>
      </c>
    </row>
    <row r="980" spans="1:32">
      <c r="A980" t="s">
        <v>1624</v>
      </c>
      <c r="B980" t="s">
        <v>33</v>
      </c>
      <c r="C980" s="3">
        <f t="shared" si="285"/>
        <v>0</v>
      </c>
      <c r="D980">
        <f t="shared" si="286"/>
        <v>1</v>
      </c>
      <c r="E980" t="s">
        <v>950</v>
      </c>
      <c r="F980" t="s">
        <v>653</v>
      </c>
      <c r="G980" s="1">
        <v>14666</v>
      </c>
      <c r="H980" s="2">
        <f t="shared" ca="1" si="287"/>
        <v>86</v>
      </c>
      <c r="I980" s="2">
        <f t="shared" ca="1" si="288"/>
        <v>0.87142857142857144</v>
      </c>
      <c r="J980" t="s">
        <v>36</v>
      </c>
      <c r="K980" t="s">
        <v>65</v>
      </c>
      <c r="L980">
        <f t="shared" si="289"/>
        <v>0</v>
      </c>
      <c r="M980">
        <f t="shared" si="290"/>
        <v>1</v>
      </c>
      <c r="N980">
        <f t="shared" si="291"/>
        <v>0</v>
      </c>
      <c r="O980" t="s">
        <v>66</v>
      </c>
      <c r="P980">
        <f t="shared" si="292"/>
        <v>0</v>
      </c>
      <c r="Q980">
        <f t="shared" si="293"/>
        <v>0</v>
      </c>
      <c r="R980">
        <f t="shared" si="294"/>
        <v>1</v>
      </c>
      <c r="S980">
        <f t="shared" si="295"/>
        <v>0</v>
      </c>
      <c r="T980">
        <f t="shared" si="296"/>
        <v>0</v>
      </c>
      <c r="U980">
        <f t="shared" si="297"/>
        <v>0</v>
      </c>
      <c r="V980">
        <f t="shared" si="298"/>
        <v>0</v>
      </c>
      <c r="W980" t="s">
        <v>58</v>
      </c>
      <c r="X980">
        <f t="shared" si="299"/>
        <v>0</v>
      </c>
      <c r="Y980">
        <f t="shared" si="300"/>
        <v>1</v>
      </c>
      <c r="Z980">
        <v>4</v>
      </c>
      <c r="AA980">
        <f t="shared" si="301"/>
        <v>0.75</v>
      </c>
      <c r="AB980" t="s">
        <v>46</v>
      </c>
      <c r="AC980">
        <f t="shared" si="302"/>
        <v>0</v>
      </c>
      <c r="AD980">
        <f t="shared" si="303"/>
        <v>0</v>
      </c>
      <c r="AE980" t="s">
        <v>41</v>
      </c>
      <c r="AF980">
        <f>IF(AE980="website",1,0)</f>
        <v>1</v>
      </c>
    </row>
    <row r="981" spans="1:32">
      <c r="A981" t="s">
        <v>1625</v>
      </c>
      <c r="B981" t="s">
        <v>33</v>
      </c>
      <c r="C981" s="3">
        <f t="shared" si="285"/>
        <v>0</v>
      </c>
      <c r="D981">
        <f t="shared" si="286"/>
        <v>1</v>
      </c>
      <c r="E981" t="s">
        <v>884</v>
      </c>
      <c r="F981" t="s">
        <v>840</v>
      </c>
      <c r="G981" s="1">
        <v>15354</v>
      </c>
      <c r="H981" s="2">
        <f t="shared" ca="1" si="287"/>
        <v>84</v>
      </c>
      <c r="I981" s="2">
        <f t="shared" ca="1" si="288"/>
        <v>0.84285714285714286</v>
      </c>
      <c r="J981" t="s">
        <v>45</v>
      </c>
      <c r="K981" t="s">
        <v>37</v>
      </c>
      <c r="L981">
        <f t="shared" si="289"/>
        <v>1</v>
      </c>
      <c r="M981">
        <f t="shared" si="290"/>
        <v>0</v>
      </c>
      <c r="N981">
        <f t="shared" si="291"/>
        <v>0</v>
      </c>
      <c r="O981" t="s">
        <v>717</v>
      </c>
      <c r="P981">
        <f t="shared" si="292"/>
        <v>0</v>
      </c>
      <c r="Q981">
        <f t="shared" si="293"/>
        <v>0</v>
      </c>
      <c r="R981">
        <f t="shared" si="294"/>
        <v>0</v>
      </c>
      <c r="S981">
        <f t="shared" si="295"/>
        <v>0</v>
      </c>
      <c r="T981">
        <f t="shared" si="296"/>
        <v>0</v>
      </c>
      <c r="U981">
        <f t="shared" si="297"/>
        <v>0</v>
      </c>
      <c r="V981">
        <f t="shared" si="298"/>
        <v>0</v>
      </c>
      <c r="W981" t="s">
        <v>58</v>
      </c>
      <c r="X981">
        <f t="shared" si="299"/>
        <v>0</v>
      </c>
      <c r="Y981">
        <f t="shared" si="300"/>
        <v>1</v>
      </c>
      <c r="Z981">
        <v>1</v>
      </c>
      <c r="AA981">
        <f t="shared" si="301"/>
        <v>0</v>
      </c>
      <c r="AB981" t="s">
        <v>40</v>
      </c>
      <c r="AC981">
        <f t="shared" si="302"/>
        <v>0</v>
      </c>
      <c r="AD981">
        <f t="shared" si="303"/>
        <v>0</v>
      </c>
      <c r="AE981" t="s">
        <v>41</v>
      </c>
      <c r="AF981">
        <f>IF(AE981="website",1,0)</f>
        <v>1</v>
      </c>
    </row>
    <row r="982" spans="1:32">
      <c r="A982" t="s">
        <v>1626</v>
      </c>
      <c r="B982" t="s">
        <v>33</v>
      </c>
      <c r="C982" s="3">
        <f t="shared" si="285"/>
        <v>0</v>
      </c>
      <c r="D982">
        <f t="shared" si="286"/>
        <v>1</v>
      </c>
      <c r="E982" t="s">
        <v>968</v>
      </c>
      <c r="F982" t="s">
        <v>372</v>
      </c>
      <c r="G982" s="1">
        <v>22599</v>
      </c>
      <c r="H982" s="2">
        <f t="shared" ca="1" si="287"/>
        <v>64</v>
      </c>
      <c r="I982" s="2">
        <f t="shared" ca="1" si="288"/>
        <v>0.55714285714285716</v>
      </c>
      <c r="J982" t="s">
        <v>36</v>
      </c>
      <c r="K982" t="s">
        <v>37</v>
      </c>
      <c r="L982">
        <f t="shared" si="289"/>
        <v>1</v>
      </c>
      <c r="M982">
        <f t="shared" si="290"/>
        <v>0</v>
      </c>
      <c r="N982">
        <f t="shared" si="291"/>
        <v>0</v>
      </c>
      <c r="O982" t="s">
        <v>38</v>
      </c>
      <c r="P982">
        <f t="shared" si="292"/>
        <v>1</v>
      </c>
      <c r="Q982">
        <f t="shared" si="293"/>
        <v>0</v>
      </c>
      <c r="R982">
        <f t="shared" si="294"/>
        <v>0</v>
      </c>
      <c r="S982">
        <f t="shared" si="295"/>
        <v>0</v>
      </c>
      <c r="T982">
        <f t="shared" si="296"/>
        <v>0</v>
      </c>
      <c r="U982">
        <f t="shared" si="297"/>
        <v>0</v>
      </c>
      <c r="V982">
        <f t="shared" si="298"/>
        <v>0</v>
      </c>
      <c r="W982" t="s">
        <v>58</v>
      </c>
      <c r="X982">
        <f t="shared" si="299"/>
        <v>0</v>
      </c>
      <c r="Y982">
        <f t="shared" si="300"/>
        <v>1</v>
      </c>
      <c r="Z982">
        <v>1</v>
      </c>
      <c r="AA982">
        <f t="shared" si="301"/>
        <v>0</v>
      </c>
      <c r="AB982" t="s">
        <v>46</v>
      </c>
      <c r="AC982">
        <f t="shared" si="302"/>
        <v>0</v>
      </c>
      <c r="AD982">
        <f t="shared" si="303"/>
        <v>0</v>
      </c>
      <c r="AE982" t="s">
        <v>41</v>
      </c>
      <c r="AF982">
        <f>IF(AE982="website",1,0)</f>
        <v>1</v>
      </c>
    </row>
    <row r="983" spans="1:32">
      <c r="A983" t="s">
        <v>1627</v>
      </c>
      <c r="B983" t="s">
        <v>33</v>
      </c>
      <c r="C983" s="3">
        <f t="shared" si="285"/>
        <v>0</v>
      </c>
      <c r="D983">
        <f t="shared" si="286"/>
        <v>1</v>
      </c>
      <c r="E983" t="s">
        <v>647</v>
      </c>
      <c r="F983" t="s">
        <v>911</v>
      </c>
      <c r="G983" s="1">
        <v>22470</v>
      </c>
      <c r="H983" s="2">
        <f t="shared" ca="1" si="287"/>
        <v>65</v>
      </c>
      <c r="I983" s="2">
        <f t="shared" ca="1" si="288"/>
        <v>0.5714285714285714</v>
      </c>
      <c r="J983" t="s">
        <v>36</v>
      </c>
      <c r="K983" t="s">
        <v>65</v>
      </c>
      <c r="L983">
        <f t="shared" si="289"/>
        <v>0</v>
      </c>
      <c r="M983">
        <f t="shared" si="290"/>
        <v>1</v>
      </c>
      <c r="N983">
        <f t="shared" si="291"/>
        <v>0</v>
      </c>
      <c r="O983" t="s">
        <v>723</v>
      </c>
      <c r="P983">
        <f t="shared" si="292"/>
        <v>0</v>
      </c>
      <c r="Q983">
        <f t="shared" si="293"/>
        <v>0</v>
      </c>
      <c r="R983">
        <f t="shared" si="294"/>
        <v>0</v>
      </c>
      <c r="S983">
        <f t="shared" si="295"/>
        <v>0</v>
      </c>
      <c r="T983">
        <f t="shared" si="296"/>
        <v>0</v>
      </c>
      <c r="U983">
        <f t="shared" si="297"/>
        <v>0</v>
      </c>
      <c r="V983">
        <f t="shared" si="298"/>
        <v>0</v>
      </c>
      <c r="W983" t="s">
        <v>58</v>
      </c>
      <c r="X983">
        <f t="shared" si="299"/>
        <v>0</v>
      </c>
      <c r="Y983">
        <f t="shared" si="300"/>
        <v>1</v>
      </c>
      <c r="Z983">
        <v>5</v>
      </c>
      <c r="AA983">
        <f t="shared" si="301"/>
        <v>1</v>
      </c>
      <c r="AB983" t="s">
        <v>40</v>
      </c>
      <c r="AC983">
        <f t="shared" si="302"/>
        <v>1</v>
      </c>
      <c r="AD983">
        <f t="shared" si="303"/>
        <v>0</v>
      </c>
      <c r="AE983" t="s">
        <v>50</v>
      </c>
      <c r="AF983">
        <f>IF(AE983="website",1,0)</f>
        <v>0</v>
      </c>
    </row>
    <row r="984" spans="1:32">
      <c r="A984" t="s">
        <v>1628</v>
      </c>
      <c r="B984" t="s">
        <v>33</v>
      </c>
      <c r="C984" s="3">
        <f t="shared" si="285"/>
        <v>0</v>
      </c>
      <c r="D984">
        <f t="shared" si="286"/>
        <v>1</v>
      </c>
      <c r="E984" t="s">
        <v>1117</v>
      </c>
      <c r="F984" t="s">
        <v>757</v>
      </c>
      <c r="G984" s="1">
        <v>34506</v>
      </c>
      <c r="H984" s="2">
        <f t="shared" ca="1" si="287"/>
        <v>32</v>
      </c>
      <c r="I984" s="2">
        <f t="shared" ca="1" si="288"/>
        <v>0.1</v>
      </c>
      <c r="J984" t="s">
        <v>36</v>
      </c>
      <c r="K984" t="s">
        <v>113</v>
      </c>
      <c r="L984">
        <f t="shared" si="289"/>
        <v>0</v>
      </c>
      <c r="M984">
        <f t="shared" si="290"/>
        <v>0</v>
      </c>
      <c r="N984">
        <f t="shared" si="291"/>
        <v>1</v>
      </c>
      <c r="O984" t="s">
        <v>594</v>
      </c>
      <c r="P984">
        <f t="shared" si="292"/>
        <v>0</v>
      </c>
      <c r="Q984">
        <f t="shared" si="293"/>
        <v>0</v>
      </c>
      <c r="R984">
        <f t="shared" si="294"/>
        <v>0</v>
      </c>
      <c r="S984">
        <f t="shared" si="295"/>
        <v>0</v>
      </c>
      <c r="T984">
        <f t="shared" si="296"/>
        <v>0</v>
      </c>
      <c r="U984">
        <f t="shared" si="297"/>
        <v>0</v>
      </c>
      <c r="V984">
        <f t="shared" si="298"/>
        <v>0</v>
      </c>
      <c r="W984" t="s">
        <v>39</v>
      </c>
      <c r="X984">
        <f t="shared" si="299"/>
        <v>1</v>
      </c>
      <c r="Y984">
        <f t="shared" si="300"/>
        <v>0</v>
      </c>
      <c r="Z984">
        <v>4</v>
      </c>
      <c r="AA984">
        <f t="shared" si="301"/>
        <v>0.75</v>
      </c>
      <c r="AB984" t="s">
        <v>46</v>
      </c>
      <c r="AC984">
        <f t="shared" si="302"/>
        <v>0</v>
      </c>
      <c r="AD984">
        <f t="shared" si="303"/>
        <v>0</v>
      </c>
      <c r="AE984" t="s">
        <v>41</v>
      </c>
      <c r="AF984">
        <f>IF(AE984="website",1,0)</f>
        <v>1</v>
      </c>
    </row>
    <row r="985" spans="1:32">
      <c r="A985" t="s">
        <v>1629</v>
      </c>
      <c r="B985" t="s">
        <v>33</v>
      </c>
      <c r="C985" s="3">
        <f t="shared" si="285"/>
        <v>0</v>
      </c>
      <c r="D985">
        <f t="shared" si="286"/>
        <v>1</v>
      </c>
      <c r="E985" t="s">
        <v>658</v>
      </c>
      <c r="F985" t="s">
        <v>616</v>
      </c>
      <c r="G985" s="1">
        <v>22983</v>
      </c>
      <c r="H985" s="2">
        <f t="shared" ca="1" si="287"/>
        <v>63</v>
      </c>
      <c r="I985" s="2">
        <f t="shared" ca="1" si="288"/>
        <v>0.54285714285714282</v>
      </c>
      <c r="J985" t="s">
        <v>45</v>
      </c>
      <c r="K985" t="s">
        <v>65</v>
      </c>
      <c r="L985">
        <f t="shared" si="289"/>
        <v>0</v>
      </c>
      <c r="M985">
        <f t="shared" si="290"/>
        <v>1</v>
      </c>
      <c r="N985">
        <f t="shared" si="291"/>
        <v>0</v>
      </c>
      <c r="O985" t="s">
        <v>642</v>
      </c>
      <c r="P985">
        <f t="shared" si="292"/>
        <v>0</v>
      </c>
      <c r="Q985">
        <f t="shared" si="293"/>
        <v>0</v>
      </c>
      <c r="R985">
        <f t="shared" si="294"/>
        <v>0</v>
      </c>
      <c r="S985">
        <f t="shared" si="295"/>
        <v>0</v>
      </c>
      <c r="T985">
        <f t="shared" si="296"/>
        <v>0</v>
      </c>
      <c r="U985">
        <f t="shared" si="297"/>
        <v>0</v>
      </c>
      <c r="V985">
        <f t="shared" si="298"/>
        <v>0</v>
      </c>
      <c r="W985" t="s">
        <v>39</v>
      </c>
      <c r="X985">
        <f t="shared" si="299"/>
        <v>1</v>
      </c>
      <c r="Y985">
        <f t="shared" si="300"/>
        <v>0</v>
      </c>
      <c r="Z985">
        <v>5</v>
      </c>
      <c r="AA985">
        <f t="shared" si="301"/>
        <v>1</v>
      </c>
      <c r="AB985" t="s">
        <v>40</v>
      </c>
      <c r="AC985">
        <f t="shared" si="302"/>
        <v>1</v>
      </c>
      <c r="AD985">
        <f t="shared" si="303"/>
        <v>0</v>
      </c>
      <c r="AE985" t="s">
        <v>50</v>
      </c>
      <c r="AF985">
        <f>IF(AE985="website",1,0)</f>
        <v>0</v>
      </c>
    </row>
    <row r="986" spans="1:32">
      <c r="A986" t="s">
        <v>1630</v>
      </c>
      <c r="B986" t="s">
        <v>33</v>
      </c>
      <c r="C986" s="3">
        <f t="shared" si="285"/>
        <v>0</v>
      </c>
      <c r="D986">
        <f t="shared" si="286"/>
        <v>1</v>
      </c>
      <c r="E986" t="s">
        <v>829</v>
      </c>
      <c r="F986" t="s">
        <v>928</v>
      </c>
      <c r="G986" s="1">
        <v>20012</v>
      </c>
      <c r="H986" s="2">
        <f t="shared" ca="1" si="287"/>
        <v>71</v>
      </c>
      <c r="I986" s="2">
        <f t="shared" ca="1" si="288"/>
        <v>0.65714285714285714</v>
      </c>
      <c r="J986" t="s">
        <v>36</v>
      </c>
      <c r="K986" t="s">
        <v>37</v>
      </c>
      <c r="L986">
        <f t="shared" si="289"/>
        <v>1</v>
      </c>
      <c r="M986">
        <f t="shared" si="290"/>
        <v>0</v>
      </c>
      <c r="N986">
        <f t="shared" si="291"/>
        <v>0</v>
      </c>
      <c r="O986" t="s">
        <v>38</v>
      </c>
      <c r="P986">
        <f t="shared" si="292"/>
        <v>1</v>
      </c>
      <c r="Q986">
        <f t="shared" si="293"/>
        <v>0</v>
      </c>
      <c r="R986">
        <f t="shared" si="294"/>
        <v>0</v>
      </c>
      <c r="S986">
        <f t="shared" si="295"/>
        <v>0</v>
      </c>
      <c r="T986">
        <f t="shared" si="296"/>
        <v>0</v>
      </c>
      <c r="U986">
        <f t="shared" si="297"/>
        <v>0</v>
      </c>
      <c r="V986">
        <f t="shared" si="298"/>
        <v>0</v>
      </c>
      <c r="W986" t="s">
        <v>39</v>
      </c>
      <c r="X986">
        <f t="shared" si="299"/>
        <v>1</v>
      </c>
      <c r="Y986">
        <f t="shared" si="300"/>
        <v>0</v>
      </c>
      <c r="Z986">
        <v>1</v>
      </c>
      <c r="AA986">
        <f t="shared" si="301"/>
        <v>0</v>
      </c>
      <c r="AB986" t="s">
        <v>40</v>
      </c>
      <c r="AC986">
        <f t="shared" si="302"/>
        <v>0</v>
      </c>
      <c r="AD986">
        <f t="shared" si="303"/>
        <v>0</v>
      </c>
      <c r="AE986" t="s">
        <v>41</v>
      </c>
      <c r="AF986">
        <f>IF(AE986="website",1,0)</f>
        <v>1</v>
      </c>
    </row>
    <row r="987" spans="1:32">
      <c r="A987" t="s">
        <v>1631</v>
      </c>
      <c r="B987" t="s">
        <v>33</v>
      </c>
      <c r="C987" s="3">
        <f t="shared" si="285"/>
        <v>0</v>
      </c>
      <c r="D987">
        <f t="shared" si="286"/>
        <v>1</v>
      </c>
      <c r="E987" t="s">
        <v>332</v>
      </c>
      <c r="F987" t="s">
        <v>887</v>
      </c>
      <c r="G987" s="1">
        <v>29877</v>
      </c>
      <c r="H987" s="2">
        <f t="shared" ca="1" si="287"/>
        <v>44</v>
      </c>
      <c r="I987" s="2">
        <f t="shared" ca="1" si="288"/>
        <v>0.27142857142857141</v>
      </c>
      <c r="J987" t="s">
        <v>36</v>
      </c>
      <c r="K987" t="s">
        <v>172</v>
      </c>
      <c r="L987">
        <f t="shared" si="289"/>
        <v>0</v>
      </c>
      <c r="M987">
        <f t="shared" si="290"/>
        <v>0</v>
      </c>
      <c r="N987">
        <f t="shared" si="291"/>
        <v>0</v>
      </c>
      <c r="O987" t="s">
        <v>355</v>
      </c>
      <c r="P987">
        <f t="shared" si="292"/>
        <v>0</v>
      </c>
      <c r="Q987">
        <f t="shared" si="293"/>
        <v>0</v>
      </c>
      <c r="R987">
        <f t="shared" si="294"/>
        <v>0</v>
      </c>
      <c r="S987">
        <f t="shared" si="295"/>
        <v>0</v>
      </c>
      <c r="T987">
        <f t="shared" si="296"/>
        <v>0</v>
      </c>
      <c r="U987">
        <f t="shared" si="297"/>
        <v>0</v>
      </c>
      <c r="V987">
        <f t="shared" si="298"/>
        <v>0</v>
      </c>
      <c r="W987" t="s">
        <v>39</v>
      </c>
      <c r="X987">
        <f t="shared" si="299"/>
        <v>1</v>
      </c>
      <c r="Y987">
        <f t="shared" si="300"/>
        <v>0</v>
      </c>
      <c r="Z987">
        <v>2</v>
      </c>
      <c r="AA987">
        <f t="shared" si="301"/>
        <v>0.25</v>
      </c>
      <c r="AB987" t="s">
        <v>46</v>
      </c>
      <c r="AC987">
        <f t="shared" si="302"/>
        <v>0</v>
      </c>
      <c r="AD987">
        <f t="shared" si="303"/>
        <v>0</v>
      </c>
      <c r="AE987" t="s">
        <v>41</v>
      </c>
      <c r="AF987">
        <f>IF(AE987="website",1,0)</f>
        <v>1</v>
      </c>
    </row>
    <row r="988" spans="1:32">
      <c r="A988" t="s">
        <v>1632</v>
      </c>
      <c r="B988" t="s">
        <v>33</v>
      </c>
      <c r="C988" s="3">
        <f t="shared" si="285"/>
        <v>0</v>
      </c>
      <c r="D988">
        <f t="shared" si="286"/>
        <v>1</v>
      </c>
      <c r="E988" t="s">
        <v>847</v>
      </c>
      <c r="F988" t="s">
        <v>616</v>
      </c>
      <c r="G988" s="1">
        <v>24767</v>
      </c>
      <c r="H988" s="2">
        <f t="shared" ca="1" si="287"/>
        <v>58</v>
      </c>
      <c r="I988" s="2">
        <f t="shared" ca="1" si="288"/>
        <v>0.47142857142857142</v>
      </c>
      <c r="J988" t="s">
        <v>36</v>
      </c>
      <c r="K988" t="s">
        <v>113</v>
      </c>
      <c r="L988">
        <f t="shared" si="289"/>
        <v>0</v>
      </c>
      <c r="M988">
        <f t="shared" si="290"/>
        <v>0</v>
      </c>
      <c r="N988">
        <f t="shared" si="291"/>
        <v>1</v>
      </c>
      <c r="O988" t="s">
        <v>594</v>
      </c>
      <c r="P988">
        <f t="shared" si="292"/>
        <v>0</v>
      </c>
      <c r="Q988">
        <f t="shared" si="293"/>
        <v>0</v>
      </c>
      <c r="R988">
        <f t="shared" si="294"/>
        <v>0</v>
      </c>
      <c r="S988">
        <f t="shared" si="295"/>
        <v>0</v>
      </c>
      <c r="T988">
        <f t="shared" si="296"/>
        <v>0</v>
      </c>
      <c r="U988">
        <f t="shared" si="297"/>
        <v>0</v>
      </c>
      <c r="V988">
        <f t="shared" si="298"/>
        <v>0</v>
      </c>
      <c r="W988" t="s">
        <v>39</v>
      </c>
      <c r="X988">
        <f t="shared" si="299"/>
        <v>1</v>
      </c>
      <c r="Y988">
        <f t="shared" si="300"/>
        <v>0</v>
      </c>
      <c r="Z988">
        <v>1</v>
      </c>
      <c r="AA988">
        <f t="shared" si="301"/>
        <v>0</v>
      </c>
      <c r="AB988" t="s">
        <v>40</v>
      </c>
      <c r="AC988">
        <f t="shared" si="302"/>
        <v>1</v>
      </c>
      <c r="AD988">
        <f t="shared" si="303"/>
        <v>0</v>
      </c>
      <c r="AE988" t="s">
        <v>50</v>
      </c>
      <c r="AF988">
        <f>IF(AE988="website",1,0)</f>
        <v>0</v>
      </c>
    </row>
    <row r="989" spans="1:32">
      <c r="A989" t="s">
        <v>1633</v>
      </c>
      <c r="B989" t="s">
        <v>33</v>
      </c>
      <c r="C989" s="3">
        <f t="shared" si="285"/>
        <v>0</v>
      </c>
      <c r="D989">
        <f t="shared" si="286"/>
        <v>1</v>
      </c>
      <c r="E989" t="s">
        <v>965</v>
      </c>
      <c r="F989" t="s">
        <v>861</v>
      </c>
      <c r="G989" s="1">
        <v>32254</v>
      </c>
      <c r="H989" s="2">
        <f t="shared" ca="1" si="287"/>
        <v>38</v>
      </c>
      <c r="I989" s="2">
        <f t="shared" ca="1" si="288"/>
        <v>0.18571428571428572</v>
      </c>
      <c r="J989" t="s">
        <v>45</v>
      </c>
      <c r="K989" t="s">
        <v>37</v>
      </c>
      <c r="L989">
        <f t="shared" si="289"/>
        <v>1</v>
      </c>
      <c r="M989">
        <f t="shared" si="290"/>
        <v>0</v>
      </c>
      <c r="N989">
        <f t="shared" si="291"/>
        <v>0</v>
      </c>
      <c r="O989" t="s">
        <v>592</v>
      </c>
      <c r="P989">
        <f t="shared" si="292"/>
        <v>0</v>
      </c>
      <c r="Q989">
        <f t="shared" si="293"/>
        <v>0</v>
      </c>
      <c r="R989">
        <f t="shared" si="294"/>
        <v>0</v>
      </c>
      <c r="S989">
        <f t="shared" si="295"/>
        <v>0</v>
      </c>
      <c r="T989">
        <f t="shared" si="296"/>
        <v>0</v>
      </c>
      <c r="U989">
        <f t="shared" si="297"/>
        <v>0</v>
      </c>
      <c r="V989">
        <f t="shared" si="298"/>
        <v>0</v>
      </c>
      <c r="W989" t="s">
        <v>39</v>
      </c>
      <c r="X989">
        <f t="shared" si="299"/>
        <v>1</v>
      </c>
      <c r="Y989">
        <f t="shared" si="300"/>
        <v>0</v>
      </c>
      <c r="Z989">
        <v>3</v>
      </c>
      <c r="AA989">
        <f t="shared" si="301"/>
        <v>0.5</v>
      </c>
      <c r="AB989" t="s">
        <v>40</v>
      </c>
      <c r="AC989">
        <f t="shared" si="302"/>
        <v>1</v>
      </c>
      <c r="AD989">
        <f t="shared" si="303"/>
        <v>0</v>
      </c>
      <c r="AE989" t="s">
        <v>50</v>
      </c>
      <c r="AF989">
        <f>IF(AE989="website",1,0)</f>
        <v>0</v>
      </c>
    </row>
    <row r="990" spans="1:32">
      <c r="A990" t="s">
        <v>1634</v>
      </c>
      <c r="B990" t="s">
        <v>33</v>
      </c>
      <c r="C990" s="3">
        <f t="shared" si="285"/>
        <v>0</v>
      </c>
      <c r="D990">
        <f t="shared" si="286"/>
        <v>1</v>
      </c>
      <c r="E990" t="s">
        <v>570</v>
      </c>
      <c r="F990" t="s">
        <v>876</v>
      </c>
      <c r="G990" s="1">
        <v>17094</v>
      </c>
      <c r="H990" s="2">
        <f t="shared" ca="1" si="287"/>
        <v>79</v>
      </c>
      <c r="I990" s="2">
        <f t="shared" ca="1" si="288"/>
        <v>0.77142857142857146</v>
      </c>
      <c r="J990" t="s">
        <v>36</v>
      </c>
      <c r="K990" t="s">
        <v>37</v>
      </c>
      <c r="L990">
        <f t="shared" si="289"/>
        <v>1</v>
      </c>
      <c r="M990">
        <f t="shared" si="290"/>
        <v>0</v>
      </c>
      <c r="N990">
        <f t="shared" si="291"/>
        <v>0</v>
      </c>
      <c r="O990" t="s">
        <v>76</v>
      </c>
      <c r="P990">
        <f t="shared" si="292"/>
        <v>0</v>
      </c>
      <c r="Q990">
        <f t="shared" si="293"/>
        <v>1</v>
      </c>
      <c r="R990">
        <f t="shared" si="294"/>
        <v>0</v>
      </c>
      <c r="S990">
        <f t="shared" si="295"/>
        <v>0</v>
      </c>
      <c r="T990">
        <f t="shared" si="296"/>
        <v>0</v>
      </c>
      <c r="U990">
        <f t="shared" si="297"/>
        <v>0</v>
      </c>
      <c r="V990">
        <f t="shared" si="298"/>
        <v>0</v>
      </c>
      <c r="W990" t="s">
        <v>39</v>
      </c>
      <c r="X990">
        <f t="shared" si="299"/>
        <v>1</v>
      </c>
      <c r="Y990">
        <f t="shared" si="300"/>
        <v>0</v>
      </c>
      <c r="Z990">
        <v>4</v>
      </c>
      <c r="AA990">
        <f t="shared" si="301"/>
        <v>0.75</v>
      </c>
      <c r="AB990" t="s">
        <v>46</v>
      </c>
      <c r="AC990">
        <f t="shared" si="302"/>
        <v>0</v>
      </c>
      <c r="AD990">
        <f t="shared" si="303"/>
        <v>0</v>
      </c>
      <c r="AE990" t="s">
        <v>41</v>
      </c>
      <c r="AF990">
        <f>IF(AE990="website",1,0)</f>
        <v>1</v>
      </c>
    </row>
    <row r="991" spans="1:32">
      <c r="A991" t="s">
        <v>1635</v>
      </c>
      <c r="B991" t="s">
        <v>33</v>
      </c>
      <c r="C991" s="3">
        <f t="shared" si="285"/>
        <v>0</v>
      </c>
      <c r="D991">
        <f t="shared" si="286"/>
        <v>1</v>
      </c>
      <c r="E991" t="s">
        <v>744</v>
      </c>
      <c r="F991" t="s">
        <v>568</v>
      </c>
      <c r="G991" s="1">
        <v>15362</v>
      </c>
      <c r="H991" s="2">
        <f t="shared" ca="1" si="287"/>
        <v>84</v>
      </c>
      <c r="I991" s="2">
        <f t="shared" ca="1" si="288"/>
        <v>0.84285714285714286</v>
      </c>
      <c r="J991" t="s">
        <v>45</v>
      </c>
      <c r="K991" t="s">
        <v>37</v>
      </c>
      <c r="L991">
        <f t="shared" si="289"/>
        <v>1</v>
      </c>
      <c r="M991">
        <f t="shared" si="290"/>
        <v>0</v>
      </c>
      <c r="N991">
        <f t="shared" si="291"/>
        <v>0</v>
      </c>
      <c r="O991" t="s">
        <v>183</v>
      </c>
      <c r="P991">
        <f t="shared" si="292"/>
        <v>0</v>
      </c>
      <c r="Q991">
        <f t="shared" si="293"/>
        <v>0</v>
      </c>
      <c r="R991">
        <f t="shared" si="294"/>
        <v>0</v>
      </c>
      <c r="S991">
        <f t="shared" si="295"/>
        <v>0</v>
      </c>
      <c r="T991">
        <f t="shared" si="296"/>
        <v>0</v>
      </c>
      <c r="U991">
        <f t="shared" si="297"/>
        <v>0</v>
      </c>
      <c r="V991">
        <f t="shared" si="298"/>
        <v>0</v>
      </c>
      <c r="W991" t="s">
        <v>39</v>
      </c>
      <c r="X991">
        <f t="shared" si="299"/>
        <v>1</v>
      </c>
      <c r="Y991">
        <f t="shared" si="300"/>
        <v>0</v>
      </c>
      <c r="Z991">
        <v>4</v>
      </c>
      <c r="AA991">
        <f t="shared" si="301"/>
        <v>0.75</v>
      </c>
      <c r="AB991" t="s">
        <v>46</v>
      </c>
      <c r="AC991">
        <f t="shared" si="302"/>
        <v>0</v>
      </c>
      <c r="AD991">
        <f t="shared" si="303"/>
        <v>0</v>
      </c>
      <c r="AE991" t="s">
        <v>41</v>
      </c>
      <c r="AF991">
        <f>IF(AE991="website",1,0)</f>
        <v>1</v>
      </c>
    </row>
    <row r="992" spans="1:32">
      <c r="A992" t="s">
        <v>1636</v>
      </c>
      <c r="B992" t="s">
        <v>33</v>
      </c>
      <c r="C992" s="3">
        <f t="shared" si="285"/>
        <v>0</v>
      </c>
      <c r="D992">
        <f t="shared" si="286"/>
        <v>1</v>
      </c>
      <c r="E992" t="s">
        <v>804</v>
      </c>
      <c r="F992" t="s">
        <v>613</v>
      </c>
      <c r="G992" s="1">
        <v>27480</v>
      </c>
      <c r="H992" s="2">
        <f t="shared" ca="1" si="287"/>
        <v>51</v>
      </c>
      <c r="I992" s="2">
        <f t="shared" ca="1" si="288"/>
        <v>0.37142857142857144</v>
      </c>
      <c r="J992" t="s">
        <v>36</v>
      </c>
      <c r="K992" t="s">
        <v>37</v>
      </c>
      <c r="L992">
        <f t="shared" si="289"/>
        <v>1</v>
      </c>
      <c r="M992">
        <f t="shared" si="290"/>
        <v>0</v>
      </c>
      <c r="N992">
        <f t="shared" si="291"/>
        <v>0</v>
      </c>
      <c r="O992" t="s">
        <v>124</v>
      </c>
      <c r="P992">
        <f t="shared" si="292"/>
        <v>0</v>
      </c>
      <c r="Q992">
        <f t="shared" si="293"/>
        <v>0</v>
      </c>
      <c r="R992">
        <f t="shared" si="294"/>
        <v>0</v>
      </c>
      <c r="S992">
        <f t="shared" si="295"/>
        <v>0</v>
      </c>
      <c r="T992">
        <f t="shared" si="296"/>
        <v>0</v>
      </c>
      <c r="U992">
        <f t="shared" si="297"/>
        <v>1</v>
      </c>
      <c r="V992">
        <f t="shared" si="298"/>
        <v>0</v>
      </c>
      <c r="W992" t="s">
        <v>39</v>
      </c>
      <c r="X992">
        <f t="shared" si="299"/>
        <v>1</v>
      </c>
      <c r="Y992">
        <f t="shared" si="300"/>
        <v>0</v>
      </c>
      <c r="Z992">
        <v>1</v>
      </c>
      <c r="AA992">
        <f t="shared" si="301"/>
        <v>0</v>
      </c>
      <c r="AB992" t="s">
        <v>46</v>
      </c>
      <c r="AC992">
        <f t="shared" si="302"/>
        <v>0</v>
      </c>
      <c r="AD992">
        <f t="shared" si="303"/>
        <v>0</v>
      </c>
      <c r="AE992" t="s">
        <v>41</v>
      </c>
      <c r="AF992">
        <f>IF(AE992="website",1,0)</f>
        <v>1</v>
      </c>
    </row>
    <row r="993" spans="1:32">
      <c r="A993" t="s">
        <v>1637</v>
      </c>
      <c r="B993" t="s">
        <v>33</v>
      </c>
      <c r="C993" s="3">
        <f t="shared" si="285"/>
        <v>0</v>
      </c>
      <c r="D993">
        <f t="shared" si="286"/>
        <v>1</v>
      </c>
      <c r="E993" t="s">
        <v>941</v>
      </c>
      <c r="F993" t="s">
        <v>716</v>
      </c>
      <c r="G993" s="1">
        <v>32466</v>
      </c>
      <c r="H993" s="2">
        <f t="shared" ca="1" si="287"/>
        <v>37</v>
      </c>
      <c r="I993" s="2">
        <f t="shared" ca="1" si="288"/>
        <v>0.17142857142857143</v>
      </c>
      <c r="J993" t="s">
        <v>45</v>
      </c>
      <c r="K993" t="s">
        <v>276</v>
      </c>
      <c r="L993">
        <f t="shared" si="289"/>
        <v>0</v>
      </c>
      <c r="M993">
        <f t="shared" si="290"/>
        <v>0</v>
      </c>
      <c r="N993">
        <f t="shared" si="291"/>
        <v>0</v>
      </c>
      <c r="O993" t="s">
        <v>277</v>
      </c>
      <c r="P993">
        <f t="shared" si="292"/>
        <v>0</v>
      </c>
      <c r="Q993">
        <f t="shared" si="293"/>
        <v>0</v>
      </c>
      <c r="R993">
        <f t="shared" si="294"/>
        <v>0</v>
      </c>
      <c r="S993">
        <f t="shared" si="295"/>
        <v>0</v>
      </c>
      <c r="T993">
        <f t="shared" si="296"/>
        <v>0</v>
      </c>
      <c r="U993">
        <f t="shared" si="297"/>
        <v>0</v>
      </c>
      <c r="V993">
        <f t="shared" si="298"/>
        <v>0</v>
      </c>
      <c r="W993" t="s">
        <v>39</v>
      </c>
      <c r="X993">
        <f t="shared" si="299"/>
        <v>1</v>
      </c>
      <c r="Y993">
        <f t="shared" si="300"/>
        <v>0</v>
      </c>
      <c r="Z993">
        <v>1</v>
      </c>
      <c r="AA993">
        <f t="shared" si="301"/>
        <v>0</v>
      </c>
      <c r="AB993" t="s">
        <v>40</v>
      </c>
      <c r="AC993">
        <f t="shared" si="302"/>
        <v>0</v>
      </c>
      <c r="AD993">
        <f t="shared" si="303"/>
        <v>0</v>
      </c>
      <c r="AE993" t="s">
        <v>41</v>
      </c>
      <c r="AF993">
        <f>IF(AE993="website",1,0)</f>
        <v>1</v>
      </c>
    </row>
    <row r="994" spans="1:32">
      <c r="A994" t="s">
        <v>1638</v>
      </c>
      <c r="B994" t="s">
        <v>33</v>
      </c>
      <c r="C994" s="3">
        <f t="shared" si="285"/>
        <v>0</v>
      </c>
      <c r="D994">
        <f t="shared" si="286"/>
        <v>1</v>
      </c>
      <c r="E994" t="s">
        <v>635</v>
      </c>
      <c r="F994" t="s">
        <v>623</v>
      </c>
      <c r="G994" s="1">
        <v>19794</v>
      </c>
      <c r="H994" s="2">
        <f t="shared" ca="1" si="287"/>
        <v>72</v>
      </c>
      <c r="I994" s="2">
        <f t="shared" ca="1" si="288"/>
        <v>0.67142857142857137</v>
      </c>
      <c r="J994" t="s">
        <v>45</v>
      </c>
      <c r="K994" t="s">
        <v>37</v>
      </c>
      <c r="L994">
        <f t="shared" si="289"/>
        <v>1</v>
      </c>
      <c r="M994">
        <f t="shared" si="290"/>
        <v>0</v>
      </c>
      <c r="N994">
        <f t="shared" si="291"/>
        <v>0</v>
      </c>
      <c r="O994" t="s">
        <v>38</v>
      </c>
      <c r="P994">
        <f t="shared" si="292"/>
        <v>1</v>
      </c>
      <c r="Q994">
        <f t="shared" si="293"/>
        <v>0</v>
      </c>
      <c r="R994">
        <f t="shared" si="294"/>
        <v>0</v>
      </c>
      <c r="S994">
        <f t="shared" si="295"/>
        <v>0</v>
      </c>
      <c r="T994">
        <f t="shared" si="296"/>
        <v>0</v>
      </c>
      <c r="U994">
        <f t="shared" si="297"/>
        <v>0</v>
      </c>
      <c r="V994">
        <f t="shared" si="298"/>
        <v>0</v>
      </c>
      <c r="W994" t="s">
        <v>39</v>
      </c>
      <c r="X994">
        <f t="shared" si="299"/>
        <v>1</v>
      </c>
      <c r="Y994">
        <f t="shared" si="300"/>
        <v>0</v>
      </c>
      <c r="Z994">
        <v>2</v>
      </c>
      <c r="AA994">
        <f t="shared" si="301"/>
        <v>0.25</v>
      </c>
      <c r="AB994" t="s">
        <v>40</v>
      </c>
      <c r="AC994">
        <f t="shared" si="302"/>
        <v>0</v>
      </c>
      <c r="AD994">
        <f t="shared" si="303"/>
        <v>0</v>
      </c>
      <c r="AE994" t="s">
        <v>41</v>
      </c>
      <c r="AF994">
        <f>IF(AE994="website",1,0)</f>
        <v>1</v>
      </c>
    </row>
    <row r="995" spans="1:32">
      <c r="A995" t="s">
        <v>1639</v>
      </c>
      <c r="B995" t="s">
        <v>33</v>
      </c>
      <c r="C995" s="3">
        <f t="shared" si="285"/>
        <v>0</v>
      </c>
      <c r="D995">
        <f t="shared" si="286"/>
        <v>1</v>
      </c>
      <c r="E995" t="s">
        <v>419</v>
      </c>
      <c r="F995" t="s">
        <v>620</v>
      </c>
      <c r="G995" s="1">
        <v>28090</v>
      </c>
      <c r="H995" s="2">
        <f t="shared" ca="1" si="287"/>
        <v>49</v>
      </c>
      <c r="I995" s="2">
        <f t="shared" ca="1" si="288"/>
        <v>0.34285714285714286</v>
      </c>
      <c r="J995" t="s">
        <v>45</v>
      </c>
      <c r="K995" t="s">
        <v>37</v>
      </c>
      <c r="L995">
        <f t="shared" si="289"/>
        <v>1</v>
      </c>
      <c r="M995">
        <f t="shared" si="290"/>
        <v>0</v>
      </c>
      <c r="N995">
        <f t="shared" si="291"/>
        <v>0</v>
      </c>
      <c r="O995" t="s">
        <v>38</v>
      </c>
      <c r="P995">
        <f t="shared" si="292"/>
        <v>1</v>
      </c>
      <c r="Q995">
        <f t="shared" si="293"/>
        <v>0</v>
      </c>
      <c r="R995">
        <f t="shared" si="294"/>
        <v>0</v>
      </c>
      <c r="S995">
        <f t="shared" si="295"/>
        <v>0</v>
      </c>
      <c r="T995">
        <f t="shared" si="296"/>
        <v>0</v>
      </c>
      <c r="U995">
        <f t="shared" si="297"/>
        <v>0</v>
      </c>
      <c r="V995">
        <f t="shared" si="298"/>
        <v>0</v>
      </c>
      <c r="W995" t="s">
        <v>39</v>
      </c>
      <c r="X995">
        <f t="shared" si="299"/>
        <v>1</v>
      </c>
      <c r="Y995">
        <f t="shared" si="300"/>
        <v>0</v>
      </c>
      <c r="Z995">
        <v>3</v>
      </c>
      <c r="AA995">
        <f t="shared" si="301"/>
        <v>0.5</v>
      </c>
      <c r="AB995" t="s">
        <v>46</v>
      </c>
      <c r="AC995">
        <f t="shared" si="302"/>
        <v>0</v>
      </c>
      <c r="AD995">
        <f t="shared" si="303"/>
        <v>0</v>
      </c>
      <c r="AE995" t="s">
        <v>41</v>
      </c>
      <c r="AF995">
        <f>IF(AE995="website",1,0)</f>
        <v>1</v>
      </c>
    </row>
    <row r="996" spans="1:32">
      <c r="A996" t="s">
        <v>1640</v>
      </c>
      <c r="B996" t="s">
        <v>33</v>
      </c>
      <c r="C996" s="3">
        <f t="shared" si="285"/>
        <v>0</v>
      </c>
      <c r="D996">
        <f t="shared" si="286"/>
        <v>1</v>
      </c>
      <c r="E996" t="s">
        <v>404</v>
      </c>
      <c r="F996" t="s">
        <v>607</v>
      </c>
      <c r="G996" s="1">
        <v>18185</v>
      </c>
      <c r="H996" s="2">
        <f t="shared" ca="1" si="287"/>
        <v>76</v>
      </c>
      <c r="I996" s="2">
        <f t="shared" ca="1" si="288"/>
        <v>0.72857142857142854</v>
      </c>
      <c r="J996" t="s">
        <v>36</v>
      </c>
      <c r="K996" t="s">
        <v>819</v>
      </c>
      <c r="L996">
        <f t="shared" si="289"/>
        <v>0</v>
      </c>
      <c r="M996">
        <f t="shared" si="290"/>
        <v>0</v>
      </c>
      <c r="N996">
        <f t="shared" si="291"/>
        <v>0</v>
      </c>
      <c r="O996" t="s">
        <v>820</v>
      </c>
      <c r="P996">
        <f t="shared" si="292"/>
        <v>0</v>
      </c>
      <c r="Q996">
        <f t="shared" si="293"/>
        <v>0</v>
      </c>
      <c r="R996">
        <f t="shared" si="294"/>
        <v>0</v>
      </c>
      <c r="S996">
        <f t="shared" si="295"/>
        <v>0</v>
      </c>
      <c r="T996">
        <f t="shared" si="296"/>
        <v>0</v>
      </c>
      <c r="U996">
        <f t="shared" si="297"/>
        <v>0</v>
      </c>
      <c r="V996">
        <f t="shared" si="298"/>
        <v>0</v>
      </c>
      <c r="W996" t="s">
        <v>39</v>
      </c>
      <c r="X996">
        <f t="shared" si="299"/>
        <v>1</v>
      </c>
      <c r="Y996">
        <f t="shared" si="300"/>
        <v>0</v>
      </c>
      <c r="Z996">
        <v>1</v>
      </c>
      <c r="AA996">
        <f t="shared" si="301"/>
        <v>0</v>
      </c>
      <c r="AB996" t="s">
        <v>40</v>
      </c>
      <c r="AC996">
        <f t="shared" si="302"/>
        <v>0</v>
      </c>
      <c r="AD996">
        <f t="shared" si="303"/>
        <v>0</v>
      </c>
      <c r="AE996" t="s">
        <v>41</v>
      </c>
      <c r="AF996">
        <f>IF(AE996="website",1,0)</f>
        <v>1</v>
      </c>
    </row>
    <row r="997" spans="1:32">
      <c r="A997" t="s">
        <v>1641</v>
      </c>
      <c r="B997" t="s">
        <v>33</v>
      </c>
      <c r="C997" s="3">
        <f t="shared" si="285"/>
        <v>0</v>
      </c>
      <c r="D997">
        <f t="shared" si="286"/>
        <v>1</v>
      </c>
      <c r="E997" t="s">
        <v>329</v>
      </c>
      <c r="F997" t="s">
        <v>339</v>
      </c>
      <c r="G997" s="1">
        <v>20617</v>
      </c>
      <c r="H997" s="2">
        <f t="shared" ca="1" si="287"/>
        <v>70</v>
      </c>
      <c r="I997" s="2">
        <f t="shared" ca="1" si="288"/>
        <v>0.6428571428571429</v>
      </c>
      <c r="J997" t="s">
        <v>45</v>
      </c>
      <c r="K997" t="s">
        <v>65</v>
      </c>
      <c r="L997">
        <f t="shared" si="289"/>
        <v>0</v>
      </c>
      <c r="M997">
        <f t="shared" si="290"/>
        <v>1</v>
      </c>
      <c r="N997">
        <f t="shared" si="291"/>
        <v>0</v>
      </c>
      <c r="O997" t="s">
        <v>723</v>
      </c>
      <c r="P997">
        <f t="shared" si="292"/>
        <v>0</v>
      </c>
      <c r="Q997">
        <f t="shared" si="293"/>
        <v>0</v>
      </c>
      <c r="R997">
        <f t="shared" si="294"/>
        <v>0</v>
      </c>
      <c r="S997">
        <f t="shared" si="295"/>
        <v>0</v>
      </c>
      <c r="T997">
        <f t="shared" si="296"/>
        <v>0</v>
      </c>
      <c r="U997">
        <f t="shared" si="297"/>
        <v>0</v>
      </c>
      <c r="V997">
        <f t="shared" si="298"/>
        <v>0</v>
      </c>
      <c r="W997" t="s">
        <v>39</v>
      </c>
      <c r="X997">
        <f t="shared" si="299"/>
        <v>1</v>
      </c>
      <c r="Y997">
        <f t="shared" si="300"/>
        <v>0</v>
      </c>
      <c r="Z997">
        <v>2</v>
      </c>
      <c r="AA997">
        <f t="shared" si="301"/>
        <v>0.25</v>
      </c>
      <c r="AB997" t="s">
        <v>40</v>
      </c>
      <c r="AC997">
        <f t="shared" si="302"/>
        <v>0</v>
      </c>
      <c r="AD997">
        <f t="shared" si="303"/>
        <v>1</v>
      </c>
      <c r="AE997" t="s">
        <v>90</v>
      </c>
      <c r="AF997">
        <f>IF(AE997="website",1,0)</f>
        <v>0</v>
      </c>
    </row>
    <row r="998" spans="1:32">
      <c r="A998" t="s">
        <v>1642</v>
      </c>
      <c r="B998" t="s">
        <v>33</v>
      </c>
      <c r="C998" s="3">
        <f t="shared" si="285"/>
        <v>0</v>
      </c>
      <c r="D998">
        <f t="shared" si="286"/>
        <v>1</v>
      </c>
      <c r="E998" t="s">
        <v>329</v>
      </c>
      <c r="F998" t="s">
        <v>745</v>
      </c>
      <c r="G998" s="1">
        <v>18333</v>
      </c>
      <c r="H998" s="2">
        <f t="shared" ca="1" si="287"/>
        <v>76</v>
      </c>
      <c r="I998" s="2">
        <f t="shared" ca="1" si="288"/>
        <v>0.72857142857142854</v>
      </c>
      <c r="J998" t="s">
        <v>45</v>
      </c>
      <c r="K998" t="s">
        <v>37</v>
      </c>
      <c r="L998">
        <f t="shared" si="289"/>
        <v>1</v>
      </c>
      <c r="M998">
        <f t="shared" si="290"/>
        <v>0</v>
      </c>
      <c r="N998">
        <f t="shared" si="291"/>
        <v>0</v>
      </c>
      <c r="O998" t="s">
        <v>38</v>
      </c>
      <c r="P998">
        <f t="shared" si="292"/>
        <v>1</v>
      </c>
      <c r="Q998">
        <f t="shared" si="293"/>
        <v>0</v>
      </c>
      <c r="R998">
        <f t="shared" si="294"/>
        <v>0</v>
      </c>
      <c r="S998">
        <f t="shared" si="295"/>
        <v>0</v>
      </c>
      <c r="T998">
        <f t="shared" si="296"/>
        <v>0</v>
      </c>
      <c r="U998">
        <f t="shared" si="297"/>
        <v>0</v>
      </c>
      <c r="V998">
        <f t="shared" si="298"/>
        <v>0</v>
      </c>
      <c r="W998" t="s">
        <v>58</v>
      </c>
      <c r="X998">
        <f t="shared" si="299"/>
        <v>0</v>
      </c>
      <c r="Y998">
        <f t="shared" si="300"/>
        <v>1</v>
      </c>
      <c r="Z998">
        <v>3</v>
      </c>
      <c r="AA998">
        <f t="shared" si="301"/>
        <v>0.5</v>
      </c>
      <c r="AB998" t="s">
        <v>40</v>
      </c>
      <c r="AC998">
        <f t="shared" si="302"/>
        <v>1</v>
      </c>
      <c r="AD998">
        <f t="shared" si="303"/>
        <v>0</v>
      </c>
      <c r="AE998" t="s">
        <v>50</v>
      </c>
      <c r="AF998">
        <f>IF(AE998="website",1,0)</f>
        <v>0</v>
      </c>
    </row>
    <row r="999" spans="1:32">
      <c r="A999" t="s">
        <v>1643</v>
      </c>
      <c r="B999" t="s">
        <v>55</v>
      </c>
      <c r="C999" s="3">
        <f t="shared" si="285"/>
        <v>1</v>
      </c>
      <c r="D999">
        <f t="shared" si="286"/>
        <v>0</v>
      </c>
      <c r="E999" t="s">
        <v>1025</v>
      </c>
      <c r="F999" t="s">
        <v>57</v>
      </c>
      <c r="G999" s="1">
        <v>25329</v>
      </c>
      <c r="H999" s="2">
        <f t="shared" ca="1" si="287"/>
        <v>57</v>
      </c>
      <c r="I999" s="2">
        <f t="shared" ca="1" si="288"/>
        <v>0.45714285714285713</v>
      </c>
      <c r="J999" t="s">
        <v>36</v>
      </c>
      <c r="K999" t="s">
        <v>37</v>
      </c>
      <c r="L999">
        <f t="shared" si="289"/>
        <v>1</v>
      </c>
      <c r="M999">
        <f t="shared" si="290"/>
        <v>0</v>
      </c>
      <c r="N999">
        <f t="shared" si="291"/>
        <v>0</v>
      </c>
      <c r="O999" t="s">
        <v>305</v>
      </c>
      <c r="P999">
        <f t="shared" si="292"/>
        <v>0</v>
      </c>
      <c r="Q999">
        <f t="shared" si="293"/>
        <v>0</v>
      </c>
      <c r="R999">
        <f t="shared" si="294"/>
        <v>0</v>
      </c>
      <c r="S999">
        <f t="shared" si="295"/>
        <v>0</v>
      </c>
      <c r="T999">
        <f t="shared" si="296"/>
        <v>0</v>
      </c>
      <c r="U999">
        <f t="shared" si="297"/>
        <v>0</v>
      </c>
      <c r="V999">
        <f t="shared" si="298"/>
        <v>0</v>
      </c>
      <c r="W999" t="s">
        <v>39</v>
      </c>
      <c r="X999">
        <f t="shared" si="299"/>
        <v>1</v>
      </c>
      <c r="Y999">
        <f t="shared" si="300"/>
        <v>0</v>
      </c>
      <c r="Z999">
        <v>4</v>
      </c>
      <c r="AA999">
        <f t="shared" si="301"/>
        <v>0.75</v>
      </c>
      <c r="AB999" t="s">
        <v>46</v>
      </c>
      <c r="AC999">
        <f t="shared" si="302"/>
        <v>1</v>
      </c>
      <c r="AD999">
        <f t="shared" si="303"/>
        <v>0</v>
      </c>
      <c r="AE999" t="s">
        <v>50</v>
      </c>
      <c r="AF999">
        <f>IF(AE999="website",1,0)</f>
        <v>0</v>
      </c>
    </row>
    <row r="1000" spans="1:32">
      <c r="A1000" t="s">
        <v>1644</v>
      </c>
      <c r="B1000" t="s">
        <v>33</v>
      </c>
      <c r="C1000" s="3">
        <f t="shared" si="285"/>
        <v>0</v>
      </c>
      <c r="D1000">
        <f t="shared" si="286"/>
        <v>1</v>
      </c>
      <c r="E1000" t="s">
        <v>332</v>
      </c>
      <c r="F1000" t="s">
        <v>856</v>
      </c>
      <c r="G1000" s="1">
        <v>25461</v>
      </c>
      <c r="H1000" s="2">
        <f t="shared" ca="1" si="287"/>
        <v>57</v>
      </c>
      <c r="I1000" s="2">
        <f t="shared" ca="1" si="288"/>
        <v>0.45714285714285713</v>
      </c>
      <c r="J1000" t="s">
        <v>36</v>
      </c>
      <c r="K1000" t="s">
        <v>37</v>
      </c>
      <c r="L1000">
        <f t="shared" si="289"/>
        <v>1</v>
      </c>
      <c r="M1000">
        <f t="shared" si="290"/>
        <v>0</v>
      </c>
      <c r="N1000">
        <f t="shared" si="291"/>
        <v>0</v>
      </c>
      <c r="O1000" t="s">
        <v>38</v>
      </c>
      <c r="P1000">
        <f t="shared" si="292"/>
        <v>1</v>
      </c>
      <c r="Q1000">
        <f t="shared" si="293"/>
        <v>0</v>
      </c>
      <c r="R1000">
        <f t="shared" si="294"/>
        <v>0</v>
      </c>
      <c r="S1000">
        <f t="shared" si="295"/>
        <v>0</v>
      </c>
      <c r="T1000">
        <f t="shared" si="296"/>
        <v>0</v>
      </c>
      <c r="U1000">
        <f t="shared" si="297"/>
        <v>0</v>
      </c>
      <c r="V1000">
        <f t="shared" si="298"/>
        <v>0</v>
      </c>
      <c r="W1000" t="s">
        <v>58</v>
      </c>
      <c r="X1000">
        <f t="shared" si="299"/>
        <v>0</v>
      </c>
      <c r="Y1000">
        <f t="shared" si="300"/>
        <v>1</v>
      </c>
      <c r="Z1000">
        <v>3</v>
      </c>
      <c r="AA1000">
        <f t="shared" si="301"/>
        <v>0.5</v>
      </c>
      <c r="AB1000" t="s">
        <v>46</v>
      </c>
      <c r="AC1000">
        <f t="shared" si="302"/>
        <v>1</v>
      </c>
      <c r="AD1000">
        <f t="shared" si="303"/>
        <v>0</v>
      </c>
      <c r="AE1000" t="s">
        <v>50</v>
      </c>
      <c r="AF1000">
        <f>IF(AE1000="website",1,0)</f>
        <v>0</v>
      </c>
    </row>
    <row r="1001" spans="1:32">
      <c r="A1001" t="s">
        <v>1645</v>
      </c>
      <c r="B1001" t="s">
        <v>33</v>
      </c>
      <c r="C1001" s="3">
        <f t="shared" si="285"/>
        <v>0</v>
      </c>
      <c r="D1001">
        <f t="shared" si="286"/>
        <v>1</v>
      </c>
      <c r="E1001" t="s">
        <v>921</v>
      </c>
      <c r="F1001" t="s">
        <v>538</v>
      </c>
      <c r="G1001" s="1">
        <v>23213</v>
      </c>
      <c r="H1001" s="2">
        <f t="shared" ca="1" si="287"/>
        <v>63</v>
      </c>
      <c r="I1001" s="2">
        <f t="shared" ca="1" si="288"/>
        <v>0.54285714285714282</v>
      </c>
      <c r="J1001" t="s">
        <v>36</v>
      </c>
      <c r="K1001" t="s">
        <v>37</v>
      </c>
      <c r="L1001">
        <f t="shared" si="289"/>
        <v>1</v>
      </c>
      <c r="M1001">
        <f t="shared" si="290"/>
        <v>0</v>
      </c>
      <c r="N1001">
        <f t="shared" si="291"/>
        <v>0</v>
      </c>
      <c r="O1001" t="s">
        <v>183</v>
      </c>
      <c r="P1001">
        <f t="shared" si="292"/>
        <v>0</v>
      </c>
      <c r="Q1001">
        <f t="shared" si="293"/>
        <v>0</v>
      </c>
      <c r="R1001">
        <f t="shared" si="294"/>
        <v>0</v>
      </c>
      <c r="S1001">
        <f t="shared" si="295"/>
        <v>0</v>
      </c>
      <c r="T1001">
        <f t="shared" si="296"/>
        <v>0</v>
      </c>
      <c r="U1001">
        <f t="shared" si="297"/>
        <v>0</v>
      </c>
      <c r="V1001">
        <f t="shared" si="298"/>
        <v>0</v>
      </c>
      <c r="W1001" t="s">
        <v>39</v>
      </c>
      <c r="X1001">
        <f t="shared" si="299"/>
        <v>1</v>
      </c>
      <c r="Y1001">
        <f t="shared" si="300"/>
        <v>0</v>
      </c>
      <c r="Z1001">
        <v>2</v>
      </c>
      <c r="AA1001">
        <f t="shared" si="301"/>
        <v>0.25</v>
      </c>
      <c r="AB1001" t="s">
        <v>40</v>
      </c>
      <c r="AC1001">
        <f t="shared" si="302"/>
        <v>0</v>
      </c>
      <c r="AD1001">
        <f t="shared" si="303"/>
        <v>0</v>
      </c>
      <c r="AE1001" t="s">
        <v>41</v>
      </c>
      <c r="AF1001">
        <f>IF(AE1001="website",1,0)</f>
        <v>1</v>
      </c>
    </row>
    <row r="1002" spans="1:32">
      <c r="A1002" t="s">
        <v>1646</v>
      </c>
      <c r="B1002" t="s">
        <v>33</v>
      </c>
      <c r="C1002" s="3">
        <f t="shared" si="285"/>
        <v>0</v>
      </c>
      <c r="D1002">
        <f t="shared" si="286"/>
        <v>1</v>
      </c>
      <c r="E1002" t="s">
        <v>780</v>
      </c>
      <c r="F1002" t="s">
        <v>112</v>
      </c>
      <c r="G1002" s="1">
        <v>29780</v>
      </c>
      <c r="H1002" s="2">
        <f t="shared" ca="1" si="287"/>
        <v>45</v>
      </c>
      <c r="I1002" s="2">
        <f t="shared" ca="1" si="288"/>
        <v>0.2857142857142857</v>
      </c>
      <c r="J1002" t="s">
        <v>45</v>
      </c>
      <c r="K1002" t="s">
        <v>37</v>
      </c>
      <c r="L1002">
        <f t="shared" si="289"/>
        <v>1</v>
      </c>
      <c r="M1002">
        <f t="shared" si="290"/>
        <v>0</v>
      </c>
      <c r="N1002">
        <f t="shared" si="291"/>
        <v>0</v>
      </c>
      <c r="O1002" t="s">
        <v>38</v>
      </c>
      <c r="P1002">
        <f t="shared" si="292"/>
        <v>1</v>
      </c>
      <c r="Q1002">
        <f t="shared" si="293"/>
        <v>0</v>
      </c>
      <c r="R1002">
        <f t="shared" si="294"/>
        <v>0</v>
      </c>
      <c r="S1002">
        <f t="shared" si="295"/>
        <v>0</v>
      </c>
      <c r="T1002">
        <f t="shared" si="296"/>
        <v>0</v>
      </c>
      <c r="U1002">
        <f t="shared" si="297"/>
        <v>0</v>
      </c>
      <c r="V1002">
        <f t="shared" si="298"/>
        <v>0</v>
      </c>
      <c r="W1002" t="s">
        <v>39</v>
      </c>
      <c r="X1002">
        <f t="shared" si="299"/>
        <v>1</v>
      </c>
      <c r="Y1002">
        <f t="shared" si="300"/>
        <v>0</v>
      </c>
      <c r="Z1002">
        <v>3</v>
      </c>
      <c r="AA1002">
        <f t="shared" si="301"/>
        <v>0.5</v>
      </c>
      <c r="AB1002" t="s">
        <v>46</v>
      </c>
      <c r="AC1002">
        <f t="shared" si="302"/>
        <v>0</v>
      </c>
      <c r="AD1002">
        <f t="shared" si="303"/>
        <v>0</v>
      </c>
      <c r="AE1002" t="s">
        <v>41</v>
      </c>
      <c r="AF1002">
        <f>IF(AE1002="website",1,0)</f>
        <v>1</v>
      </c>
    </row>
    <row r="1003" spans="1:32">
      <c r="A1003" t="s">
        <v>1647</v>
      </c>
      <c r="B1003" t="s">
        <v>33</v>
      </c>
      <c r="C1003" s="3">
        <f t="shared" si="285"/>
        <v>0</v>
      </c>
      <c r="D1003">
        <f t="shared" si="286"/>
        <v>1</v>
      </c>
      <c r="E1003" t="s">
        <v>941</v>
      </c>
      <c r="F1003" t="s">
        <v>716</v>
      </c>
      <c r="G1003" s="1">
        <v>24631</v>
      </c>
      <c r="H1003" s="2">
        <f t="shared" ca="1" si="287"/>
        <v>59</v>
      </c>
      <c r="I1003" s="2">
        <f t="shared" ca="1" si="288"/>
        <v>0.48571428571428571</v>
      </c>
      <c r="J1003" t="s">
        <v>45</v>
      </c>
      <c r="K1003" t="s">
        <v>37</v>
      </c>
      <c r="L1003">
        <f t="shared" si="289"/>
        <v>1</v>
      </c>
      <c r="M1003">
        <f t="shared" si="290"/>
        <v>0</v>
      </c>
      <c r="N1003">
        <f t="shared" si="291"/>
        <v>0</v>
      </c>
      <c r="O1003" t="s">
        <v>38</v>
      </c>
      <c r="P1003">
        <f t="shared" si="292"/>
        <v>1</v>
      </c>
      <c r="Q1003">
        <f t="shared" si="293"/>
        <v>0</v>
      </c>
      <c r="R1003">
        <f t="shared" si="294"/>
        <v>0</v>
      </c>
      <c r="S1003">
        <f t="shared" si="295"/>
        <v>0</v>
      </c>
      <c r="T1003">
        <f t="shared" si="296"/>
        <v>0</v>
      </c>
      <c r="U1003">
        <f t="shared" si="297"/>
        <v>0</v>
      </c>
      <c r="V1003">
        <f t="shared" si="298"/>
        <v>0</v>
      </c>
      <c r="W1003" t="s">
        <v>39</v>
      </c>
      <c r="X1003">
        <f t="shared" si="299"/>
        <v>1</v>
      </c>
      <c r="Y1003">
        <f t="shared" si="300"/>
        <v>0</v>
      </c>
      <c r="Z1003">
        <v>5</v>
      </c>
      <c r="AA1003">
        <f t="shared" si="301"/>
        <v>1</v>
      </c>
      <c r="AB1003" t="s">
        <v>46</v>
      </c>
      <c r="AC1003">
        <f t="shared" si="302"/>
        <v>0</v>
      </c>
      <c r="AD1003">
        <f t="shared" si="303"/>
        <v>0</v>
      </c>
      <c r="AE1003" t="s">
        <v>41</v>
      </c>
      <c r="AF1003">
        <f>IF(AE1003="website",1,0)</f>
        <v>1</v>
      </c>
    </row>
    <row r="1004" spans="1:32">
      <c r="A1004" t="s">
        <v>1648</v>
      </c>
      <c r="B1004" t="s">
        <v>33</v>
      </c>
      <c r="C1004" s="3">
        <f t="shared" si="285"/>
        <v>0</v>
      </c>
      <c r="D1004">
        <f t="shared" si="286"/>
        <v>1</v>
      </c>
      <c r="E1004" t="s">
        <v>639</v>
      </c>
      <c r="F1004" t="s">
        <v>378</v>
      </c>
      <c r="G1004" s="1">
        <v>28348</v>
      </c>
      <c r="H1004" s="2">
        <f t="shared" ca="1" si="287"/>
        <v>49</v>
      </c>
      <c r="I1004" s="2">
        <f t="shared" ca="1" si="288"/>
        <v>0.34285714285714286</v>
      </c>
      <c r="J1004" t="s">
        <v>36</v>
      </c>
      <c r="K1004" t="s">
        <v>37</v>
      </c>
      <c r="L1004">
        <f t="shared" si="289"/>
        <v>1</v>
      </c>
      <c r="M1004">
        <f t="shared" si="290"/>
        <v>0</v>
      </c>
      <c r="N1004">
        <f t="shared" si="291"/>
        <v>0</v>
      </c>
      <c r="O1004" t="s">
        <v>124</v>
      </c>
      <c r="P1004">
        <f t="shared" si="292"/>
        <v>0</v>
      </c>
      <c r="Q1004">
        <f t="shared" si="293"/>
        <v>0</v>
      </c>
      <c r="R1004">
        <f t="shared" si="294"/>
        <v>0</v>
      </c>
      <c r="S1004">
        <f t="shared" si="295"/>
        <v>0</v>
      </c>
      <c r="T1004">
        <f t="shared" si="296"/>
        <v>0</v>
      </c>
      <c r="U1004">
        <f t="shared" si="297"/>
        <v>1</v>
      </c>
      <c r="V1004">
        <f t="shared" si="298"/>
        <v>0</v>
      </c>
      <c r="W1004" t="s">
        <v>39</v>
      </c>
      <c r="X1004">
        <f t="shared" si="299"/>
        <v>1</v>
      </c>
      <c r="Y1004">
        <f t="shared" si="300"/>
        <v>0</v>
      </c>
      <c r="Z1004">
        <v>2</v>
      </c>
      <c r="AA1004">
        <f t="shared" si="301"/>
        <v>0.25</v>
      </c>
      <c r="AB1004" t="s">
        <v>46</v>
      </c>
      <c r="AC1004">
        <f t="shared" si="302"/>
        <v>0</v>
      </c>
      <c r="AD1004">
        <f t="shared" si="303"/>
        <v>0</v>
      </c>
      <c r="AE1004" t="s">
        <v>41</v>
      </c>
      <c r="AF1004">
        <f>IF(AE1004="website",1,0)</f>
        <v>1</v>
      </c>
    </row>
    <row r="1005" spans="1:32">
      <c r="A1005" t="s">
        <v>1649</v>
      </c>
      <c r="B1005" t="s">
        <v>33</v>
      </c>
      <c r="C1005" s="3">
        <f t="shared" si="285"/>
        <v>0</v>
      </c>
      <c r="D1005">
        <f t="shared" si="286"/>
        <v>1</v>
      </c>
      <c r="E1005" t="s">
        <v>576</v>
      </c>
      <c r="F1005" t="s">
        <v>366</v>
      </c>
      <c r="G1005" s="1">
        <v>30211</v>
      </c>
      <c r="H1005" s="2">
        <f t="shared" ca="1" si="287"/>
        <v>44</v>
      </c>
      <c r="I1005" s="2">
        <f t="shared" ca="1" si="288"/>
        <v>0.27142857142857141</v>
      </c>
      <c r="J1005" t="s">
        <v>45</v>
      </c>
      <c r="K1005" t="s">
        <v>37</v>
      </c>
      <c r="L1005">
        <f t="shared" si="289"/>
        <v>1</v>
      </c>
      <c r="M1005">
        <f t="shared" si="290"/>
        <v>0</v>
      </c>
      <c r="N1005">
        <f t="shared" si="291"/>
        <v>0</v>
      </c>
      <c r="O1005" t="s">
        <v>76</v>
      </c>
      <c r="P1005">
        <f t="shared" si="292"/>
        <v>0</v>
      </c>
      <c r="Q1005">
        <f t="shared" si="293"/>
        <v>1</v>
      </c>
      <c r="R1005">
        <f t="shared" si="294"/>
        <v>0</v>
      </c>
      <c r="S1005">
        <f t="shared" si="295"/>
        <v>0</v>
      </c>
      <c r="T1005">
        <f t="shared" si="296"/>
        <v>0</v>
      </c>
      <c r="U1005">
        <f t="shared" si="297"/>
        <v>0</v>
      </c>
      <c r="V1005">
        <f t="shared" si="298"/>
        <v>0</v>
      </c>
      <c r="W1005" t="s">
        <v>39</v>
      </c>
      <c r="X1005">
        <f t="shared" si="299"/>
        <v>1</v>
      </c>
      <c r="Y1005">
        <f t="shared" si="300"/>
        <v>0</v>
      </c>
      <c r="Z1005">
        <v>3</v>
      </c>
      <c r="AA1005">
        <f t="shared" si="301"/>
        <v>0.5</v>
      </c>
      <c r="AB1005" t="s">
        <v>40</v>
      </c>
      <c r="AC1005">
        <f t="shared" si="302"/>
        <v>0</v>
      </c>
      <c r="AD1005">
        <f t="shared" si="303"/>
        <v>0</v>
      </c>
      <c r="AE1005" t="s">
        <v>41</v>
      </c>
      <c r="AF1005">
        <f>IF(AE1005="website",1,0)</f>
        <v>1</v>
      </c>
    </row>
    <row r="1006" spans="1:32">
      <c r="A1006" t="s">
        <v>1650</v>
      </c>
      <c r="B1006" t="s">
        <v>33</v>
      </c>
      <c r="C1006" s="3">
        <f t="shared" si="285"/>
        <v>0</v>
      </c>
      <c r="D1006">
        <f t="shared" si="286"/>
        <v>1</v>
      </c>
      <c r="E1006" t="s">
        <v>839</v>
      </c>
      <c r="F1006" t="s">
        <v>585</v>
      </c>
      <c r="G1006" s="1">
        <v>32301</v>
      </c>
      <c r="H1006" s="2">
        <f t="shared" ca="1" si="287"/>
        <v>38</v>
      </c>
      <c r="I1006" s="2">
        <f t="shared" ca="1" si="288"/>
        <v>0.18571428571428572</v>
      </c>
      <c r="J1006" t="s">
        <v>36</v>
      </c>
      <c r="K1006" t="s">
        <v>113</v>
      </c>
      <c r="L1006">
        <f t="shared" si="289"/>
        <v>0</v>
      </c>
      <c r="M1006">
        <f t="shared" si="290"/>
        <v>0</v>
      </c>
      <c r="N1006">
        <f t="shared" si="291"/>
        <v>1</v>
      </c>
      <c r="O1006" t="s">
        <v>675</v>
      </c>
      <c r="P1006">
        <f t="shared" si="292"/>
        <v>0</v>
      </c>
      <c r="Q1006">
        <f t="shared" si="293"/>
        <v>0</v>
      </c>
      <c r="R1006">
        <f t="shared" si="294"/>
        <v>0</v>
      </c>
      <c r="S1006">
        <f t="shared" si="295"/>
        <v>0</v>
      </c>
      <c r="T1006">
        <f t="shared" si="296"/>
        <v>0</v>
      </c>
      <c r="U1006">
        <f t="shared" si="297"/>
        <v>0</v>
      </c>
      <c r="V1006">
        <f t="shared" si="298"/>
        <v>0</v>
      </c>
      <c r="W1006" t="s">
        <v>39</v>
      </c>
      <c r="X1006">
        <f t="shared" si="299"/>
        <v>1</v>
      </c>
      <c r="Y1006">
        <f t="shared" si="300"/>
        <v>0</v>
      </c>
      <c r="Z1006">
        <v>3</v>
      </c>
      <c r="AA1006">
        <f t="shared" si="301"/>
        <v>0.5</v>
      </c>
      <c r="AB1006" t="s">
        <v>46</v>
      </c>
      <c r="AC1006">
        <f t="shared" si="302"/>
        <v>0</v>
      </c>
      <c r="AD1006">
        <f t="shared" si="303"/>
        <v>1</v>
      </c>
      <c r="AE1006" t="s">
        <v>90</v>
      </c>
      <c r="AF1006">
        <f>IF(AE1006="website",1,0)</f>
        <v>0</v>
      </c>
    </row>
    <row r="1007" spans="1:32">
      <c r="A1007" t="s">
        <v>1651</v>
      </c>
      <c r="B1007" t="s">
        <v>33</v>
      </c>
      <c r="C1007" s="3">
        <f t="shared" si="285"/>
        <v>0</v>
      </c>
      <c r="D1007">
        <f t="shared" si="286"/>
        <v>1</v>
      </c>
      <c r="E1007" t="s">
        <v>747</v>
      </c>
      <c r="F1007" t="s">
        <v>552</v>
      </c>
      <c r="G1007" s="1">
        <v>33962</v>
      </c>
      <c r="H1007" s="2">
        <f t="shared" ca="1" si="287"/>
        <v>33</v>
      </c>
      <c r="I1007" s="2">
        <f t="shared" ca="1" si="288"/>
        <v>0.11428571428571428</v>
      </c>
      <c r="J1007" t="s">
        <v>36</v>
      </c>
      <c r="K1007" t="s">
        <v>37</v>
      </c>
      <c r="L1007">
        <f t="shared" si="289"/>
        <v>1</v>
      </c>
      <c r="M1007">
        <f t="shared" si="290"/>
        <v>0</v>
      </c>
      <c r="N1007">
        <f t="shared" si="291"/>
        <v>0</v>
      </c>
      <c r="O1007" t="s">
        <v>785</v>
      </c>
      <c r="P1007">
        <f t="shared" si="292"/>
        <v>0</v>
      </c>
      <c r="Q1007">
        <f t="shared" si="293"/>
        <v>0</v>
      </c>
      <c r="R1007">
        <f t="shared" si="294"/>
        <v>0</v>
      </c>
      <c r="S1007">
        <f t="shared" si="295"/>
        <v>0</v>
      </c>
      <c r="T1007">
        <f t="shared" si="296"/>
        <v>0</v>
      </c>
      <c r="U1007">
        <f t="shared" si="297"/>
        <v>0</v>
      </c>
      <c r="V1007">
        <f t="shared" si="298"/>
        <v>0</v>
      </c>
      <c r="W1007" t="s">
        <v>39</v>
      </c>
      <c r="X1007">
        <f t="shared" si="299"/>
        <v>1</v>
      </c>
      <c r="Y1007">
        <f t="shared" si="300"/>
        <v>0</v>
      </c>
      <c r="Z1007">
        <v>1</v>
      </c>
      <c r="AA1007">
        <f t="shared" si="301"/>
        <v>0</v>
      </c>
      <c r="AB1007" t="s">
        <v>46</v>
      </c>
      <c r="AC1007">
        <f t="shared" si="302"/>
        <v>0</v>
      </c>
      <c r="AD1007">
        <f t="shared" si="303"/>
        <v>0</v>
      </c>
      <c r="AE1007" t="s">
        <v>41</v>
      </c>
      <c r="AF1007">
        <f>IF(AE1007="website",1,0)</f>
        <v>1</v>
      </c>
    </row>
    <row r="1008" spans="1:32">
      <c r="A1008" t="s">
        <v>1652</v>
      </c>
      <c r="B1008" t="s">
        <v>33</v>
      </c>
      <c r="C1008" s="3">
        <f t="shared" si="285"/>
        <v>0</v>
      </c>
      <c r="D1008">
        <f t="shared" si="286"/>
        <v>1</v>
      </c>
      <c r="E1008" t="s">
        <v>647</v>
      </c>
      <c r="F1008" t="s">
        <v>645</v>
      </c>
      <c r="G1008" s="1">
        <v>17831</v>
      </c>
      <c r="H1008" s="2">
        <f t="shared" ca="1" si="287"/>
        <v>77</v>
      </c>
      <c r="I1008" s="2">
        <f t="shared" ca="1" si="288"/>
        <v>0.74285714285714288</v>
      </c>
      <c r="J1008" t="s">
        <v>36</v>
      </c>
      <c r="K1008" t="s">
        <v>248</v>
      </c>
      <c r="L1008">
        <f t="shared" si="289"/>
        <v>0</v>
      </c>
      <c r="M1008">
        <f t="shared" si="290"/>
        <v>0</v>
      </c>
      <c r="N1008">
        <f t="shared" si="291"/>
        <v>0</v>
      </c>
      <c r="O1008" t="s">
        <v>582</v>
      </c>
      <c r="P1008">
        <f t="shared" si="292"/>
        <v>0</v>
      </c>
      <c r="Q1008">
        <f t="shared" si="293"/>
        <v>0</v>
      </c>
      <c r="R1008">
        <f t="shared" si="294"/>
        <v>0</v>
      </c>
      <c r="S1008">
        <f t="shared" si="295"/>
        <v>0</v>
      </c>
      <c r="T1008">
        <f t="shared" si="296"/>
        <v>0</v>
      </c>
      <c r="U1008">
        <f t="shared" si="297"/>
        <v>0</v>
      </c>
      <c r="V1008">
        <f t="shared" si="298"/>
        <v>0</v>
      </c>
      <c r="W1008" t="s">
        <v>39</v>
      </c>
      <c r="X1008">
        <f t="shared" si="299"/>
        <v>1</v>
      </c>
      <c r="Y1008">
        <f t="shared" si="300"/>
        <v>0</v>
      </c>
      <c r="Z1008">
        <v>4</v>
      </c>
      <c r="AA1008">
        <f t="shared" si="301"/>
        <v>0.75</v>
      </c>
      <c r="AB1008" t="s">
        <v>46</v>
      </c>
      <c r="AC1008">
        <f t="shared" si="302"/>
        <v>1</v>
      </c>
      <c r="AD1008">
        <f t="shared" si="303"/>
        <v>0</v>
      </c>
      <c r="AE1008" t="s">
        <v>50</v>
      </c>
      <c r="AF1008">
        <f>IF(AE1008="website",1,0)</f>
        <v>0</v>
      </c>
    </row>
    <row r="1009" spans="1:32">
      <c r="A1009" t="s">
        <v>1653</v>
      </c>
      <c r="B1009" t="s">
        <v>55</v>
      </c>
      <c r="C1009" s="3">
        <f t="shared" si="285"/>
        <v>1</v>
      </c>
      <c r="D1009">
        <f t="shared" si="286"/>
        <v>0</v>
      </c>
      <c r="E1009" t="s">
        <v>1320</v>
      </c>
      <c r="F1009" t="s">
        <v>57</v>
      </c>
      <c r="G1009" s="1">
        <v>32052</v>
      </c>
      <c r="H1009" s="2">
        <f t="shared" ca="1" si="287"/>
        <v>39</v>
      </c>
      <c r="I1009" s="2">
        <f t="shared" ca="1" si="288"/>
        <v>0.2</v>
      </c>
      <c r="J1009" t="s">
        <v>45</v>
      </c>
      <c r="K1009" t="s">
        <v>37</v>
      </c>
      <c r="L1009">
        <f t="shared" si="289"/>
        <v>1</v>
      </c>
      <c r="M1009">
        <f t="shared" si="290"/>
        <v>0</v>
      </c>
      <c r="N1009">
        <f t="shared" si="291"/>
        <v>0</v>
      </c>
      <c r="O1009" t="s">
        <v>38</v>
      </c>
      <c r="P1009">
        <f t="shared" si="292"/>
        <v>1</v>
      </c>
      <c r="Q1009">
        <f t="shared" si="293"/>
        <v>0</v>
      </c>
      <c r="R1009">
        <f t="shared" si="294"/>
        <v>0</v>
      </c>
      <c r="S1009">
        <f t="shared" si="295"/>
        <v>0</v>
      </c>
      <c r="T1009">
        <f t="shared" si="296"/>
        <v>0</v>
      </c>
      <c r="U1009">
        <f t="shared" si="297"/>
        <v>0</v>
      </c>
      <c r="V1009">
        <f t="shared" si="298"/>
        <v>0</v>
      </c>
      <c r="W1009" t="s">
        <v>39</v>
      </c>
      <c r="X1009">
        <f t="shared" si="299"/>
        <v>1</v>
      </c>
      <c r="Y1009">
        <f t="shared" si="300"/>
        <v>0</v>
      </c>
      <c r="Z1009">
        <v>2</v>
      </c>
      <c r="AA1009">
        <f t="shared" si="301"/>
        <v>0.25</v>
      </c>
      <c r="AB1009" t="s">
        <v>46</v>
      </c>
      <c r="AC1009">
        <f t="shared" si="302"/>
        <v>0</v>
      </c>
      <c r="AD1009">
        <f t="shared" si="303"/>
        <v>0</v>
      </c>
      <c r="AE1009" t="s">
        <v>41</v>
      </c>
      <c r="AF1009">
        <f>IF(AE1009="website",1,0)</f>
        <v>1</v>
      </c>
    </row>
    <row r="1010" spans="1:32">
      <c r="A1010" t="s">
        <v>1654</v>
      </c>
      <c r="B1010" t="s">
        <v>33</v>
      </c>
      <c r="C1010" s="3">
        <f t="shared" si="285"/>
        <v>0</v>
      </c>
      <c r="D1010">
        <f t="shared" si="286"/>
        <v>1</v>
      </c>
      <c r="E1010" t="s">
        <v>697</v>
      </c>
      <c r="F1010" t="s">
        <v>818</v>
      </c>
      <c r="G1010" s="1">
        <v>18305</v>
      </c>
      <c r="H1010" s="2">
        <f t="shared" ca="1" si="287"/>
        <v>76</v>
      </c>
      <c r="I1010" s="2">
        <f t="shared" ca="1" si="288"/>
        <v>0.72857142857142854</v>
      </c>
      <c r="J1010" t="s">
        <v>36</v>
      </c>
      <c r="K1010" t="s">
        <v>37</v>
      </c>
      <c r="L1010">
        <f t="shared" si="289"/>
        <v>1</v>
      </c>
      <c r="M1010">
        <f t="shared" si="290"/>
        <v>0</v>
      </c>
      <c r="N1010">
        <f t="shared" si="291"/>
        <v>0</v>
      </c>
      <c r="O1010" t="s">
        <v>124</v>
      </c>
      <c r="P1010">
        <f t="shared" si="292"/>
        <v>0</v>
      </c>
      <c r="Q1010">
        <f t="shared" si="293"/>
        <v>0</v>
      </c>
      <c r="R1010">
        <f t="shared" si="294"/>
        <v>0</v>
      </c>
      <c r="S1010">
        <f t="shared" si="295"/>
        <v>0</v>
      </c>
      <c r="T1010">
        <f t="shared" si="296"/>
        <v>0</v>
      </c>
      <c r="U1010">
        <f t="shared" si="297"/>
        <v>1</v>
      </c>
      <c r="V1010">
        <f t="shared" si="298"/>
        <v>0</v>
      </c>
      <c r="W1010" t="s">
        <v>58</v>
      </c>
      <c r="X1010">
        <f t="shared" si="299"/>
        <v>0</v>
      </c>
      <c r="Y1010">
        <f t="shared" si="300"/>
        <v>1</v>
      </c>
      <c r="Z1010">
        <v>4</v>
      </c>
      <c r="AA1010">
        <f t="shared" si="301"/>
        <v>0.75</v>
      </c>
      <c r="AB1010" t="s">
        <v>40</v>
      </c>
      <c r="AC1010">
        <f t="shared" si="302"/>
        <v>1</v>
      </c>
      <c r="AD1010">
        <f t="shared" si="303"/>
        <v>0</v>
      </c>
      <c r="AE1010" t="s">
        <v>50</v>
      </c>
      <c r="AF1010">
        <f>IF(AE1010="website",1,0)</f>
        <v>0</v>
      </c>
    </row>
    <row r="1011" spans="1:32">
      <c r="A1011" t="s">
        <v>1655</v>
      </c>
      <c r="B1011" t="s">
        <v>33</v>
      </c>
      <c r="C1011" s="3">
        <f t="shared" si="285"/>
        <v>0</v>
      </c>
      <c r="D1011">
        <f t="shared" si="286"/>
        <v>1</v>
      </c>
      <c r="E1011" t="s">
        <v>1105</v>
      </c>
      <c r="F1011" t="s">
        <v>620</v>
      </c>
      <c r="G1011" s="1">
        <v>23446</v>
      </c>
      <c r="H1011" s="2">
        <f t="shared" ca="1" si="287"/>
        <v>62</v>
      </c>
      <c r="I1011" s="2">
        <f t="shared" ca="1" si="288"/>
        <v>0.52857142857142858</v>
      </c>
      <c r="J1011" t="s">
        <v>45</v>
      </c>
      <c r="K1011" t="s">
        <v>158</v>
      </c>
      <c r="L1011">
        <f t="shared" si="289"/>
        <v>0</v>
      </c>
      <c r="M1011">
        <f t="shared" si="290"/>
        <v>0</v>
      </c>
      <c r="N1011">
        <f t="shared" si="291"/>
        <v>0</v>
      </c>
      <c r="O1011" t="s">
        <v>1068</v>
      </c>
      <c r="P1011">
        <f t="shared" si="292"/>
        <v>0</v>
      </c>
      <c r="Q1011">
        <f t="shared" si="293"/>
        <v>0</v>
      </c>
      <c r="R1011">
        <f t="shared" si="294"/>
        <v>0</v>
      </c>
      <c r="S1011">
        <f t="shared" si="295"/>
        <v>0</v>
      </c>
      <c r="T1011">
        <f t="shared" si="296"/>
        <v>0</v>
      </c>
      <c r="U1011">
        <f t="shared" si="297"/>
        <v>0</v>
      </c>
      <c r="V1011">
        <f t="shared" si="298"/>
        <v>0</v>
      </c>
      <c r="W1011" t="s">
        <v>39</v>
      </c>
      <c r="X1011">
        <f t="shared" si="299"/>
        <v>1</v>
      </c>
      <c r="Y1011">
        <f t="shared" si="300"/>
        <v>0</v>
      </c>
      <c r="Z1011">
        <v>4</v>
      </c>
      <c r="AA1011">
        <f t="shared" si="301"/>
        <v>0.75</v>
      </c>
      <c r="AB1011" t="s">
        <v>46</v>
      </c>
      <c r="AC1011">
        <f t="shared" si="302"/>
        <v>0</v>
      </c>
      <c r="AD1011">
        <f t="shared" si="303"/>
        <v>0</v>
      </c>
      <c r="AE1011" t="s">
        <v>41</v>
      </c>
      <c r="AF1011">
        <f>IF(AE1011="website",1,0)</f>
        <v>1</v>
      </c>
    </row>
    <row r="1012" spans="1:32">
      <c r="A1012" t="s">
        <v>1656</v>
      </c>
      <c r="B1012" t="s">
        <v>33</v>
      </c>
      <c r="C1012" s="3">
        <f t="shared" si="285"/>
        <v>0</v>
      </c>
      <c r="D1012">
        <f t="shared" si="286"/>
        <v>1</v>
      </c>
      <c r="E1012" t="s">
        <v>305</v>
      </c>
      <c r="F1012" t="s">
        <v>645</v>
      </c>
      <c r="G1012" s="1">
        <v>19346</v>
      </c>
      <c r="H1012" s="2">
        <f t="shared" ca="1" si="287"/>
        <v>73</v>
      </c>
      <c r="I1012" s="2">
        <f t="shared" ca="1" si="288"/>
        <v>0.68571428571428572</v>
      </c>
      <c r="J1012" t="s">
        <v>36</v>
      </c>
      <c r="K1012" t="s">
        <v>37</v>
      </c>
      <c r="L1012">
        <f t="shared" si="289"/>
        <v>1</v>
      </c>
      <c r="M1012">
        <f t="shared" si="290"/>
        <v>0</v>
      </c>
      <c r="N1012">
        <f t="shared" si="291"/>
        <v>0</v>
      </c>
      <c r="O1012" t="s">
        <v>38</v>
      </c>
      <c r="P1012">
        <f t="shared" si="292"/>
        <v>1</v>
      </c>
      <c r="Q1012">
        <f t="shared" si="293"/>
        <v>0</v>
      </c>
      <c r="R1012">
        <f t="shared" si="294"/>
        <v>0</v>
      </c>
      <c r="S1012">
        <f t="shared" si="295"/>
        <v>0</v>
      </c>
      <c r="T1012">
        <f t="shared" si="296"/>
        <v>0</v>
      </c>
      <c r="U1012">
        <f t="shared" si="297"/>
        <v>0</v>
      </c>
      <c r="V1012">
        <f t="shared" si="298"/>
        <v>0</v>
      </c>
      <c r="W1012" t="s">
        <v>58</v>
      </c>
      <c r="X1012">
        <f t="shared" si="299"/>
        <v>0</v>
      </c>
      <c r="Y1012">
        <f t="shared" si="300"/>
        <v>1</v>
      </c>
      <c r="Z1012">
        <v>1</v>
      </c>
      <c r="AA1012">
        <f t="shared" si="301"/>
        <v>0</v>
      </c>
      <c r="AB1012" t="s">
        <v>46</v>
      </c>
      <c r="AC1012">
        <f t="shared" si="302"/>
        <v>0</v>
      </c>
      <c r="AD1012">
        <f t="shared" si="303"/>
        <v>0</v>
      </c>
      <c r="AE1012" t="s">
        <v>41</v>
      </c>
      <c r="AF1012">
        <f>IF(AE1012="website",1,0)</f>
        <v>1</v>
      </c>
    </row>
    <row r="1013" spans="1:32">
      <c r="A1013" t="s">
        <v>1657</v>
      </c>
      <c r="B1013" t="s">
        <v>33</v>
      </c>
      <c r="C1013" s="3">
        <f t="shared" si="285"/>
        <v>0</v>
      </c>
      <c r="D1013">
        <f t="shared" si="286"/>
        <v>1</v>
      </c>
      <c r="E1013" t="s">
        <v>795</v>
      </c>
      <c r="F1013" t="s">
        <v>730</v>
      </c>
      <c r="G1013" s="1">
        <v>22209</v>
      </c>
      <c r="H1013" s="2">
        <f t="shared" ca="1" si="287"/>
        <v>65</v>
      </c>
      <c r="I1013" s="2">
        <f t="shared" ca="1" si="288"/>
        <v>0.5714285714285714</v>
      </c>
      <c r="J1013" t="s">
        <v>45</v>
      </c>
      <c r="K1013" t="s">
        <v>37</v>
      </c>
      <c r="L1013">
        <f t="shared" si="289"/>
        <v>1</v>
      </c>
      <c r="M1013">
        <f t="shared" si="290"/>
        <v>0</v>
      </c>
      <c r="N1013">
        <f t="shared" si="291"/>
        <v>0</v>
      </c>
      <c r="O1013" t="s">
        <v>717</v>
      </c>
      <c r="P1013">
        <f t="shared" si="292"/>
        <v>0</v>
      </c>
      <c r="Q1013">
        <f t="shared" si="293"/>
        <v>0</v>
      </c>
      <c r="R1013">
        <f t="shared" si="294"/>
        <v>0</v>
      </c>
      <c r="S1013">
        <f t="shared" si="295"/>
        <v>0</v>
      </c>
      <c r="T1013">
        <f t="shared" si="296"/>
        <v>0</v>
      </c>
      <c r="U1013">
        <f t="shared" si="297"/>
        <v>0</v>
      </c>
      <c r="V1013">
        <f t="shared" si="298"/>
        <v>0</v>
      </c>
      <c r="W1013" t="s">
        <v>39</v>
      </c>
      <c r="X1013">
        <f t="shared" si="299"/>
        <v>1</v>
      </c>
      <c r="Y1013">
        <f t="shared" si="300"/>
        <v>0</v>
      </c>
      <c r="Z1013">
        <v>4</v>
      </c>
      <c r="AA1013">
        <f t="shared" si="301"/>
        <v>0.75</v>
      </c>
      <c r="AB1013" t="s">
        <v>40</v>
      </c>
      <c r="AC1013">
        <f t="shared" si="302"/>
        <v>0</v>
      </c>
      <c r="AD1013">
        <f t="shared" si="303"/>
        <v>0</v>
      </c>
      <c r="AE1013" t="s">
        <v>41</v>
      </c>
      <c r="AF1013">
        <f>IF(AE1013="website",1,0)</f>
        <v>1</v>
      </c>
    </row>
    <row r="1014" spans="1:32">
      <c r="A1014" t="s">
        <v>1658</v>
      </c>
      <c r="B1014" t="s">
        <v>33</v>
      </c>
      <c r="C1014" s="3">
        <f t="shared" si="285"/>
        <v>0</v>
      </c>
      <c r="D1014">
        <f t="shared" si="286"/>
        <v>1</v>
      </c>
      <c r="E1014" t="s">
        <v>747</v>
      </c>
      <c r="F1014" t="s">
        <v>726</v>
      </c>
      <c r="G1014" s="1">
        <v>34504</v>
      </c>
      <c r="H1014" s="2">
        <f t="shared" ca="1" si="287"/>
        <v>32</v>
      </c>
      <c r="I1014" s="2">
        <f t="shared" ca="1" si="288"/>
        <v>0.1</v>
      </c>
      <c r="J1014" t="s">
        <v>36</v>
      </c>
      <c r="K1014" t="s">
        <v>37</v>
      </c>
      <c r="L1014">
        <f t="shared" si="289"/>
        <v>1</v>
      </c>
      <c r="M1014">
        <f t="shared" si="290"/>
        <v>0</v>
      </c>
      <c r="N1014">
        <f t="shared" si="291"/>
        <v>0</v>
      </c>
      <c r="O1014" t="s">
        <v>76</v>
      </c>
      <c r="P1014">
        <f t="shared" si="292"/>
        <v>0</v>
      </c>
      <c r="Q1014">
        <f t="shared" si="293"/>
        <v>1</v>
      </c>
      <c r="R1014">
        <f t="shared" si="294"/>
        <v>0</v>
      </c>
      <c r="S1014">
        <f t="shared" si="295"/>
        <v>0</v>
      </c>
      <c r="T1014">
        <f t="shared" si="296"/>
        <v>0</v>
      </c>
      <c r="U1014">
        <f t="shared" si="297"/>
        <v>0</v>
      </c>
      <c r="V1014">
        <f t="shared" si="298"/>
        <v>0</v>
      </c>
      <c r="W1014" t="s">
        <v>39</v>
      </c>
      <c r="X1014">
        <f t="shared" si="299"/>
        <v>1</v>
      </c>
      <c r="Y1014">
        <f t="shared" si="300"/>
        <v>0</v>
      </c>
      <c r="Z1014">
        <v>1</v>
      </c>
      <c r="AA1014">
        <f t="shared" si="301"/>
        <v>0</v>
      </c>
      <c r="AB1014" t="s">
        <v>40</v>
      </c>
      <c r="AC1014">
        <f t="shared" si="302"/>
        <v>0</v>
      </c>
      <c r="AD1014">
        <f t="shared" si="303"/>
        <v>0</v>
      </c>
      <c r="AE1014" t="s">
        <v>41</v>
      </c>
      <c r="AF1014">
        <f>IF(AE1014="website",1,0)</f>
        <v>1</v>
      </c>
    </row>
    <row r="1015" spans="1:32">
      <c r="A1015" t="s">
        <v>1659</v>
      </c>
      <c r="B1015" t="s">
        <v>33</v>
      </c>
      <c r="C1015" s="3">
        <f t="shared" si="285"/>
        <v>0</v>
      </c>
      <c r="D1015">
        <f t="shared" si="286"/>
        <v>1</v>
      </c>
      <c r="E1015" t="s">
        <v>787</v>
      </c>
      <c r="F1015" t="s">
        <v>552</v>
      </c>
      <c r="G1015" s="1">
        <v>25209</v>
      </c>
      <c r="H1015" s="2">
        <f t="shared" ca="1" si="287"/>
        <v>57</v>
      </c>
      <c r="I1015" s="2">
        <f t="shared" ca="1" si="288"/>
        <v>0.45714285714285713</v>
      </c>
      <c r="J1015" t="s">
        <v>45</v>
      </c>
      <c r="K1015" t="s">
        <v>37</v>
      </c>
      <c r="L1015">
        <f t="shared" si="289"/>
        <v>1</v>
      </c>
      <c r="M1015">
        <f t="shared" si="290"/>
        <v>0</v>
      </c>
      <c r="N1015">
        <f t="shared" si="291"/>
        <v>0</v>
      </c>
      <c r="O1015" t="s">
        <v>38</v>
      </c>
      <c r="P1015">
        <f t="shared" si="292"/>
        <v>1</v>
      </c>
      <c r="Q1015">
        <f t="shared" si="293"/>
        <v>0</v>
      </c>
      <c r="R1015">
        <f t="shared" si="294"/>
        <v>0</v>
      </c>
      <c r="S1015">
        <f t="shared" si="295"/>
        <v>0</v>
      </c>
      <c r="T1015">
        <f t="shared" si="296"/>
        <v>0</v>
      </c>
      <c r="U1015">
        <f t="shared" si="297"/>
        <v>0</v>
      </c>
      <c r="V1015">
        <f t="shared" si="298"/>
        <v>0</v>
      </c>
      <c r="W1015" t="s">
        <v>39</v>
      </c>
      <c r="X1015">
        <f t="shared" si="299"/>
        <v>1</v>
      </c>
      <c r="Y1015">
        <f t="shared" si="300"/>
        <v>0</v>
      </c>
      <c r="Z1015">
        <v>3</v>
      </c>
      <c r="AA1015">
        <f t="shared" si="301"/>
        <v>0.5</v>
      </c>
      <c r="AB1015" t="s">
        <v>40</v>
      </c>
      <c r="AC1015">
        <f t="shared" si="302"/>
        <v>0</v>
      </c>
      <c r="AD1015">
        <f t="shared" si="303"/>
        <v>0</v>
      </c>
      <c r="AE1015" t="s">
        <v>41</v>
      </c>
      <c r="AF1015">
        <f>IF(AE1015="website",1,0)</f>
        <v>1</v>
      </c>
    </row>
    <row r="1016" spans="1:32">
      <c r="A1016" t="s">
        <v>1660</v>
      </c>
      <c r="B1016" t="s">
        <v>33</v>
      </c>
      <c r="C1016" s="3">
        <f t="shared" si="285"/>
        <v>0</v>
      </c>
      <c r="D1016">
        <f t="shared" si="286"/>
        <v>1</v>
      </c>
      <c r="E1016" t="s">
        <v>655</v>
      </c>
      <c r="F1016" t="s">
        <v>840</v>
      </c>
      <c r="G1016" s="1">
        <v>28369</v>
      </c>
      <c r="H1016" s="2">
        <f t="shared" ca="1" si="287"/>
        <v>49</v>
      </c>
      <c r="I1016" s="2">
        <f t="shared" ca="1" si="288"/>
        <v>0.34285714285714286</v>
      </c>
      <c r="J1016" t="s">
        <v>45</v>
      </c>
      <c r="K1016" t="s">
        <v>37</v>
      </c>
      <c r="L1016">
        <f t="shared" si="289"/>
        <v>1</v>
      </c>
      <c r="M1016">
        <f t="shared" si="290"/>
        <v>0</v>
      </c>
      <c r="N1016">
        <f t="shared" si="291"/>
        <v>0</v>
      </c>
      <c r="O1016" t="s">
        <v>38</v>
      </c>
      <c r="P1016">
        <f t="shared" si="292"/>
        <v>1</v>
      </c>
      <c r="Q1016">
        <f t="shared" si="293"/>
        <v>0</v>
      </c>
      <c r="R1016">
        <f t="shared" si="294"/>
        <v>0</v>
      </c>
      <c r="S1016">
        <f t="shared" si="295"/>
        <v>0</v>
      </c>
      <c r="T1016">
        <f t="shared" si="296"/>
        <v>0</v>
      </c>
      <c r="U1016">
        <f t="shared" si="297"/>
        <v>0</v>
      </c>
      <c r="V1016">
        <f t="shared" si="298"/>
        <v>0</v>
      </c>
      <c r="W1016" t="s">
        <v>39</v>
      </c>
      <c r="X1016">
        <f t="shared" si="299"/>
        <v>1</v>
      </c>
      <c r="Y1016">
        <f t="shared" si="300"/>
        <v>0</v>
      </c>
      <c r="Z1016">
        <v>4</v>
      </c>
      <c r="AA1016">
        <f t="shared" si="301"/>
        <v>0.75</v>
      </c>
      <c r="AB1016" t="s">
        <v>40</v>
      </c>
      <c r="AC1016">
        <f t="shared" si="302"/>
        <v>0</v>
      </c>
      <c r="AD1016">
        <f t="shared" si="303"/>
        <v>0</v>
      </c>
      <c r="AE1016" t="s">
        <v>41</v>
      </c>
      <c r="AF1016">
        <f>IF(AE1016="website",1,0)</f>
        <v>1</v>
      </c>
    </row>
    <row r="1017" spans="1:32">
      <c r="A1017" t="s">
        <v>1661</v>
      </c>
      <c r="B1017" t="s">
        <v>33</v>
      </c>
      <c r="C1017" s="3">
        <f t="shared" si="285"/>
        <v>0</v>
      </c>
      <c r="D1017">
        <f t="shared" si="286"/>
        <v>1</v>
      </c>
      <c r="E1017" t="s">
        <v>602</v>
      </c>
      <c r="F1017" t="s">
        <v>571</v>
      </c>
      <c r="G1017" s="1">
        <v>27855</v>
      </c>
      <c r="H1017" s="2">
        <f t="shared" ca="1" si="287"/>
        <v>50</v>
      </c>
      <c r="I1017" s="2">
        <f t="shared" ca="1" si="288"/>
        <v>0.35714285714285715</v>
      </c>
      <c r="J1017" t="s">
        <v>36</v>
      </c>
      <c r="K1017" t="s">
        <v>37</v>
      </c>
      <c r="L1017">
        <f t="shared" si="289"/>
        <v>1</v>
      </c>
      <c r="M1017">
        <f t="shared" si="290"/>
        <v>0</v>
      </c>
      <c r="N1017">
        <f t="shared" si="291"/>
        <v>0</v>
      </c>
      <c r="O1017" t="s">
        <v>38</v>
      </c>
      <c r="P1017">
        <f t="shared" si="292"/>
        <v>1</v>
      </c>
      <c r="Q1017">
        <f t="shared" si="293"/>
        <v>0</v>
      </c>
      <c r="R1017">
        <f t="shared" si="294"/>
        <v>0</v>
      </c>
      <c r="S1017">
        <f t="shared" si="295"/>
        <v>0</v>
      </c>
      <c r="T1017">
        <f t="shared" si="296"/>
        <v>0</v>
      </c>
      <c r="U1017">
        <f t="shared" si="297"/>
        <v>0</v>
      </c>
      <c r="V1017">
        <f t="shared" si="298"/>
        <v>0</v>
      </c>
      <c r="W1017" t="s">
        <v>39</v>
      </c>
      <c r="X1017">
        <f t="shared" si="299"/>
        <v>1</v>
      </c>
      <c r="Y1017">
        <f t="shared" si="300"/>
        <v>0</v>
      </c>
      <c r="Z1017">
        <v>4</v>
      </c>
      <c r="AA1017">
        <f t="shared" si="301"/>
        <v>0.75</v>
      </c>
      <c r="AB1017" t="s">
        <v>40</v>
      </c>
      <c r="AC1017">
        <f t="shared" si="302"/>
        <v>1</v>
      </c>
      <c r="AD1017">
        <f t="shared" si="303"/>
        <v>0</v>
      </c>
      <c r="AE1017" t="s">
        <v>50</v>
      </c>
      <c r="AF1017">
        <f>IF(AE1017="website",1,0)</f>
        <v>0</v>
      </c>
    </row>
    <row r="1018" spans="1:32">
      <c r="A1018" t="s">
        <v>1662</v>
      </c>
      <c r="B1018" t="s">
        <v>33</v>
      </c>
      <c r="C1018" s="3">
        <f t="shared" si="285"/>
        <v>0</v>
      </c>
      <c r="D1018">
        <f t="shared" si="286"/>
        <v>1</v>
      </c>
      <c r="E1018" t="s">
        <v>712</v>
      </c>
      <c r="F1018" t="s">
        <v>728</v>
      </c>
      <c r="G1018" s="1">
        <v>25194</v>
      </c>
      <c r="H1018" s="2">
        <f t="shared" ca="1" si="287"/>
        <v>57</v>
      </c>
      <c r="I1018" s="2">
        <f t="shared" ca="1" si="288"/>
        <v>0.45714285714285713</v>
      </c>
      <c r="J1018" t="s">
        <v>36</v>
      </c>
      <c r="K1018" t="s">
        <v>37</v>
      </c>
      <c r="L1018">
        <f t="shared" si="289"/>
        <v>1</v>
      </c>
      <c r="M1018">
        <f t="shared" si="290"/>
        <v>0</v>
      </c>
      <c r="N1018">
        <f t="shared" si="291"/>
        <v>0</v>
      </c>
      <c r="O1018" t="s">
        <v>38</v>
      </c>
      <c r="P1018">
        <f t="shared" si="292"/>
        <v>1</v>
      </c>
      <c r="Q1018">
        <f t="shared" si="293"/>
        <v>0</v>
      </c>
      <c r="R1018">
        <f t="shared" si="294"/>
        <v>0</v>
      </c>
      <c r="S1018">
        <f t="shared" si="295"/>
        <v>0</v>
      </c>
      <c r="T1018">
        <f t="shared" si="296"/>
        <v>0</v>
      </c>
      <c r="U1018">
        <f t="shared" si="297"/>
        <v>0</v>
      </c>
      <c r="V1018">
        <f t="shared" si="298"/>
        <v>0</v>
      </c>
      <c r="W1018" t="s">
        <v>39</v>
      </c>
      <c r="X1018">
        <f t="shared" si="299"/>
        <v>1</v>
      </c>
      <c r="Y1018">
        <f t="shared" si="300"/>
        <v>0</v>
      </c>
      <c r="Z1018">
        <v>1</v>
      </c>
      <c r="AA1018">
        <f t="shared" si="301"/>
        <v>0</v>
      </c>
      <c r="AB1018" t="s">
        <v>40</v>
      </c>
      <c r="AC1018">
        <f t="shared" si="302"/>
        <v>1</v>
      </c>
      <c r="AD1018">
        <f t="shared" si="303"/>
        <v>0</v>
      </c>
      <c r="AE1018" t="s">
        <v>50</v>
      </c>
      <c r="AF1018">
        <f>IF(AE1018="website",1,0)</f>
        <v>0</v>
      </c>
    </row>
    <row r="1019" spans="1:32">
      <c r="A1019" t="s">
        <v>1663</v>
      </c>
      <c r="B1019" t="s">
        <v>33</v>
      </c>
      <c r="C1019" s="3">
        <f t="shared" si="285"/>
        <v>0</v>
      </c>
      <c r="D1019">
        <f t="shared" si="286"/>
        <v>1</v>
      </c>
      <c r="E1019" t="s">
        <v>1664</v>
      </c>
      <c r="F1019" t="s">
        <v>430</v>
      </c>
      <c r="G1019" s="1">
        <v>24642</v>
      </c>
      <c r="H1019" s="2">
        <f t="shared" ca="1" si="287"/>
        <v>59</v>
      </c>
      <c r="I1019" s="2">
        <f t="shared" ca="1" si="288"/>
        <v>0.48571428571428571</v>
      </c>
      <c r="J1019" t="s">
        <v>36</v>
      </c>
      <c r="K1019" t="s">
        <v>37</v>
      </c>
      <c r="L1019">
        <f t="shared" si="289"/>
        <v>1</v>
      </c>
      <c r="M1019">
        <f t="shared" si="290"/>
        <v>0</v>
      </c>
      <c r="N1019">
        <f t="shared" si="291"/>
        <v>0</v>
      </c>
      <c r="O1019" t="s">
        <v>137</v>
      </c>
      <c r="P1019">
        <f t="shared" si="292"/>
        <v>0</v>
      </c>
      <c r="Q1019">
        <f t="shared" si="293"/>
        <v>0</v>
      </c>
      <c r="R1019">
        <f t="shared" si="294"/>
        <v>0</v>
      </c>
      <c r="S1019">
        <f t="shared" si="295"/>
        <v>0</v>
      </c>
      <c r="T1019">
        <f t="shared" si="296"/>
        <v>0</v>
      </c>
      <c r="U1019">
        <f t="shared" si="297"/>
        <v>0</v>
      </c>
      <c r="V1019">
        <f t="shared" si="298"/>
        <v>0</v>
      </c>
      <c r="W1019" t="s">
        <v>39</v>
      </c>
      <c r="X1019">
        <f t="shared" si="299"/>
        <v>1</v>
      </c>
      <c r="Y1019">
        <f t="shared" si="300"/>
        <v>0</v>
      </c>
      <c r="Z1019">
        <v>5</v>
      </c>
      <c r="AA1019">
        <f t="shared" si="301"/>
        <v>1</v>
      </c>
      <c r="AB1019" t="s">
        <v>40</v>
      </c>
      <c r="AC1019">
        <f t="shared" si="302"/>
        <v>0</v>
      </c>
      <c r="AD1019">
        <f t="shared" si="303"/>
        <v>1</v>
      </c>
      <c r="AE1019" t="s">
        <v>90</v>
      </c>
      <c r="AF1019">
        <f>IF(AE1019="website",1,0)</f>
        <v>0</v>
      </c>
    </row>
    <row r="1020" spans="1:32">
      <c r="A1020" t="s">
        <v>1665</v>
      </c>
      <c r="B1020" t="s">
        <v>33</v>
      </c>
      <c r="C1020" s="3">
        <f t="shared" si="285"/>
        <v>0</v>
      </c>
      <c r="D1020">
        <f t="shared" si="286"/>
        <v>1</v>
      </c>
      <c r="E1020" t="s">
        <v>551</v>
      </c>
      <c r="F1020" t="s">
        <v>372</v>
      </c>
      <c r="G1020" s="1">
        <v>27694</v>
      </c>
      <c r="H1020" s="2">
        <f t="shared" ca="1" si="287"/>
        <v>50</v>
      </c>
      <c r="I1020" s="2">
        <f t="shared" ca="1" si="288"/>
        <v>0.35714285714285715</v>
      </c>
      <c r="J1020" t="s">
        <v>36</v>
      </c>
      <c r="K1020" t="s">
        <v>37</v>
      </c>
      <c r="L1020">
        <f t="shared" si="289"/>
        <v>1</v>
      </c>
      <c r="M1020">
        <f t="shared" si="290"/>
        <v>0</v>
      </c>
      <c r="N1020">
        <f t="shared" si="291"/>
        <v>0</v>
      </c>
      <c r="O1020" t="s">
        <v>124</v>
      </c>
      <c r="P1020">
        <f t="shared" si="292"/>
        <v>0</v>
      </c>
      <c r="Q1020">
        <f t="shared" si="293"/>
        <v>0</v>
      </c>
      <c r="R1020">
        <f t="shared" si="294"/>
        <v>0</v>
      </c>
      <c r="S1020">
        <f t="shared" si="295"/>
        <v>0</v>
      </c>
      <c r="T1020">
        <f t="shared" si="296"/>
        <v>0</v>
      </c>
      <c r="U1020">
        <f t="shared" si="297"/>
        <v>1</v>
      </c>
      <c r="V1020">
        <f t="shared" si="298"/>
        <v>0</v>
      </c>
      <c r="W1020" t="s">
        <v>39</v>
      </c>
      <c r="X1020">
        <f t="shared" si="299"/>
        <v>1</v>
      </c>
      <c r="Y1020">
        <f t="shared" si="300"/>
        <v>0</v>
      </c>
      <c r="Z1020">
        <v>2</v>
      </c>
      <c r="AA1020">
        <f t="shared" si="301"/>
        <v>0.25</v>
      </c>
      <c r="AB1020" t="s">
        <v>46</v>
      </c>
      <c r="AC1020">
        <f t="shared" si="302"/>
        <v>0</v>
      </c>
      <c r="AD1020">
        <f t="shared" si="303"/>
        <v>1</v>
      </c>
      <c r="AE1020" t="s">
        <v>90</v>
      </c>
      <c r="AF1020">
        <f>IF(AE1020="website",1,0)</f>
        <v>0</v>
      </c>
    </row>
    <row r="1021" spans="1:32">
      <c r="A1021" t="s">
        <v>1666</v>
      </c>
      <c r="B1021" t="s">
        <v>33</v>
      </c>
      <c r="C1021" s="3">
        <f t="shared" si="285"/>
        <v>0</v>
      </c>
      <c r="D1021">
        <f t="shared" si="286"/>
        <v>1</v>
      </c>
      <c r="E1021" t="s">
        <v>679</v>
      </c>
      <c r="F1021" t="s">
        <v>730</v>
      </c>
      <c r="G1021" s="1">
        <v>34538</v>
      </c>
      <c r="H1021" s="2">
        <f t="shared" ca="1" si="287"/>
        <v>32</v>
      </c>
      <c r="I1021" s="2">
        <f t="shared" ca="1" si="288"/>
        <v>0.1</v>
      </c>
      <c r="J1021" t="s">
        <v>36</v>
      </c>
      <c r="K1021" t="s">
        <v>37</v>
      </c>
      <c r="L1021">
        <f t="shared" si="289"/>
        <v>1</v>
      </c>
      <c r="M1021">
        <f t="shared" si="290"/>
        <v>0</v>
      </c>
      <c r="N1021">
        <f t="shared" si="291"/>
        <v>0</v>
      </c>
      <c r="O1021" t="s">
        <v>38</v>
      </c>
      <c r="P1021">
        <f t="shared" si="292"/>
        <v>1</v>
      </c>
      <c r="Q1021">
        <f t="shared" si="293"/>
        <v>0</v>
      </c>
      <c r="R1021">
        <f t="shared" si="294"/>
        <v>0</v>
      </c>
      <c r="S1021">
        <f t="shared" si="295"/>
        <v>0</v>
      </c>
      <c r="T1021">
        <f t="shared" si="296"/>
        <v>0</v>
      </c>
      <c r="U1021">
        <f t="shared" si="297"/>
        <v>0</v>
      </c>
      <c r="V1021">
        <f t="shared" si="298"/>
        <v>0</v>
      </c>
      <c r="W1021" t="s">
        <v>39</v>
      </c>
      <c r="X1021">
        <f t="shared" si="299"/>
        <v>1</v>
      </c>
      <c r="Y1021">
        <f t="shared" si="300"/>
        <v>0</v>
      </c>
      <c r="Z1021">
        <v>3</v>
      </c>
      <c r="AA1021">
        <f t="shared" si="301"/>
        <v>0.5</v>
      </c>
      <c r="AB1021" t="s">
        <v>46</v>
      </c>
      <c r="AC1021">
        <f t="shared" si="302"/>
        <v>1</v>
      </c>
      <c r="AD1021">
        <f t="shared" si="303"/>
        <v>0</v>
      </c>
      <c r="AE1021" t="s">
        <v>50</v>
      </c>
      <c r="AF1021">
        <f>IF(AE1021="website",1,0)</f>
        <v>0</v>
      </c>
    </row>
    <row r="1022" spans="1:32">
      <c r="A1022" t="s">
        <v>1667</v>
      </c>
      <c r="B1022" t="s">
        <v>33</v>
      </c>
      <c r="C1022" s="3">
        <f t="shared" si="285"/>
        <v>0</v>
      </c>
      <c r="D1022">
        <f t="shared" si="286"/>
        <v>1</v>
      </c>
      <c r="E1022" t="s">
        <v>1110</v>
      </c>
      <c r="F1022" t="s">
        <v>773</v>
      </c>
      <c r="G1022" s="1">
        <v>27276</v>
      </c>
      <c r="H1022" s="2">
        <f t="shared" ca="1" si="287"/>
        <v>52</v>
      </c>
      <c r="I1022" s="2">
        <f t="shared" ca="1" si="288"/>
        <v>0.38571428571428573</v>
      </c>
      <c r="J1022" t="s">
        <v>45</v>
      </c>
      <c r="K1022" t="s">
        <v>37</v>
      </c>
      <c r="L1022">
        <f t="shared" si="289"/>
        <v>1</v>
      </c>
      <c r="M1022">
        <f t="shared" si="290"/>
        <v>0</v>
      </c>
      <c r="N1022">
        <f t="shared" si="291"/>
        <v>0</v>
      </c>
      <c r="O1022" t="s">
        <v>38</v>
      </c>
      <c r="P1022">
        <f t="shared" si="292"/>
        <v>1</v>
      </c>
      <c r="Q1022">
        <f t="shared" si="293"/>
        <v>0</v>
      </c>
      <c r="R1022">
        <f t="shared" si="294"/>
        <v>0</v>
      </c>
      <c r="S1022">
        <f t="shared" si="295"/>
        <v>0</v>
      </c>
      <c r="T1022">
        <f t="shared" si="296"/>
        <v>0</v>
      </c>
      <c r="U1022">
        <f t="shared" si="297"/>
        <v>0</v>
      </c>
      <c r="V1022">
        <f t="shared" si="298"/>
        <v>0</v>
      </c>
      <c r="W1022" t="s">
        <v>58</v>
      </c>
      <c r="X1022">
        <f t="shared" si="299"/>
        <v>0</v>
      </c>
      <c r="Y1022">
        <f t="shared" si="300"/>
        <v>1</v>
      </c>
      <c r="Z1022">
        <v>1</v>
      </c>
      <c r="AA1022">
        <f t="shared" si="301"/>
        <v>0</v>
      </c>
      <c r="AB1022" t="s">
        <v>46</v>
      </c>
      <c r="AC1022">
        <f t="shared" si="302"/>
        <v>0</v>
      </c>
      <c r="AD1022">
        <f t="shared" si="303"/>
        <v>1</v>
      </c>
      <c r="AE1022" t="s">
        <v>90</v>
      </c>
      <c r="AF1022">
        <f>IF(AE1022="website",1,0)</f>
        <v>0</v>
      </c>
    </row>
    <row r="1023" spans="1:32">
      <c r="A1023" t="s">
        <v>1668</v>
      </c>
      <c r="B1023" t="s">
        <v>33</v>
      </c>
      <c r="C1023" s="3">
        <f t="shared" si="285"/>
        <v>0</v>
      </c>
      <c r="D1023">
        <f t="shared" si="286"/>
        <v>1</v>
      </c>
      <c r="E1023" t="s">
        <v>1554</v>
      </c>
      <c r="F1023" t="s">
        <v>904</v>
      </c>
      <c r="G1023" s="1">
        <v>30789</v>
      </c>
      <c r="H1023" s="2">
        <f t="shared" ca="1" si="287"/>
        <v>42</v>
      </c>
      <c r="I1023" s="2">
        <f t="shared" ca="1" si="288"/>
        <v>0.24285714285714285</v>
      </c>
      <c r="J1023" t="s">
        <v>36</v>
      </c>
      <c r="K1023" t="s">
        <v>37</v>
      </c>
      <c r="L1023">
        <f t="shared" si="289"/>
        <v>1</v>
      </c>
      <c r="M1023">
        <f t="shared" si="290"/>
        <v>0</v>
      </c>
      <c r="N1023">
        <f t="shared" si="291"/>
        <v>0</v>
      </c>
      <c r="O1023" t="s">
        <v>137</v>
      </c>
      <c r="P1023">
        <f t="shared" si="292"/>
        <v>0</v>
      </c>
      <c r="Q1023">
        <f t="shared" si="293"/>
        <v>0</v>
      </c>
      <c r="R1023">
        <f t="shared" si="294"/>
        <v>0</v>
      </c>
      <c r="S1023">
        <f t="shared" si="295"/>
        <v>0</v>
      </c>
      <c r="T1023">
        <f t="shared" si="296"/>
        <v>0</v>
      </c>
      <c r="U1023">
        <f t="shared" si="297"/>
        <v>0</v>
      </c>
      <c r="V1023">
        <f t="shared" si="298"/>
        <v>0</v>
      </c>
      <c r="W1023" t="s">
        <v>39</v>
      </c>
      <c r="X1023">
        <f t="shared" si="299"/>
        <v>1</v>
      </c>
      <c r="Y1023">
        <f t="shared" si="300"/>
        <v>0</v>
      </c>
      <c r="Z1023">
        <v>1</v>
      </c>
      <c r="AA1023">
        <f t="shared" si="301"/>
        <v>0</v>
      </c>
      <c r="AB1023" t="s">
        <v>46</v>
      </c>
      <c r="AC1023">
        <f t="shared" si="302"/>
        <v>1</v>
      </c>
      <c r="AD1023">
        <f t="shared" si="303"/>
        <v>0</v>
      </c>
      <c r="AE1023" t="s">
        <v>50</v>
      </c>
      <c r="AF1023">
        <f>IF(AE1023="website",1,0)</f>
        <v>0</v>
      </c>
    </row>
    <row r="1024" spans="1:32">
      <c r="A1024" t="s">
        <v>1669</v>
      </c>
      <c r="B1024" t="s">
        <v>33</v>
      </c>
      <c r="C1024" s="3">
        <f t="shared" si="285"/>
        <v>0</v>
      </c>
      <c r="D1024">
        <f t="shared" si="286"/>
        <v>1</v>
      </c>
      <c r="E1024" t="s">
        <v>804</v>
      </c>
      <c r="F1024" t="s">
        <v>818</v>
      </c>
      <c r="G1024" s="1">
        <v>19568</v>
      </c>
      <c r="H1024" s="2">
        <f t="shared" ca="1" si="287"/>
        <v>73</v>
      </c>
      <c r="I1024" s="2">
        <f t="shared" ca="1" si="288"/>
        <v>0.68571428571428572</v>
      </c>
      <c r="J1024" t="s">
        <v>36</v>
      </c>
      <c r="K1024" t="s">
        <v>37</v>
      </c>
      <c r="L1024">
        <f t="shared" si="289"/>
        <v>1</v>
      </c>
      <c r="M1024">
        <f t="shared" si="290"/>
        <v>0</v>
      </c>
      <c r="N1024">
        <f t="shared" si="291"/>
        <v>0</v>
      </c>
      <c r="O1024" t="s">
        <v>124</v>
      </c>
      <c r="P1024">
        <f t="shared" si="292"/>
        <v>0</v>
      </c>
      <c r="Q1024">
        <f t="shared" si="293"/>
        <v>0</v>
      </c>
      <c r="R1024">
        <f t="shared" si="294"/>
        <v>0</v>
      </c>
      <c r="S1024">
        <f t="shared" si="295"/>
        <v>0</v>
      </c>
      <c r="T1024">
        <f t="shared" si="296"/>
        <v>0</v>
      </c>
      <c r="U1024">
        <f t="shared" si="297"/>
        <v>1</v>
      </c>
      <c r="V1024">
        <f t="shared" si="298"/>
        <v>0</v>
      </c>
      <c r="W1024" t="s">
        <v>39</v>
      </c>
      <c r="X1024">
        <f t="shared" si="299"/>
        <v>1</v>
      </c>
      <c r="Y1024">
        <f t="shared" si="300"/>
        <v>0</v>
      </c>
      <c r="Z1024">
        <v>1</v>
      </c>
      <c r="AA1024">
        <f t="shared" si="301"/>
        <v>0</v>
      </c>
      <c r="AB1024" t="s">
        <v>40</v>
      </c>
      <c r="AC1024">
        <f t="shared" si="302"/>
        <v>0</v>
      </c>
      <c r="AD1024">
        <f t="shared" si="303"/>
        <v>0</v>
      </c>
      <c r="AE1024" t="s">
        <v>41</v>
      </c>
      <c r="AF1024">
        <f>IF(AE1024="website",1,0)</f>
        <v>1</v>
      </c>
    </row>
    <row r="1025" spans="1:32">
      <c r="A1025" t="s">
        <v>1670</v>
      </c>
      <c r="B1025" t="s">
        <v>33</v>
      </c>
      <c r="C1025" s="3">
        <f t="shared" si="285"/>
        <v>0</v>
      </c>
      <c r="D1025">
        <f t="shared" si="286"/>
        <v>1</v>
      </c>
      <c r="E1025" t="s">
        <v>1032</v>
      </c>
      <c r="F1025" t="s">
        <v>738</v>
      </c>
      <c r="G1025" s="1">
        <v>25418</v>
      </c>
      <c r="H1025" s="2">
        <f t="shared" ca="1" si="287"/>
        <v>57</v>
      </c>
      <c r="I1025" s="2">
        <f t="shared" ca="1" si="288"/>
        <v>0.45714285714285713</v>
      </c>
      <c r="J1025" t="s">
        <v>45</v>
      </c>
      <c r="K1025" t="s">
        <v>37</v>
      </c>
      <c r="L1025">
        <f t="shared" si="289"/>
        <v>1</v>
      </c>
      <c r="M1025">
        <f t="shared" si="290"/>
        <v>0</v>
      </c>
      <c r="N1025">
        <f t="shared" si="291"/>
        <v>0</v>
      </c>
      <c r="O1025" t="s">
        <v>97</v>
      </c>
      <c r="P1025">
        <f t="shared" si="292"/>
        <v>0</v>
      </c>
      <c r="Q1025">
        <f t="shared" si="293"/>
        <v>0</v>
      </c>
      <c r="R1025">
        <f t="shared" si="294"/>
        <v>0</v>
      </c>
      <c r="S1025">
        <f t="shared" si="295"/>
        <v>0</v>
      </c>
      <c r="T1025">
        <f t="shared" si="296"/>
        <v>1</v>
      </c>
      <c r="U1025">
        <f t="shared" si="297"/>
        <v>0</v>
      </c>
      <c r="V1025">
        <f t="shared" si="298"/>
        <v>0</v>
      </c>
      <c r="W1025" t="s">
        <v>58</v>
      </c>
      <c r="X1025">
        <f t="shared" si="299"/>
        <v>0</v>
      </c>
      <c r="Y1025">
        <f t="shared" si="300"/>
        <v>1</v>
      </c>
      <c r="Z1025">
        <v>2</v>
      </c>
      <c r="AA1025">
        <f t="shared" si="301"/>
        <v>0.25</v>
      </c>
      <c r="AB1025" t="s">
        <v>46</v>
      </c>
      <c r="AC1025">
        <f t="shared" si="302"/>
        <v>1</v>
      </c>
      <c r="AD1025">
        <f t="shared" si="303"/>
        <v>0</v>
      </c>
      <c r="AE1025" t="s">
        <v>50</v>
      </c>
      <c r="AF1025">
        <f>IF(AE1025="website",1,0)</f>
        <v>0</v>
      </c>
    </row>
    <row r="1026" spans="1:32">
      <c r="A1026" t="s">
        <v>1671</v>
      </c>
      <c r="B1026" t="s">
        <v>33</v>
      </c>
      <c r="C1026" s="3">
        <f t="shared" ref="C1026:C1089" si="304">IF(B1026="company",1,0)</f>
        <v>0</v>
      </c>
      <c r="D1026">
        <f t="shared" ref="D1026:D1089" si="305">IF(B1026="individual",1,0)</f>
        <v>1</v>
      </c>
      <c r="E1026" t="s">
        <v>482</v>
      </c>
      <c r="F1026" t="s">
        <v>904</v>
      </c>
      <c r="G1026" s="1">
        <v>17187</v>
      </c>
      <c r="H1026" s="2">
        <f t="shared" ref="H1026:H1089" ca="1" si="306">DATEDIF(G1026,TODAY(),"Y")</f>
        <v>79</v>
      </c>
      <c r="I1026" s="2">
        <f t="shared" ref="I1026:I1089" ca="1" si="307">(H1026-MIN(H:H))/(MAX(H:H)-MIN(H:H))</f>
        <v>0.77142857142857146</v>
      </c>
      <c r="J1026" t="s">
        <v>36</v>
      </c>
      <c r="K1026" t="s">
        <v>37</v>
      </c>
      <c r="L1026">
        <f t="shared" ref="L1026:L1089" si="308">IF(K1026="usa",1,0)</f>
        <v>1</v>
      </c>
      <c r="M1026">
        <f t="shared" ref="M1026:M1089" si="309">IF(K1026="canada",1,0)</f>
        <v>0</v>
      </c>
      <c r="N1026">
        <f t="shared" ref="N1026:N1089" si="310">IF(K1026="germany",1,0)</f>
        <v>0</v>
      </c>
      <c r="O1026" t="s">
        <v>38</v>
      </c>
      <c r="P1026">
        <f t="shared" ref="P1026:P1089" si="311">IF(O1026="california",1,0)</f>
        <v>1</v>
      </c>
      <c r="Q1026">
        <f t="shared" ref="Q1026:Q1089" si="312">IF(O1026="oregon",1,0)</f>
        <v>0</v>
      </c>
      <c r="R1026">
        <f t="shared" ref="R1026:R1089" si="313">IF(O1026="quebec",1,0)</f>
        <v>0</v>
      </c>
      <c r="S1026">
        <f t="shared" ref="S1026:S1089" si="314">IF(O1026="berlin",1,0)</f>
        <v>0</v>
      </c>
      <c r="T1026">
        <f t="shared" ref="T1026:T1089" si="315">IF(O1026="arizona",1,0)</f>
        <v>0</v>
      </c>
      <c r="U1026">
        <f t="shared" ref="U1026:U1089" si="316">IF(O1026="nevada",1,0)</f>
        <v>0</v>
      </c>
      <c r="V1026">
        <f t="shared" ref="V1026:V1089" si="317">IF(O1026="colardo",1,0)</f>
        <v>0</v>
      </c>
      <c r="W1026" t="s">
        <v>39</v>
      </c>
      <c r="X1026">
        <f t="shared" ref="X1026:X1089" si="318">IF(W1026="home",1,0)</f>
        <v>1</v>
      </c>
      <c r="Y1026">
        <f t="shared" ref="Y1026:Y1089" si="319">IF(W1026="investment",1,0)</f>
        <v>0</v>
      </c>
      <c r="Z1026">
        <v>1</v>
      </c>
      <c r="AA1026">
        <f t="shared" ref="AA1026:AA1089" si="320">(Z1026-1)/4</f>
        <v>0</v>
      </c>
      <c r="AB1026" t="s">
        <v>46</v>
      </c>
      <c r="AC1026">
        <f t="shared" ref="AC1026:AC1089" si="321">IF(AE1026="agency",1,0)</f>
        <v>0</v>
      </c>
      <c r="AD1026">
        <f t="shared" ref="AD1026:AD1089" si="322">IF(AE1026="client",1,0)</f>
        <v>1</v>
      </c>
      <c r="AE1026" t="s">
        <v>90</v>
      </c>
      <c r="AF1026">
        <f>IF(AE1026="website",1,0)</f>
        <v>0</v>
      </c>
    </row>
    <row r="1027" spans="1:32">
      <c r="A1027" t="s">
        <v>1672</v>
      </c>
      <c r="B1027" t="s">
        <v>33</v>
      </c>
      <c r="C1027" s="3">
        <f t="shared" si="304"/>
        <v>0</v>
      </c>
      <c r="D1027">
        <f t="shared" si="305"/>
        <v>1</v>
      </c>
      <c r="E1027" t="s">
        <v>1288</v>
      </c>
      <c r="F1027" t="s">
        <v>538</v>
      </c>
      <c r="G1027" s="1">
        <v>33462</v>
      </c>
      <c r="H1027" s="2">
        <f t="shared" ca="1" si="306"/>
        <v>35</v>
      </c>
      <c r="I1027" s="2">
        <f t="shared" ca="1" si="307"/>
        <v>0.14285714285714285</v>
      </c>
      <c r="J1027" t="s">
        <v>45</v>
      </c>
      <c r="K1027" t="s">
        <v>37</v>
      </c>
      <c r="L1027">
        <f t="shared" si="308"/>
        <v>1</v>
      </c>
      <c r="M1027">
        <f t="shared" si="309"/>
        <v>0</v>
      </c>
      <c r="N1027">
        <f t="shared" si="310"/>
        <v>0</v>
      </c>
      <c r="O1027" t="s">
        <v>38</v>
      </c>
      <c r="P1027">
        <f t="shared" si="311"/>
        <v>1</v>
      </c>
      <c r="Q1027">
        <f t="shared" si="312"/>
        <v>0</v>
      </c>
      <c r="R1027">
        <f t="shared" si="313"/>
        <v>0</v>
      </c>
      <c r="S1027">
        <f t="shared" si="314"/>
        <v>0</v>
      </c>
      <c r="T1027">
        <f t="shared" si="315"/>
        <v>0</v>
      </c>
      <c r="U1027">
        <f t="shared" si="316"/>
        <v>0</v>
      </c>
      <c r="V1027">
        <f t="shared" si="317"/>
        <v>0</v>
      </c>
      <c r="W1027" t="s">
        <v>58</v>
      </c>
      <c r="X1027">
        <f t="shared" si="318"/>
        <v>0</v>
      </c>
      <c r="Y1027">
        <f t="shared" si="319"/>
        <v>1</v>
      </c>
      <c r="Z1027">
        <v>1</v>
      </c>
      <c r="AA1027">
        <f t="shared" si="320"/>
        <v>0</v>
      </c>
      <c r="AB1027" t="s">
        <v>46</v>
      </c>
      <c r="AC1027">
        <f t="shared" si="321"/>
        <v>1</v>
      </c>
      <c r="AD1027">
        <f t="shared" si="322"/>
        <v>0</v>
      </c>
      <c r="AE1027" t="s">
        <v>50</v>
      </c>
      <c r="AF1027">
        <f>IF(AE1027="website",1,0)</f>
        <v>0</v>
      </c>
    </row>
    <row r="1028" spans="1:32">
      <c r="A1028" t="s">
        <v>1673</v>
      </c>
      <c r="B1028" t="s">
        <v>33</v>
      </c>
      <c r="C1028" s="3">
        <f t="shared" si="304"/>
        <v>0</v>
      </c>
      <c r="D1028">
        <f t="shared" si="305"/>
        <v>1</v>
      </c>
      <c r="E1028" t="s">
        <v>722</v>
      </c>
      <c r="F1028" t="s">
        <v>633</v>
      </c>
      <c r="G1028" s="1">
        <v>28104</v>
      </c>
      <c r="H1028" s="2">
        <f t="shared" ca="1" si="306"/>
        <v>49</v>
      </c>
      <c r="I1028" s="2">
        <f t="shared" ca="1" si="307"/>
        <v>0.34285714285714286</v>
      </c>
      <c r="J1028" t="s">
        <v>45</v>
      </c>
      <c r="K1028" t="s">
        <v>37</v>
      </c>
      <c r="L1028">
        <f t="shared" si="308"/>
        <v>1</v>
      </c>
      <c r="M1028">
        <f t="shared" si="309"/>
        <v>0</v>
      </c>
      <c r="N1028">
        <f t="shared" si="310"/>
        <v>0</v>
      </c>
      <c r="O1028" t="s">
        <v>38</v>
      </c>
      <c r="P1028">
        <f t="shared" si="311"/>
        <v>1</v>
      </c>
      <c r="Q1028">
        <f t="shared" si="312"/>
        <v>0</v>
      </c>
      <c r="R1028">
        <f t="shared" si="313"/>
        <v>0</v>
      </c>
      <c r="S1028">
        <f t="shared" si="314"/>
        <v>0</v>
      </c>
      <c r="T1028">
        <f t="shared" si="315"/>
        <v>0</v>
      </c>
      <c r="U1028">
        <f t="shared" si="316"/>
        <v>0</v>
      </c>
      <c r="V1028">
        <f t="shared" si="317"/>
        <v>0</v>
      </c>
      <c r="W1028" t="s">
        <v>58</v>
      </c>
      <c r="X1028">
        <f t="shared" si="318"/>
        <v>0</v>
      </c>
      <c r="Y1028">
        <f t="shared" si="319"/>
        <v>1</v>
      </c>
      <c r="Z1028">
        <v>1</v>
      </c>
      <c r="AA1028">
        <f t="shared" si="320"/>
        <v>0</v>
      </c>
      <c r="AB1028" t="s">
        <v>40</v>
      </c>
      <c r="AC1028">
        <f t="shared" si="321"/>
        <v>0</v>
      </c>
      <c r="AD1028">
        <f t="shared" si="322"/>
        <v>1</v>
      </c>
      <c r="AE1028" t="s">
        <v>90</v>
      </c>
      <c r="AF1028">
        <f>IF(AE1028="website",1,0)</f>
        <v>0</v>
      </c>
    </row>
    <row r="1029" spans="1:32">
      <c r="A1029" t="s">
        <v>1674</v>
      </c>
      <c r="B1029" t="s">
        <v>33</v>
      </c>
      <c r="C1029" s="3">
        <f t="shared" si="304"/>
        <v>0</v>
      </c>
      <c r="D1029">
        <f t="shared" si="305"/>
        <v>1</v>
      </c>
      <c r="E1029" t="s">
        <v>596</v>
      </c>
      <c r="F1029" t="s">
        <v>856</v>
      </c>
      <c r="G1029" s="1">
        <v>15438</v>
      </c>
      <c r="H1029" s="2">
        <f t="shared" ca="1" si="306"/>
        <v>84</v>
      </c>
      <c r="I1029" s="2">
        <f t="shared" ca="1" si="307"/>
        <v>0.84285714285714286</v>
      </c>
      <c r="J1029" t="s">
        <v>45</v>
      </c>
      <c r="K1029" t="s">
        <v>37</v>
      </c>
      <c r="L1029">
        <f t="shared" si="308"/>
        <v>1</v>
      </c>
      <c r="M1029">
        <f t="shared" si="309"/>
        <v>0</v>
      </c>
      <c r="N1029">
        <f t="shared" si="310"/>
        <v>0</v>
      </c>
      <c r="O1029" t="s">
        <v>38</v>
      </c>
      <c r="P1029">
        <f t="shared" si="311"/>
        <v>1</v>
      </c>
      <c r="Q1029">
        <f t="shared" si="312"/>
        <v>0</v>
      </c>
      <c r="R1029">
        <f t="shared" si="313"/>
        <v>0</v>
      </c>
      <c r="S1029">
        <f t="shared" si="314"/>
        <v>0</v>
      </c>
      <c r="T1029">
        <f t="shared" si="315"/>
        <v>0</v>
      </c>
      <c r="U1029">
        <f t="shared" si="316"/>
        <v>0</v>
      </c>
      <c r="V1029">
        <f t="shared" si="317"/>
        <v>0</v>
      </c>
      <c r="W1029" t="s">
        <v>39</v>
      </c>
      <c r="X1029">
        <f t="shared" si="318"/>
        <v>1</v>
      </c>
      <c r="Y1029">
        <f t="shared" si="319"/>
        <v>0</v>
      </c>
      <c r="Z1029">
        <v>1</v>
      </c>
      <c r="AA1029">
        <f t="shared" si="320"/>
        <v>0</v>
      </c>
      <c r="AB1029" t="s">
        <v>40</v>
      </c>
      <c r="AC1029">
        <f t="shared" si="321"/>
        <v>0</v>
      </c>
      <c r="AD1029">
        <f t="shared" si="322"/>
        <v>0</v>
      </c>
      <c r="AE1029" t="s">
        <v>41</v>
      </c>
      <c r="AF1029">
        <f>IF(AE1029="website",1,0)</f>
        <v>1</v>
      </c>
    </row>
    <row r="1030" spans="1:32">
      <c r="A1030" t="s">
        <v>1675</v>
      </c>
      <c r="B1030" t="s">
        <v>33</v>
      </c>
      <c r="C1030" s="3">
        <f t="shared" si="304"/>
        <v>0</v>
      </c>
      <c r="D1030">
        <f t="shared" si="305"/>
        <v>1</v>
      </c>
      <c r="E1030" t="s">
        <v>635</v>
      </c>
      <c r="F1030" t="s">
        <v>911</v>
      </c>
      <c r="G1030" s="1">
        <v>18208</v>
      </c>
      <c r="H1030" s="2">
        <f t="shared" ca="1" si="306"/>
        <v>76</v>
      </c>
      <c r="I1030" s="2">
        <f t="shared" ca="1" si="307"/>
        <v>0.72857142857142854</v>
      </c>
      <c r="J1030" t="s">
        <v>45</v>
      </c>
      <c r="K1030" t="s">
        <v>819</v>
      </c>
      <c r="L1030">
        <f t="shared" si="308"/>
        <v>0</v>
      </c>
      <c r="M1030">
        <f t="shared" si="309"/>
        <v>0</v>
      </c>
      <c r="N1030">
        <f t="shared" si="310"/>
        <v>0</v>
      </c>
      <c r="O1030" t="s">
        <v>1061</v>
      </c>
      <c r="P1030">
        <f t="shared" si="311"/>
        <v>0</v>
      </c>
      <c r="Q1030">
        <f t="shared" si="312"/>
        <v>0</v>
      </c>
      <c r="R1030">
        <f t="shared" si="313"/>
        <v>0</v>
      </c>
      <c r="S1030">
        <f t="shared" si="314"/>
        <v>0</v>
      </c>
      <c r="T1030">
        <f t="shared" si="315"/>
        <v>0</v>
      </c>
      <c r="U1030">
        <f t="shared" si="316"/>
        <v>0</v>
      </c>
      <c r="V1030">
        <f t="shared" si="317"/>
        <v>0</v>
      </c>
      <c r="W1030" t="s">
        <v>39</v>
      </c>
      <c r="X1030">
        <f t="shared" si="318"/>
        <v>1</v>
      </c>
      <c r="Y1030">
        <f t="shared" si="319"/>
        <v>0</v>
      </c>
      <c r="Z1030">
        <v>1</v>
      </c>
      <c r="AA1030">
        <f t="shared" si="320"/>
        <v>0</v>
      </c>
      <c r="AB1030" t="s">
        <v>46</v>
      </c>
      <c r="AC1030">
        <f t="shared" si="321"/>
        <v>1</v>
      </c>
      <c r="AD1030">
        <f t="shared" si="322"/>
        <v>0</v>
      </c>
      <c r="AE1030" t="s">
        <v>50</v>
      </c>
      <c r="AF1030">
        <f>IF(AE1030="website",1,0)</f>
        <v>0</v>
      </c>
    </row>
    <row r="1031" spans="1:32">
      <c r="A1031" t="s">
        <v>1676</v>
      </c>
      <c r="B1031" t="s">
        <v>33</v>
      </c>
      <c r="C1031" s="3">
        <f t="shared" si="304"/>
        <v>0</v>
      </c>
      <c r="D1031">
        <f t="shared" si="305"/>
        <v>1</v>
      </c>
      <c r="E1031" t="s">
        <v>644</v>
      </c>
      <c r="F1031" t="s">
        <v>703</v>
      </c>
      <c r="G1031" s="1">
        <v>22026</v>
      </c>
      <c r="H1031" s="2">
        <f t="shared" ca="1" si="306"/>
        <v>66</v>
      </c>
      <c r="I1031" s="2">
        <f t="shared" ca="1" si="307"/>
        <v>0.58571428571428574</v>
      </c>
      <c r="J1031" t="s">
        <v>36</v>
      </c>
      <c r="K1031" t="s">
        <v>37</v>
      </c>
      <c r="L1031">
        <f t="shared" si="308"/>
        <v>1</v>
      </c>
      <c r="M1031">
        <f t="shared" si="309"/>
        <v>0</v>
      </c>
      <c r="N1031">
        <f t="shared" si="310"/>
        <v>0</v>
      </c>
      <c r="O1031" t="s">
        <v>559</v>
      </c>
      <c r="P1031">
        <f t="shared" si="311"/>
        <v>0</v>
      </c>
      <c r="Q1031">
        <f t="shared" si="312"/>
        <v>0</v>
      </c>
      <c r="R1031">
        <f t="shared" si="313"/>
        <v>0</v>
      </c>
      <c r="S1031">
        <f t="shared" si="314"/>
        <v>0</v>
      </c>
      <c r="T1031">
        <f t="shared" si="315"/>
        <v>0</v>
      </c>
      <c r="U1031">
        <f t="shared" si="316"/>
        <v>0</v>
      </c>
      <c r="V1031">
        <f t="shared" si="317"/>
        <v>0</v>
      </c>
      <c r="W1031" t="s">
        <v>39</v>
      </c>
      <c r="X1031">
        <f t="shared" si="318"/>
        <v>1</v>
      </c>
      <c r="Y1031">
        <f t="shared" si="319"/>
        <v>0</v>
      </c>
      <c r="Z1031">
        <v>4</v>
      </c>
      <c r="AA1031">
        <f t="shared" si="320"/>
        <v>0.75</v>
      </c>
      <c r="AB1031" t="s">
        <v>46</v>
      </c>
      <c r="AC1031">
        <f t="shared" si="321"/>
        <v>0</v>
      </c>
      <c r="AD1031">
        <f t="shared" si="322"/>
        <v>0</v>
      </c>
      <c r="AE1031" t="s">
        <v>41</v>
      </c>
      <c r="AF1031">
        <f>IF(AE1031="website",1,0)</f>
        <v>1</v>
      </c>
    </row>
    <row r="1032" spans="1:32">
      <c r="A1032" t="s">
        <v>1677</v>
      </c>
      <c r="B1032" t="s">
        <v>33</v>
      </c>
      <c r="C1032" s="3">
        <f t="shared" si="304"/>
        <v>0</v>
      </c>
      <c r="D1032">
        <f t="shared" si="305"/>
        <v>1</v>
      </c>
      <c r="E1032" t="s">
        <v>576</v>
      </c>
      <c r="F1032" t="s">
        <v>885</v>
      </c>
      <c r="G1032" s="1">
        <v>32521</v>
      </c>
      <c r="H1032" s="2">
        <f t="shared" ca="1" si="306"/>
        <v>37</v>
      </c>
      <c r="I1032" s="2">
        <f t="shared" ca="1" si="307"/>
        <v>0.17142857142857143</v>
      </c>
      <c r="J1032" t="s">
        <v>45</v>
      </c>
      <c r="K1032" t="s">
        <v>248</v>
      </c>
      <c r="L1032">
        <f t="shared" si="308"/>
        <v>0</v>
      </c>
      <c r="M1032">
        <f t="shared" si="309"/>
        <v>0</v>
      </c>
      <c r="N1032">
        <f t="shared" si="310"/>
        <v>0</v>
      </c>
      <c r="O1032" t="s">
        <v>582</v>
      </c>
      <c r="P1032">
        <f t="shared" si="311"/>
        <v>0</v>
      </c>
      <c r="Q1032">
        <f t="shared" si="312"/>
        <v>0</v>
      </c>
      <c r="R1032">
        <f t="shared" si="313"/>
        <v>0</v>
      </c>
      <c r="S1032">
        <f t="shared" si="314"/>
        <v>0</v>
      </c>
      <c r="T1032">
        <f t="shared" si="315"/>
        <v>0</v>
      </c>
      <c r="U1032">
        <f t="shared" si="316"/>
        <v>0</v>
      </c>
      <c r="V1032">
        <f t="shared" si="317"/>
        <v>0</v>
      </c>
      <c r="W1032" t="s">
        <v>39</v>
      </c>
      <c r="X1032">
        <f t="shared" si="318"/>
        <v>1</v>
      </c>
      <c r="Y1032">
        <f t="shared" si="319"/>
        <v>0</v>
      </c>
      <c r="Z1032">
        <v>1</v>
      </c>
      <c r="AA1032">
        <f t="shared" si="320"/>
        <v>0</v>
      </c>
      <c r="AB1032" t="s">
        <v>46</v>
      </c>
      <c r="AC1032">
        <f t="shared" si="321"/>
        <v>0</v>
      </c>
      <c r="AD1032">
        <f t="shared" si="322"/>
        <v>0</v>
      </c>
      <c r="AE1032" t="s">
        <v>41</v>
      </c>
      <c r="AF1032">
        <f>IF(AE1032="website",1,0)</f>
        <v>1</v>
      </c>
    </row>
    <row r="1033" spans="1:32">
      <c r="A1033" t="s">
        <v>1678</v>
      </c>
      <c r="B1033" t="s">
        <v>33</v>
      </c>
      <c r="C1033" s="3">
        <f t="shared" si="304"/>
        <v>0</v>
      </c>
      <c r="D1033">
        <f t="shared" si="305"/>
        <v>1</v>
      </c>
      <c r="E1033" t="s">
        <v>544</v>
      </c>
      <c r="F1033" t="s">
        <v>757</v>
      </c>
      <c r="G1033" s="1">
        <v>28128</v>
      </c>
      <c r="H1033" s="2">
        <f t="shared" ca="1" si="306"/>
        <v>49</v>
      </c>
      <c r="I1033" s="2">
        <f t="shared" ca="1" si="307"/>
        <v>0.34285714285714286</v>
      </c>
      <c r="J1033" t="s">
        <v>45</v>
      </c>
      <c r="K1033" t="s">
        <v>37</v>
      </c>
      <c r="L1033">
        <f t="shared" si="308"/>
        <v>1</v>
      </c>
      <c r="M1033">
        <f t="shared" si="309"/>
        <v>0</v>
      </c>
      <c r="N1033">
        <f t="shared" si="310"/>
        <v>0</v>
      </c>
      <c r="O1033" t="s">
        <v>124</v>
      </c>
      <c r="P1033">
        <f t="shared" si="311"/>
        <v>0</v>
      </c>
      <c r="Q1033">
        <f t="shared" si="312"/>
        <v>0</v>
      </c>
      <c r="R1033">
        <f t="shared" si="313"/>
        <v>0</v>
      </c>
      <c r="S1033">
        <f t="shared" si="314"/>
        <v>0</v>
      </c>
      <c r="T1033">
        <f t="shared" si="315"/>
        <v>0</v>
      </c>
      <c r="U1033">
        <f t="shared" si="316"/>
        <v>1</v>
      </c>
      <c r="V1033">
        <f t="shared" si="317"/>
        <v>0</v>
      </c>
      <c r="W1033" t="s">
        <v>39</v>
      </c>
      <c r="X1033">
        <f t="shared" si="318"/>
        <v>1</v>
      </c>
      <c r="Y1033">
        <f t="shared" si="319"/>
        <v>0</v>
      </c>
      <c r="Z1033">
        <v>5</v>
      </c>
      <c r="AA1033">
        <f t="shared" si="320"/>
        <v>1</v>
      </c>
      <c r="AB1033" t="s">
        <v>46</v>
      </c>
      <c r="AC1033">
        <f t="shared" si="321"/>
        <v>0</v>
      </c>
      <c r="AD1033">
        <f t="shared" si="322"/>
        <v>0</v>
      </c>
      <c r="AE1033" t="s">
        <v>41</v>
      </c>
      <c r="AF1033">
        <f>IF(AE1033="website",1,0)</f>
        <v>1</v>
      </c>
    </row>
    <row r="1034" spans="1:32">
      <c r="A1034" t="s">
        <v>1679</v>
      </c>
      <c r="B1034" t="s">
        <v>33</v>
      </c>
      <c r="C1034" s="3">
        <f t="shared" si="304"/>
        <v>0</v>
      </c>
      <c r="D1034">
        <f t="shared" si="305"/>
        <v>1</v>
      </c>
      <c r="E1034" t="s">
        <v>1060</v>
      </c>
      <c r="F1034" t="s">
        <v>911</v>
      </c>
      <c r="G1034" s="1">
        <v>22818</v>
      </c>
      <c r="H1034" s="2">
        <f t="shared" ca="1" si="306"/>
        <v>64</v>
      </c>
      <c r="I1034" s="2">
        <f t="shared" ca="1" si="307"/>
        <v>0.55714285714285716</v>
      </c>
      <c r="J1034" t="s">
        <v>45</v>
      </c>
      <c r="K1034" t="s">
        <v>626</v>
      </c>
      <c r="L1034">
        <f t="shared" si="308"/>
        <v>0</v>
      </c>
      <c r="M1034">
        <f t="shared" si="309"/>
        <v>0</v>
      </c>
      <c r="N1034">
        <f t="shared" si="310"/>
        <v>0</v>
      </c>
      <c r="O1034" t="s">
        <v>627</v>
      </c>
      <c r="P1034">
        <f t="shared" si="311"/>
        <v>0</v>
      </c>
      <c r="Q1034">
        <f t="shared" si="312"/>
        <v>0</v>
      </c>
      <c r="R1034">
        <f t="shared" si="313"/>
        <v>0</v>
      </c>
      <c r="S1034">
        <f t="shared" si="314"/>
        <v>0</v>
      </c>
      <c r="T1034">
        <f t="shared" si="315"/>
        <v>0</v>
      </c>
      <c r="U1034">
        <f t="shared" si="316"/>
        <v>0</v>
      </c>
      <c r="V1034">
        <f t="shared" si="317"/>
        <v>0</v>
      </c>
      <c r="W1034" t="s">
        <v>39</v>
      </c>
      <c r="X1034">
        <f t="shared" si="318"/>
        <v>1</v>
      </c>
      <c r="Y1034">
        <f t="shared" si="319"/>
        <v>0</v>
      </c>
      <c r="Z1034">
        <v>2</v>
      </c>
      <c r="AA1034">
        <f t="shared" si="320"/>
        <v>0.25</v>
      </c>
      <c r="AB1034" t="s">
        <v>46</v>
      </c>
      <c r="AC1034">
        <f t="shared" si="321"/>
        <v>0</v>
      </c>
      <c r="AD1034">
        <f t="shared" si="322"/>
        <v>0</v>
      </c>
      <c r="AE1034" t="s">
        <v>41</v>
      </c>
      <c r="AF1034">
        <f>IF(AE1034="website",1,0)</f>
        <v>1</v>
      </c>
    </row>
    <row r="1035" spans="1:32">
      <c r="A1035" t="s">
        <v>1680</v>
      </c>
      <c r="B1035" t="s">
        <v>33</v>
      </c>
      <c r="C1035" s="3">
        <f t="shared" si="304"/>
        <v>0</v>
      </c>
      <c r="D1035">
        <f t="shared" si="305"/>
        <v>1</v>
      </c>
      <c r="E1035" t="s">
        <v>602</v>
      </c>
      <c r="F1035" t="s">
        <v>571</v>
      </c>
      <c r="G1035" s="1">
        <v>28875</v>
      </c>
      <c r="H1035" s="2">
        <f t="shared" ca="1" si="306"/>
        <v>47</v>
      </c>
      <c r="I1035" s="2">
        <f t="shared" ca="1" si="307"/>
        <v>0.31428571428571428</v>
      </c>
      <c r="J1035" t="s">
        <v>36</v>
      </c>
      <c r="K1035" t="s">
        <v>37</v>
      </c>
      <c r="L1035">
        <f t="shared" si="308"/>
        <v>1</v>
      </c>
      <c r="M1035">
        <f t="shared" si="309"/>
        <v>0</v>
      </c>
      <c r="N1035">
        <f t="shared" si="310"/>
        <v>0</v>
      </c>
      <c r="O1035" t="s">
        <v>137</v>
      </c>
      <c r="P1035">
        <f t="shared" si="311"/>
        <v>0</v>
      </c>
      <c r="Q1035">
        <f t="shared" si="312"/>
        <v>0</v>
      </c>
      <c r="R1035">
        <f t="shared" si="313"/>
        <v>0</v>
      </c>
      <c r="S1035">
        <f t="shared" si="314"/>
        <v>0</v>
      </c>
      <c r="T1035">
        <f t="shared" si="315"/>
        <v>0</v>
      </c>
      <c r="U1035">
        <f t="shared" si="316"/>
        <v>0</v>
      </c>
      <c r="V1035">
        <f t="shared" si="317"/>
        <v>0</v>
      </c>
      <c r="W1035" t="s">
        <v>39</v>
      </c>
      <c r="X1035">
        <f t="shared" si="318"/>
        <v>1</v>
      </c>
      <c r="Y1035">
        <f t="shared" si="319"/>
        <v>0</v>
      </c>
      <c r="Z1035">
        <v>5</v>
      </c>
      <c r="AA1035">
        <f t="shared" si="320"/>
        <v>1</v>
      </c>
      <c r="AB1035" t="s">
        <v>46</v>
      </c>
      <c r="AC1035">
        <f t="shared" si="321"/>
        <v>0</v>
      </c>
      <c r="AD1035">
        <f t="shared" si="322"/>
        <v>1</v>
      </c>
      <c r="AE1035" t="s">
        <v>90</v>
      </c>
      <c r="AF1035">
        <f>IF(AE1035="website",1,0)</f>
        <v>0</v>
      </c>
    </row>
    <row r="1036" spans="1:32">
      <c r="A1036" t="s">
        <v>1681</v>
      </c>
      <c r="B1036" t="s">
        <v>33</v>
      </c>
      <c r="C1036" s="3">
        <f t="shared" si="304"/>
        <v>0</v>
      </c>
      <c r="D1036">
        <f t="shared" si="305"/>
        <v>1</v>
      </c>
      <c r="E1036" t="s">
        <v>561</v>
      </c>
      <c r="F1036" t="s">
        <v>579</v>
      </c>
      <c r="G1036" s="1">
        <v>22322</v>
      </c>
      <c r="H1036" s="2">
        <f t="shared" ca="1" si="306"/>
        <v>65</v>
      </c>
      <c r="I1036" s="2">
        <f t="shared" ca="1" si="307"/>
        <v>0.5714285714285714</v>
      </c>
      <c r="J1036" t="s">
        <v>45</v>
      </c>
      <c r="K1036" t="s">
        <v>37</v>
      </c>
      <c r="L1036">
        <f t="shared" si="308"/>
        <v>1</v>
      </c>
      <c r="M1036">
        <f t="shared" si="309"/>
        <v>0</v>
      </c>
      <c r="N1036">
        <f t="shared" si="310"/>
        <v>0</v>
      </c>
      <c r="O1036" t="s">
        <v>305</v>
      </c>
      <c r="P1036">
        <f t="shared" si="311"/>
        <v>0</v>
      </c>
      <c r="Q1036">
        <f t="shared" si="312"/>
        <v>0</v>
      </c>
      <c r="R1036">
        <f t="shared" si="313"/>
        <v>0</v>
      </c>
      <c r="S1036">
        <f t="shared" si="314"/>
        <v>0</v>
      </c>
      <c r="T1036">
        <f t="shared" si="315"/>
        <v>0</v>
      </c>
      <c r="U1036">
        <f t="shared" si="316"/>
        <v>0</v>
      </c>
      <c r="V1036">
        <f t="shared" si="317"/>
        <v>0</v>
      </c>
      <c r="W1036" t="s">
        <v>39</v>
      </c>
      <c r="X1036">
        <f t="shared" si="318"/>
        <v>1</v>
      </c>
      <c r="Y1036">
        <f t="shared" si="319"/>
        <v>0</v>
      </c>
      <c r="Z1036">
        <v>2</v>
      </c>
      <c r="AA1036">
        <f t="shared" si="320"/>
        <v>0.25</v>
      </c>
      <c r="AB1036" t="s">
        <v>46</v>
      </c>
      <c r="AC1036">
        <f t="shared" si="321"/>
        <v>0</v>
      </c>
      <c r="AD1036">
        <f t="shared" si="322"/>
        <v>0</v>
      </c>
      <c r="AE1036" t="s">
        <v>41</v>
      </c>
      <c r="AF1036">
        <f>IF(AE1036="website",1,0)</f>
        <v>1</v>
      </c>
    </row>
    <row r="1037" spans="1:32">
      <c r="A1037" t="s">
        <v>1682</v>
      </c>
      <c r="B1037" t="s">
        <v>33</v>
      </c>
      <c r="C1037" s="3">
        <f t="shared" si="304"/>
        <v>0</v>
      </c>
      <c r="D1037">
        <f t="shared" si="305"/>
        <v>1</v>
      </c>
      <c r="E1037" t="s">
        <v>1346</v>
      </c>
      <c r="F1037" t="s">
        <v>745</v>
      </c>
      <c r="G1037" s="1">
        <v>32215</v>
      </c>
      <c r="H1037" s="2">
        <f t="shared" ca="1" si="306"/>
        <v>38</v>
      </c>
      <c r="I1037" s="2">
        <f t="shared" ca="1" si="307"/>
        <v>0.18571428571428572</v>
      </c>
      <c r="J1037" t="s">
        <v>36</v>
      </c>
      <c r="K1037" t="s">
        <v>37</v>
      </c>
      <c r="L1037">
        <f t="shared" si="308"/>
        <v>1</v>
      </c>
      <c r="M1037">
        <f t="shared" si="309"/>
        <v>0</v>
      </c>
      <c r="N1037">
        <f t="shared" si="310"/>
        <v>0</v>
      </c>
      <c r="O1037" t="s">
        <v>76</v>
      </c>
      <c r="P1037">
        <f t="shared" si="311"/>
        <v>0</v>
      </c>
      <c r="Q1037">
        <f t="shared" si="312"/>
        <v>1</v>
      </c>
      <c r="R1037">
        <f t="shared" si="313"/>
        <v>0</v>
      </c>
      <c r="S1037">
        <f t="shared" si="314"/>
        <v>0</v>
      </c>
      <c r="T1037">
        <f t="shared" si="315"/>
        <v>0</v>
      </c>
      <c r="U1037">
        <f t="shared" si="316"/>
        <v>0</v>
      </c>
      <c r="V1037">
        <f t="shared" si="317"/>
        <v>0</v>
      </c>
      <c r="W1037" t="s">
        <v>39</v>
      </c>
      <c r="X1037">
        <f t="shared" si="318"/>
        <v>1</v>
      </c>
      <c r="Y1037">
        <f t="shared" si="319"/>
        <v>0</v>
      </c>
      <c r="Z1037">
        <v>2</v>
      </c>
      <c r="AA1037">
        <f t="shared" si="320"/>
        <v>0.25</v>
      </c>
      <c r="AB1037" t="s">
        <v>46</v>
      </c>
      <c r="AC1037">
        <f t="shared" si="321"/>
        <v>1</v>
      </c>
      <c r="AD1037">
        <f t="shared" si="322"/>
        <v>0</v>
      </c>
      <c r="AE1037" t="s">
        <v>50</v>
      </c>
      <c r="AF1037">
        <f>IF(AE1037="website",1,0)</f>
        <v>0</v>
      </c>
    </row>
    <row r="1038" spans="1:32">
      <c r="A1038" t="s">
        <v>1683</v>
      </c>
      <c r="B1038" t="s">
        <v>55</v>
      </c>
      <c r="C1038" s="3">
        <f t="shared" si="304"/>
        <v>1</v>
      </c>
      <c r="D1038">
        <f t="shared" si="305"/>
        <v>0</v>
      </c>
      <c r="E1038" t="s">
        <v>1175</v>
      </c>
      <c r="F1038" t="s">
        <v>57</v>
      </c>
      <c r="G1038" s="1">
        <v>25570</v>
      </c>
      <c r="H1038" s="2">
        <f t="shared" ca="1" si="306"/>
        <v>56</v>
      </c>
      <c r="I1038" s="2">
        <f t="shared" ca="1" si="307"/>
        <v>0.44285714285714284</v>
      </c>
      <c r="J1038" t="s">
        <v>45</v>
      </c>
      <c r="K1038" t="s">
        <v>158</v>
      </c>
      <c r="L1038">
        <f t="shared" si="308"/>
        <v>0</v>
      </c>
      <c r="M1038">
        <f t="shared" si="309"/>
        <v>0</v>
      </c>
      <c r="N1038">
        <f t="shared" si="310"/>
        <v>0</v>
      </c>
      <c r="O1038" t="s">
        <v>867</v>
      </c>
      <c r="P1038">
        <f t="shared" si="311"/>
        <v>0</v>
      </c>
      <c r="Q1038">
        <f t="shared" si="312"/>
        <v>0</v>
      </c>
      <c r="R1038">
        <f t="shared" si="313"/>
        <v>0</v>
      </c>
      <c r="S1038">
        <f t="shared" si="314"/>
        <v>0</v>
      </c>
      <c r="T1038">
        <f t="shared" si="315"/>
        <v>0</v>
      </c>
      <c r="U1038">
        <f t="shared" si="316"/>
        <v>0</v>
      </c>
      <c r="V1038">
        <f t="shared" si="317"/>
        <v>0</v>
      </c>
      <c r="W1038" t="s">
        <v>39</v>
      </c>
      <c r="X1038">
        <f t="shared" si="318"/>
        <v>1</v>
      </c>
      <c r="Y1038">
        <f t="shared" si="319"/>
        <v>0</v>
      </c>
      <c r="Z1038">
        <v>2</v>
      </c>
      <c r="AA1038">
        <f t="shared" si="320"/>
        <v>0.25</v>
      </c>
      <c r="AB1038" t="s">
        <v>40</v>
      </c>
      <c r="AC1038">
        <f t="shared" si="321"/>
        <v>0</v>
      </c>
      <c r="AD1038">
        <f t="shared" si="322"/>
        <v>0</v>
      </c>
      <c r="AE1038" t="s">
        <v>41</v>
      </c>
      <c r="AF1038">
        <f>IF(AE1038="website",1,0)</f>
        <v>1</v>
      </c>
    </row>
    <row r="1039" spans="1:32">
      <c r="A1039" t="s">
        <v>1684</v>
      </c>
      <c r="B1039" t="s">
        <v>33</v>
      </c>
      <c r="C1039" s="3">
        <f t="shared" si="304"/>
        <v>0</v>
      </c>
      <c r="D1039">
        <f t="shared" si="305"/>
        <v>1</v>
      </c>
      <c r="E1039" t="s">
        <v>722</v>
      </c>
      <c r="F1039" t="s">
        <v>656</v>
      </c>
      <c r="G1039" s="1">
        <v>21695</v>
      </c>
      <c r="H1039" s="2">
        <f t="shared" ca="1" si="306"/>
        <v>67</v>
      </c>
      <c r="I1039" s="2">
        <f t="shared" ca="1" si="307"/>
        <v>0.6</v>
      </c>
      <c r="J1039" t="s">
        <v>45</v>
      </c>
      <c r="K1039" t="s">
        <v>37</v>
      </c>
      <c r="L1039">
        <f t="shared" si="308"/>
        <v>1</v>
      </c>
      <c r="M1039">
        <f t="shared" si="309"/>
        <v>0</v>
      </c>
      <c r="N1039">
        <f t="shared" si="310"/>
        <v>0</v>
      </c>
      <c r="O1039" t="s">
        <v>38</v>
      </c>
      <c r="P1039">
        <f t="shared" si="311"/>
        <v>1</v>
      </c>
      <c r="Q1039">
        <f t="shared" si="312"/>
        <v>0</v>
      </c>
      <c r="R1039">
        <f t="shared" si="313"/>
        <v>0</v>
      </c>
      <c r="S1039">
        <f t="shared" si="314"/>
        <v>0</v>
      </c>
      <c r="T1039">
        <f t="shared" si="315"/>
        <v>0</v>
      </c>
      <c r="U1039">
        <f t="shared" si="316"/>
        <v>0</v>
      </c>
      <c r="V1039">
        <f t="shared" si="317"/>
        <v>0</v>
      </c>
      <c r="W1039" t="s">
        <v>58</v>
      </c>
      <c r="X1039">
        <f t="shared" si="318"/>
        <v>0</v>
      </c>
      <c r="Y1039">
        <f t="shared" si="319"/>
        <v>1</v>
      </c>
      <c r="Z1039">
        <v>3</v>
      </c>
      <c r="AA1039">
        <f t="shared" si="320"/>
        <v>0.5</v>
      </c>
      <c r="AB1039" t="s">
        <v>46</v>
      </c>
      <c r="AC1039">
        <f t="shared" si="321"/>
        <v>0</v>
      </c>
      <c r="AD1039">
        <f t="shared" si="322"/>
        <v>0</v>
      </c>
      <c r="AE1039" t="s">
        <v>41</v>
      </c>
      <c r="AF1039">
        <f>IF(AE1039="website",1,0)</f>
        <v>1</v>
      </c>
    </row>
    <row r="1040" spans="1:32">
      <c r="A1040" t="s">
        <v>1685</v>
      </c>
      <c r="B1040" t="s">
        <v>33</v>
      </c>
      <c r="C1040" s="3">
        <f t="shared" si="304"/>
        <v>0</v>
      </c>
      <c r="D1040">
        <f t="shared" si="305"/>
        <v>1</v>
      </c>
      <c r="E1040" t="s">
        <v>596</v>
      </c>
      <c r="F1040" t="s">
        <v>568</v>
      </c>
      <c r="G1040" s="1">
        <v>22844</v>
      </c>
      <c r="H1040" s="2">
        <f t="shared" ca="1" si="306"/>
        <v>64</v>
      </c>
      <c r="I1040" s="2">
        <f t="shared" ca="1" si="307"/>
        <v>0.55714285714285716</v>
      </c>
      <c r="J1040" t="s">
        <v>45</v>
      </c>
      <c r="K1040" t="s">
        <v>37</v>
      </c>
      <c r="L1040">
        <f t="shared" si="308"/>
        <v>1</v>
      </c>
      <c r="M1040">
        <f t="shared" si="309"/>
        <v>0</v>
      </c>
      <c r="N1040">
        <f t="shared" si="310"/>
        <v>0</v>
      </c>
      <c r="O1040" t="s">
        <v>38</v>
      </c>
      <c r="P1040">
        <f t="shared" si="311"/>
        <v>1</v>
      </c>
      <c r="Q1040">
        <f t="shared" si="312"/>
        <v>0</v>
      </c>
      <c r="R1040">
        <f t="shared" si="313"/>
        <v>0</v>
      </c>
      <c r="S1040">
        <f t="shared" si="314"/>
        <v>0</v>
      </c>
      <c r="T1040">
        <f t="shared" si="315"/>
        <v>0</v>
      </c>
      <c r="U1040">
        <f t="shared" si="316"/>
        <v>0</v>
      </c>
      <c r="V1040">
        <f t="shared" si="317"/>
        <v>0</v>
      </c>
      <c r="W1040" t="s">
        <v>39</v>
      </c>
      <c r="X1040">
        <f t="shared" si="318"/>
        <v>1</v>
      </c>
      <c r="Y1040">
        <f t="shared" si="319"/>
        <v>0</v>
      </c>
      <c r="Z1040">
        <v>1</v>
      </c>
      <c r="AA1040">
        <f t="shared" si="320"/>
        <v>0</v>
      </c>
      <c r="AB1040" t="s">
        <v>40</v>
      </c>
      <c r="AC1040">
        <f t="shared" si="321"/>
        <v>1</v>
      </c>
      <c r="AD1040">
        <f t="shared" si="322"/>
        <v>0</v>
      </c>
      <c r="AE1040" t="s">
        <v>50</v>
      </c>
      <c r="AF1040">
        <f>IF(AE1040="website",1,0)</f>
        <v>0</v>
      </c>
    </row>
    <row r="1041" spans="1:32">
      <c r="A1041" t="s">
        <v>1686</v>
      </c>
      <c r="B1041" t="s">
        <v>33</v>
      </c>
      <c r="C1041" s="3">
        <f t="shared" si="304"/>
        <v>0</v>
      </c>
      <c r="D1041">
        <f t="shared" si="305"/>
        <v>1</v>
      </c>
      <c r="E1041" t="s">
        <v>126</v>
      </c>
      <c r="F1041" t="s">
        <v>796</v>
      </c>
      <c r="G1041" s="1">
        <v>14706</v>
      </c>
      <c r="H1041" s="2">
        <f t="shared" ca="1" si="306"/>
        <v>86</v>
      </c>
      <c r="I1041" s="2">
        <f t="shared" ca="1" si="307"/>
        <v>0.87142857142857144</v>
      </c>
      <c r="J1041" t="s">
        <v>45</v>
      </c>
      <c r="K1041" t="s">
        <v>37</v>
      </c>
      <c r="L1041">
        <f t="shared" si="308"/>
        <v>1</v>
      </c>
      <c r="M1041">
        <f t="shared" si="309"/>
        <v>0</v>
      </c>
      <c r="N1041">
        <f t="shared" si="310"/>
        <v>0</v>
      </c>
      <c r="O1041" t="s">
        <v>38</v>
      </c>
      <c r="P1041">
        <f t="shared" si="311"/>
        <v>1</v>
      </c>
      <c r="Q1041">
        <f t="shared" si="312"/>
        <v>0</v>
      </c>
      <c r="R1041">
        <f t="shared" si="313"/>
        <v>0</v>
      </c>
      <c r="S1041">
        <f t="shared" si="314"/>
        <v>0</v>
      </c>
      <c r="T1041">
        <f t="shared" si="315"/>
        <v>0</v>
      </c>
      <c r="U1041">
        <f t="shared" si="316"/>
        <v>0</v>
      </c>
      <c r="V1041">
        <f t="shared" si="317"/>
        <v>0</v>
      </c>
      <c r="W1041" t="s">
        <v>58</v>
      </c>
      <c r="X1041">
        <f t="shared" si="318"/>
        <v>0</v>
      </c>
      <c r="Y1041">
        <f t="shared" si="319"/>
        <v>1</v>
      </c>
      <c r="Z1041">
        <v>5</v>
      </c>
      <c r="AA1041">
        <f t="shared" si="320"/>
        <v>1</v>
      </c>
      <c r="AB1041" t="s">
        <v>40</v>
      </c>
      <c r="AC1041">
        <f t="shared" si="321"/>
        <v>0</v>
      </c>
      <c r="AD1041">
        <f t="shared" si="322"/>
        <v>0</v>
      </c>
      <c r="AE1041" t="s">
        <v>41</v>
      </c>
      <c r="AF1041">
        <f>IF(AE1041="website",1,0)</f>
        <v>1</v>
      </c>
    </row>
    <row r="1042" spans="1:32">
      <c r="A1042" t="s">
        <v>1687</v>
      </c>
      <c r="B1042" t="s">
        <v>33</v>
      </c>
      <c r="C1042" s="3">
        <f t="shared" si="304"/>
        <v>0</v>
      </c>
      <c r="D1042">
        <f t="shared" si="305"/>
        <v>1</v>
      </c>
      <c r="E1042" t="s">
        <v>697</v>
      </c>
      <c r="F1042" t="s">
        <v>742</v>
      </c>
      <c r="G1042" s="1">
        <v>33214</v>
      </c>
      <c r="H1042" s="2">
        <f t="shared" ca="1" si="306"/>
        <v>35</v>
      </c>
      <c r="I1042" s="2">
        <f t="shared" ca="1" si="307"/>
        <v>0.14285714285714285</v>
      </c>
      <c r="J1042" t="s">
        <v>36</v>
      </c>
      <c r="K1042" t="s">
        <v>37</v>
      </c>
      <c r="L1042">
        <f t="shared" si="308"/>
        <v>1</v>
      </c>
      <c r="M1042">
        <f t="shared" si="309"/>
        <v>0</v>
      </c>
      <c r="N1042">
        <f t="shared" si="310"/>
        <v>0</v>
      </c>
      <c r="O1042" t="s">
        <v>124</v>
      </c>
      <c r="P1042">
        <f t="shared" si="311"/>
        <v>0</v>
      </c>
      <c r="Q1042">
        <f t="shared" si="312"/>
        <v>0</v>
      </c>
      <c r="R1042">
        <f t="shared" si="313"/>
        <v>0</v>
      </c>
      <c r="S1042">
        <f t="shared" si="314"/>
        <v>0</v>
      </c>
      <c r="T1042">
        <f t="shared" si="315"/>
        <v>0</v>
      </c>
      <c r="U1042">
        <f t="shared" si="316"/>
        <v>1</v>
      </c>
      <c r="V1042">
        <f t="shared" si="317"/>
        <v>0</v>
      </c>
      <c r="W1042" t="s">
        <v>39</v>
      </c>
      <c r="X1042">
        <f t="shared" si="318"/>
        <v>1</v>
      </c>
      <c r="Y1042">
        <f t="shared" si="319"/>
        <v>0</v>
      </c>
      <c r="Z1042">
        <v>5</v>
      </c>
      <c r="AA1042">
        <f t="shared" si="320"/>
        <v>1</v>
      </c>
      <c r="AB1042" t="s">
        <v>40</v>
      </c>
      <c r="AC1042">
        <f t="shared" si="321"/>
        <v>0</v>
      </c>
      <c r="AD1042">
        <f t="shared" si="322"/>
        <v>0</v>
      </c>
      <c r="AE1042" t="s">
        <v>41</v>
      </c>
      <c r="AF1042">
        <f>IF(AE1042="website",1,0)</f>
        <v>1</v>
      </c>
    </row>
    <row r="1043" spans="1:32">
      <c r="A1043" t="s">
        <v>1688</v>
      </c>
      <c r="B1043" t="s">
        <v>33</v>
      </c>
      <c r="C1043" s="3">
        <f t="shared" si="304"/>
        <v>0</v>
      </c>
      <c r="D1043">
        <f t="shared" si="305"/>
        <v>1</v>
      </c>
      <c r="E1043" t="s">
        <v>768</v>
      </c>
      <c r="F1043" t="s">
        <v>538</v>
      </c>
      <c r="G1043" s="1">
        <v>16652</v>
      </c>
      <c r="H1043" s="2">
        <f t="shared" ca="1" si="306"/>
        <v>81</v>
      </c>
      <c r="I1043" s="2">
        <f t="shared" ca="1" si="307"/>
        <v>0.8</v>
      </c>
      <c r="J1043" t="s">
        <v>36</v>
      </c>
      <c r="K1043" t="s">
        <v>37</v>
      </c>
      <c r="L1043">
        <f t="shared" si="308"/>
        <v>1</v>
      </c>
      <c r="M1043">
        <f t="shared" si="309"/>
        <v>0</v>
      </c>
      <c r="N1043">
        <f t="shared" si="310"/>
        <v>0</v>
      </c>
      <c r="O1043" t="s">
        <v>124</v>
      </c>
      <c r="P1043">
        <f t="shared" si="311"/>
        <v>0</v>
      </c>
      <c r="Q1043">
        <f t="shared" si="312"/>
        <v>0</v>
      </c>
      <c r="R1043">
        <f t="shared" si="313"/>
        <v>0</v>
      </c>
      <c r="S1043">
        <f t="shared" si="314"/>
        <v>0</v>
      </c>
      <c r="T1043">
        <f t="shared" si="315"/>
        <v>0</v>
      </c>
      <c r="U1043">
        <f t="shared" si="316"/>
        <v>1</v>
      </c>
      <c r="V1043">
        <f t="shared" si="317"/>
        <v>0</v>
      </c>
      <c r="W1043" t="s">
        <v>39</v>
      </c>
      <c r="X1043">
        <f t="shared" si="318"/>
        <v>1</v>
      </c>
      <c r="Y1043">
        <f t="shared" si="319"/>
        <v>0</v>
      </c>
      <c r="Z1043">
        <v>2</v>
      </c>
      <c r="AA1043">
        <f t="shared" si="320"/>
        <v>0.25</v>
      </c>
      <c r="AB1043" t="s">
        <v>46</v>
      </c>
      <c r="AC1043">
        <f t="shared" si="321"/>
        <v>1</v>
      </c>
      <c r="AD1043">
        <f t="shared" si="322"/>
        <v>0</v>
      </c>
      <c r="AE1043" t="s">
        <v>50</v>
      </c>
      <c r="AF1043">
        <f>IF(AE1043="website",1,0)</f>
        <v>0</v>
      </c>
    </row>
    <row r="1044" spans="1:32">
      <c r="A1044" t="s">
        <v>1689</v>
      </c>
      <c r="B1044" t="s">
        <v>33</v>
      </c>
      <c r="C1044" s="3">
        <f t="shared" si="304"/>
        <v>0</v>
      </c>
      <c r="D1044">
        <f t="shared" si="305"/>
        <v>1</v>
      </c>
      <c r="E1044" t="s">
        <v>604</v>
      </c>
      <c r="F1044" t="s">
        <v>928</v>
      </c>
      <c r="G1044" s="1">
        <v>36355</v>
      </c>
      <c r="H1044" s="2">
        <f t="shared" ca="1" si="306"/>
        <v>27</v>
      </c>
      <c r="I1044" s="2">
        <f t="shared" ca="1" si="307"/>
        <v>2.8571428571428571E-2</v>
      </c>
      <c r="J1044" t="s">
        <v>36</v>
      </c>
      <c r="K1044" t="s">
        <v>37</v>
      </c>
      <c r="L1044">
        <f t="shared" si="308"/>
        <v>1</v>
      </c>
      <c r="M1044">
        <f t="shared" si="309"/>
        <v>0</v>
      </c>
      <c r="N1044">
        <f t="shared" si="310"/>
        <v>0</v>
      </c>
      <c r="O1044" t="s">
        <v>565</v>
      </c>
      <c r="P1044">
        <f t="shared" si="311"/>
        <v>0</v>
      </c>
      <c r="Q1044">
        <f t="shared" si="312"/>
        <v>0</v>
      </c>
      <c r="R1044">
        <f t="shared" si="313"/>
        <v>0</v>
      </c>
      <c r="S1044">
        <f t="shared" si="314"/>
        <v>0</v>
      </c>
      <c r="T1044">
        <f t="shared" si="315"/>
        <v>0</v>
      </c>
      <c r="U1044">
        <f t="shared" si="316"/>
        <v>0</v>
      </c>
      <c r="V1044">
        <f t="shared" si="317"/>
        <v>0</v>
      </c>
      <c r="W1044" t="s">
        <v>39</v>
      </c>
      <c r="X1044">
        <f t="shared" si="318"/>
        <v>1</v>
      </c>
      <c r="Y1044">
        <f t="shared" si="319"/>
        <v>0</v>
      </c>
      <c r="Z1044">
        <v>5</v>
      </c>
      <c r="AA1044">
        <f t="shared" si="320"/>
        <v>1</v>
      </c>
      <c r="AB1044" t="s">
        <v>46</v>
      </c>
      <c r="AC1044">
        <f t="shared" si="321"/>
        <v>0</v>
      </c>
      <c r="AD1044">
        <f t="shared" si="322"/>
        <v>0</v>
      </c>
      <c r="AE1044" t="s">
        <v>41</v>
      </c>
      <c r="AF1044">
        <f>IF(AE1044="website",1,0)</f>
        <v>1</v>
      </c>
    </row>
    <row r="1045" spans="1:32">
      <c r="A1045" t="s">
        <v>1690</v>
      </c>
      <c r="B1045" t="s">
        <v>33</v>
      </c>
      <c r="C1045" s="3">
        <f t="shared" si="304"/>
        <v>0</v>
      </c>
      <c r="D1045">
        <f t="shared" si="305"/>
        <v>1</v>
      </c>
      <c r="E1045" t="s">
        <v>1060</v>
      </c>
      <c r="F1045" t="s">
        <v>339</v>
      </c>
      <c r="G1045" s="1">
        <v>26068</v>
      </c>
      <c r="H1045" s="2">
        <f t="shared" ca="1" si="306"/>
        <v>55</v>
      </c>
      <c r="I1045" s="2">
        <f t="shared" ca="1" si="307"/>
        <v>0.42857142857142855</v>
      </c>
      <c r="J1045" t="s">
        <v>45</v>
      </c>
      <c r="K1045" t="s">
        <v>37</v>
      </c>
      <c r="L1045">
        <f t="shared" si="308"/>
        <v>1</v>
      </c>
      <c r="M1045">
        <f t="shared" si="309"/>
        <v>0</v>
      </c>
      <c r="N1045">
        <f t="shared" si="310"/>
        <v>0</v>
      </c>
      <c r="O1045" t="s">
        <v>124</v>
      </c>
      <c r="P1045">
        <f t="shared" si="311"/>
        <v>0</v>
      </c>
      <c r="Q1045">
        <f t="shared" si="312"/>
        <v>0</v>
      </c>
      <c r="R1045">
        <f t="shared" si="313"/>
        <v>0</v>
      </c>
      <c r="S1045">
        <f t="shared" si="314"/>
        <v>0</v>
      </c>
      <c r="T1045">
        <f t="shared" si="315"/>
        <v>0</v>
      </c>
      <c r="U1045">
        <f t="shared" si="316"/>
        <v>1</v>
      </c>
      <c r="V1045">
        <f t="shared" si="317"/>
        <v>0</v>
      </c>
      <c r="W1045" t="s">
        <v>58</v>
      </c>
      <c r="X1045">
        <f t="shared" si="318"/>
        <v>0</v>
      </c>
      <c r="Y1045">
        <f t="shared" si="319"/>
        <v>1</v>
      </c>
      <c r="Z1045">
        <v>5</v>
      </c>
      <c r="AA1045">
        <f t="shared" si="320"/>
        <v>1</v>
      </c>
      <c r="AB1045" t="s">
        <v>46</v>
      </c>
      <c r="AC1045">
        <f t="shared" si="321"/>
        <v>0</v>
      </c>
      <c r="AD1045">
        <f t="shared" si="322"/>
        <v>0</v>
      </c>
      <c r="AE1045" t="s">
        <v>41</v>
      </c>
      <c r="AF1045">
        <f>IF(AE1045="website",1,0)</f>
        <v>1</v>
      </c>
    </row>
    <row r="1046" spans="1:32">
      <c r="A1046" t="s">
        <v>1691</v>
      </c>
      <c r="B1046" t="s">
        <v>33</v>
      </c>
      <c r="C1046" s="3">
        <f t="shared" si="304"/>
        <v>0</v>
      </c>
      <c r="D1046">
        <f t="shared" si="305"/>
        <v>1</v>
      </c>
      <c r="E1046" t="s">
        <v>768</v>
      </c>
      <c r="F1046" t="s">
        <v>720</v>
      </c>
      <c r="G1046" s="1">
        <v>15432</v>
      </c>
      <c r="H1046" s="2">
        <f t="shared" ca="1" si="306"/>
        <v>84</v>
      </c>
      <c r="I1046" s="2">
        <f t="shared" ca="1" si="307"/>
        <v>0.84285714285714286</v>
      </c>
      <c r="J1046" t="s">
        <v>36</v>
      </c>
      <c r="K1046" t="s">
        <v>37</v>
      </c>
      <c r="L1046">
        <f t="shared" si="308"/>
        <v>1</v>
      </c>
      <c r="M1046">
        <f t="shared" si="309"/>
        <v>0</v>
      </c>
      <c r="N1046">
        <f t="shared" si="310"/>
        <v>0</v>
      </c>
      <c r="O1046" t="s">
        <v>717</v>
      </c>
      <c r="P1046">
        <f t="shared" si="311"/>
        <v>0</v>
      </c>
      <c r="Q1046">
        <f t="shared" si="312"/>
        <v>0</v>
      </c>
      <c r="R1046">
        <f t="shared" si="313"/>
        <v>0</v>
      </c>
      <c r="S1046">
        <f t="shared" si="314"/>
        <v>0</v>
      </c>
      <c r="T1046">
        <f t="shared" si="315"/>
        <v>0</v>
      </c>
      <c r="U1046">
        <f t="shared" si="316"/>
        <v>0</v>
      </c>
      <c r="V1046">
        <f t="shared" si="317"/>
        <v>0</v>
      </c>
      <c r="W1046" t="s">
        <v>39</v>
      </c>
      <c r="X1046">
        <f t="shared" si="318"/>
        <v>1</v>
      </c>
      <c r="Y1046">
        <f t="shared" si="319"/>
        <v>0</v>
      </c>
      <c r="Z1046">
        <v>3</v>
      </c>
      <c r="AA1046">
        <f t="shared" si="320"/>
        <v>0.5</v>
      </c>
      <c r="AB1046" t="s">
        <v>46</v>
      </c>
      <c r="AC1046">
        <f t="shared" si="321"/>
        <v>0</v>
      </c>
      <c r="AD1046">
        <f t="shared" si="322"/>
        <v>0</v>
      </c>
      <c r="AE1046" t="s">
        <v>41</v>
      </c>
      <c r="AF1046">
        <f>IF(AE1046="website",1,0)</f>
        <v>1</v>
      </c>
    </row>
    <row r="1047" spans="1:32">
      <c r="A1047" t="s">
        <v>1692</v>
      </c>
      <c r="B1047" t="s">
        <v>33</v>
      </c>
      <c r="C1047" s="3">
        <f t="shared" si="304"/>
        <v>0</v>
      </c>
      <c r="D1047">
        <f t="shared" si="305"/>
        <v>1</v>
      </c>
      <c r="E1047" t="s">
        <v>847</v>
      </c>
      <c r="F1047" t="s">
        <v>669</v>
      </c>
      <c r="G1047" s="1">
        <v>25344</v>
      </c>
      <c r="H1047" s="2">
        <f t="shared" ca="1" si="306"/>
        <v>57</v>
      </c>
      <c r="I1047" s="2">
        <f t="shared" ca="1" si="307"/>
        <v>0.45714285714285713</v>
      </c>
      <c r="J1047" t="s">
        <v>36</v>
      </c>
      <c r="K1047" t="s">
        <v>65</v>
      </c>
      <c r="L1047">
        <f t="shared" si="308"/>
        <v>0</v>
      </c>
      <c r="M1047">
        <f t="shared" si="309"/>
        <v>1</v>
      </c>
      <c r="N1047">
        <f t="shared" si="310"/>
        <v>0</v>
      </c>
      <c r="O1047" t="s">
        <v>66</v>
      </c>
      <c r="P1047">
        <f t="shared" si="311"/>
        <v>0</v>
      </c>
      <c r="Q1047">
        <f t="shared" si="312"/>
        <v>0</v>
      </c>
      <c r="R1047">
        <f t="shared" si="313"/>
        <v>1</v>
      </c>
      <c r="S1047">
        <f t="shared" si="314"/>
        <v>0</v>
      </c>
      <c r="T1047">
        <f t="shared" si="315"/>
        <v>0</v>
      </c>
      <c r="U1047">
        <f t="shared" si="316"/>
        <v>0</v>
      </c>
      <c r="V1047">
        <f t="shared" si="317"/>
        <v>0</v>
      </c>
      <c r="W1047" t="s">
        <v>39</v>
      </c>
      <c r="X1047">
        <f t="shared" si="318"/>
        <v>1</v>
      </c>
      <c r="Y1047">
        <f t="shared" si="319"/>
        <v>0</v>
      </c>
      <c r="Z1047">
        <v>4</v>
      </c>
      <c r="AA1047">
        <f t="shared" si="320"/>
        <v>0.75</v>
      </c>
      <c r="AB1047" t="s">
        <v>40</v>
      </c>
      <c r="AC1047">
        <f t="shared" si="321"/>
        <v>0</v>
      </c>
      <c r="AD1047">
        <f t="shared" si="322"/>
        <v>0</v>
      </c>
      <c r="AE1047" t="s">
        <v>41</v>
      </c>
      <c r="AF1047">
        <f>IF(AE1047="website",1,0)</f>
        <v>1</v>
      </c>
    </row>
    <row r="1048" spans="1:32">
      <c r="A1048" t="s">
        <v>1693</v>
      </c>
      <c r="B1048" t="s">
        <v>33</v>
      </c>
      <c r="C1048" s="3">
        <f t="shared" si="304"/>
        <v>0</v>
      </c>
      <c r="D1048">
        <f t="shared" si="305"/>
        <v>1</v>
      </c>
      <c r="E1048" t="s">
        <v>708</v>
      </c>
      <c r="F1048" t="s">
        <v>641</v>
      </c>
      <c r="G1048" s="1">
        <v>31028</v>
      </c>
      <c r="H1048" s="2">
        <f t="shared" ca="1" si="306"/>
        <v>41</v>
      </c>
      <c r="I1048" s="2">
        <f t="shared" ca="1" si="307"/>
        <v>0.22857142857142856</v>
      </c>
      <c r="J1048" t="s">
        <v>45</v>
      </c>
      <c r="K1048" t="s">
        <v>37</v>
      </c>
      <c r="L1048">
        <f t="shared" si="308"/>
        <v>1</v>
      </c>
      <c r="M1048">
        <f t="shared" si="309"/>
        <v>0</v>
      </c>
      <c r="N1048">
        <f t="shared" si="310"/>
        <v>0</v>
      </c>
      <c r="O1048" t="s">
        <v>305</v>
      </c>
      <c r="P1048">
        <f t="shared" si="311"/>
        <v>0</v>
      </c>
      <c r="Q1048">
        <f t="shared" si="312"/>
        <v>0</v>
      </c>
      <c r="R1048">
        <f t="shared" si="313"/>
        <v>0</v>
      </c>
      <c r="S1048">
        <f t="shared" si="314"/>
        <v>0</v>
      </c>
      <c r="T1048">
        <f t="shared" si="315"/>
        <v>0</v>
      </c>
      <c r="U1048">
        <f t="shared" si="316"/>
        <v>0</v>
      </c>
      <c r="V1048">
        <f t="shared" si="317"/>
        <v>0</v>
      </c>
      <c r="W1048" t="s">
        <v>39</v>
      </c>
      <c r="X1048">
        <f t="shared" si="318"/>
        <v>1</v>
      </c>
      <c r="Y1048">
        <f t="shared" si="319"/>
        <v>0</v>
      </c>
      <c r="Z1048">
        <v>3</v>
      </c>
      <c r="AA1048">
        <f t="shared" si="320"/>
        <v>0.5</v>
      </c>
      <c r="AB1048" t="s">
        <v>46</v>
      </c>
      <c r="AC1048">
        <f t="shared" si="321"/>
        <v>0</v>
      </c>
      <c r="AD1048">
        <f t="shared" si="322"/>
        <v>0</v>
      </c>
      <c r="AE1048" t="s">
        <v>41</v>
      </c>
      <c r="AF1048">
        <f>IF(AE1048="website",1,0)</f>
        <v>1</v>
      </c>
    </row>
    <row r="1049" spans="1:32">
      <c r="A1049" t="s">
        <v>1694</v>
      </c>
      <c r="B1049" t="s">
        <v>33</v>
      </c>
      <c r="C1049" s="3">
        <f t="shared" si="304"/>
        <v>0</v>
      </c>
      <c r="D1049">
        <f t="shared" si="305"/>
        <v>1</v>
      </c>
      <c r="E1049" t="s">
        <v>1695</v>
      </c>
      <c r="F1049" t="s">
        <v>430</v>
      </c>
      <c r="G1049" s="1">
        <v>25595</v>
      </c>
      <c r="H1049" s="2">
        <f t="shared" ca="1" si="306"/>
        <v>56</v>
      </c>
      <c r="I1049" s="2">
        <f t="shared" ca="1" si="307"/>
        <v>0.44285714285714284</v>
      </c>
      <c r="J1049" t="s">
        <v>36</v>
      </c>
      <c r="K1049" t="s">
        <v>37</v>
      </c>
      <c r="L1049">
        <f t="shared" si="308"/>
        <v>1</v>
      </c>
      <c r="M1049">
        <f t="shared" si="309"/>
        <v>0</v>
      </c>
      <c r="N1049">
        <f t="shared" si="310"/>
        <v>0</v>
      </c>
      <c r="O1049" t="s">
        <v>76</v>
      </c>
      <c r="P1049">
        <f t="shared" si="311"/>
        <v>0</v>
      </c>
      <c r="Q1049">
        <f t="shared" si="312"/>
        <v>1</v>
      </c>
      <c r="R1049">
        <f t="shared" si="313"/>
        <v>0</v>
      </c>
      <c r="S1049">
        <f t="shared" si="314"/>
        <v>0</v>
      </c>
      <c r="T1049">
        <f t="shared" si="315"/>
        <v>0</v>
      </c>
      <c r="U1049">
        <f t="shared" si="316"/>
        <v>0</v>
      </c>
      <c r="V1049">
        <f t="shared" si="317"/>
        <v>0</v>
      </c>
      <c r="W1049" t="s">
        <v>58</v>
      </c>
      <c r="X1049">
        <f t="shared" si="318"/>
        <v>0</v>
      </c>
      <c r="Y1049">
        <f t="shared" si="319"/>
        <v>1</v>
      </c>
      <c r="Z1049">
        <v>1</v>
      </c>
      <c r="AA1049">
        <f t="shared" si="320"/>
        <v>0</v>
      </c>
      <c r="AB1049" t="s">
        <v>46</v>
      </c>
      <c r="AC1049">
        <f t="shared" si="321"/>
        <v>1</v>
      </c>
      <c r="AD1049">
        <f t="shared" si="322"/>
        <v>0</v>
      </c>
      <c r="AE1049" t="s">
        <v>50</v>
      </c>
      <c r="AF1049">
        <f>IF(AE1049="website",1,0)</f>
        <v>0</v>
      </c>
    </row>
    <row r="1050" spans="1:32">
      <c r="A1050" t="s">
        <v>1696</v>
      </c>
      <c r="B1050" t="s">
        <v>33</v>
      </c>
      <c r="C1050" s="3">
        <f t="shared" si="304"/>
        <v>0</v>
      </c>
      <c r="D1050">
        <f t="shared" si="305"/>
        <v>1</v>
      </c>
      <c r="E1050" t="s">
        <v>1664</v>
      </c>
      <c r="F1050" t="s">
        <v>557</v>
      </c>
      <c r="G1050" s="1">
        <v>14920</v>
      </c>
      <c r="H1050" s="2">
        <f t="shared" ca="1" si="306"/>
        <v>85</v>
      </c>
      <c r="I1050" s="2">
        <f t="shared" ca="1" si="307"/>
        <v>0.8571428571428571</v>
      </c>
      <c r="J1050" t="s">
        <v>36</v>
      </c>
      <c r="K1050" t="s">
        <v>37</v>
      </c>
      <c r="L1050">
        <f t="shared" si="308"/>
        <v>1</v>
      </c>
      <c r="M1050">
        <f t="shared" si="309"/>
        <v>0</v>
      </c>
      <c r="N1050">
        <f t="shared" si="310"/>
        <v>0</v>
      </c>
      <c r="O1050" t="s">
        <v>38</v>
      </c>
      <c r="P1050">
        <f t="shared" si="311"/>
        <v>1</v>
      </c>
      <c r="Q1050">
        <f t="shared" si="312"/>
        <v>0</v>
      </c>
      <c r="R1050">
        <f t="shared" si="313"/>
        <v>0</v>
      </c>
      <c r="S1050">
        <f t="shared" si="314"/>
        <v>0</v>
      </c>
      <c r="T1050">
        <f t="shared" si="315"/>
        <v>0</v>
      </c>
      <c r="U1050">
        <f t="shared" si="316"/>
        <v>0</v>
      </c>
      <c r="V1050">
        <f t="shared" si="317"/>
        <v>0</v>
      </c>
      <c r="W1050" t="s">
        <v>58</v>
      </c>
      <c r="X1050">
        <f t="shared" si="318"/>
        <v>0</v>
      </c>
      <c r="Y1050">
        <f t="shared" si="319"/>
        <v>1</v>
      </c>
      <c r="Z1050">
        <v>5</v>
      </c>
      <c r="AA1050">
        <f t="shared" si="320"/>
        <v>1</v>
      </c>
      <c r="AB1050" t="s">
        <v>46</v>
      </c>
      <c r="AC1050">
        <f t="shared" si="321"/>
        <v>0</v>
      </c>
      <c r="AD1050">
        <f t="shared" si="322"/>
        <v>0</v>
      </c>
      <c r="AE1050" t="s">
        <v>41</v>
      </c>
      <c r="AF1050">
        <f>IF(AE1050="website",1,0)</f>
        <v>1</v>
      </c>
    </row>
    <row r="1051" spans="1:32">
      <c r="A1051" t="s">
        <v>1697</v>
      </c>
      <c r="B1051" t="s">
        <v>33</v>
      </c>
      <c r="C1051" s="3">
        <f t="shared" si="304"/>
        <v>0</v>
      </c>
      <c r="D1051">
        <f t="shared" si="305"/>
        <v>1</v>
      </c>
      <c r="E1051" t="s">
        <v>240</v>
      </c>
      <c r="F1051" t="s">
        <v>825</v>
      </c>
      <c r="G1051" s="1">
        <v>20365</v>
      </c>
      <c r="H1051" s="2">
        <f t="shared" ca="1" si="306"/>
        <v>71</v>
      </c>
      <c r="I1051" s="2">
        <f t="shared" ca="1" si="307"/>
        <v>0.65714285714285714</v>
      </c>
      <c r="J1051" t="s">
        <v>45</v>
      </c>
      <c r="K1051" t="s">
        <v>37</v>
      </c>
      <c r="L1051">
        <f t="shared" si="308"/>
        <v>1</v>
      </c>
      <c r="M1051">
        <f t="shared" si="309"/>
        <v>0</v>
      </c>
      <c r="N1051">
        <f t="shared" si="310"/>
        <v>0</v>
      </c>
      <c r="O1051" t="s">
        <v>785</v>
      </c>
      <c r="P1051">
        <f t="shared" si="311"/>
        <v>0</v>
      </c>
      <c r="Q1051">
        <f t="shared" si="312"/>
        <v>0</v>
      </c>
      <c r="R1051">
        <f t="shared" si="313"/>
        <v>0</v>
      </c>
      <c r="S1051">
        <f t="shared" si="314"/>
        <v>0</v>
      </c>
      <c r="T1051">
        <f t="shared" si="315"/>
        <v>0</v>
      </c>
      <c r="U1051">
        <f t="shared" si="316"/>
        <v>0</v>
      </c>
      <c r="V1051">
        <f t="shared" si="317"/>
        <v>0</v>
      </c>
      <c r="W1051" t="s">
        <v>39</v>
      </c>
      <c r="X1051">
        <f t="shared" si="318"/>
        <v>1</v>
      </c>
      <c r="Y1051">
        <f t="shared" si="319"/>
        <v>0</v>
      </c>
      <c r="Z1051">
        <v>4</v>
      </c>
      <c r="AA1051">
        <f t="shared" si="320"/>
        <v>0.75</v>
      </c>
      <c r="AB1051" t="s">
        <v>40</v>
      </c>
      <c r="AC1051">
        <f t="shared" si="321"/>
        <v>0</v>
      </c>
      <c r="AD1051">
        <f t="shared" si="322"/>
        <v>0</v>
      </c>
      <c r="AE1051" t="s">
        <v>41</v>
      </c>
      <c r="AF1051">
        <f>IF(AE1051="website",1,0)</f>
        <v>1</v>
      </c>
    </row>
    <row r="1052" spans="1:32">
      <c r="A1052" t="s">
        <v>1698</v>
      </c>
      <c r="B1052" t="s">
        <v>33</v>
      </c>
      <c r="C1052" s="3">
        <f t="shared" si="304"/>
        <v>0</v>
      </c>
      <c r="D1052">
        <f t="shared" si="305"/>
        <v>1</v>
      </c>
      <c r="E1052" t="s">
        <v>606</v>
      </c>
      <c r="F1052" t="s">
        <v>513</v>
      </c>
      <c r="G1052" s="1">
        <v>21385</v>
      </c>
      <c r="H1052" s="2">
        <f t="shared" ca="1" si="306"/>
        <v>68</v>
      </c>
      <c r="I1052" s="2">
        <f t="shared" ca="1" si="307"/>
        <v>0.61428571428571432</v>
      </c>
      <c r="J1052" t="s">
        <v>36</v>
      </c>
      <c r="K1052" t="s">
        <v>37</v>
      </c>
      <c r="L1052">
        <f t="shared" si="308"/>
        <v>1</v>
      </c>
      <c r="M1052">
        <f t="shared" si="309"/>
        <v>0</v>
      </c>
      <c r="N1052">
        <f t="shared" si="310"/>
        <v>0</v>
      </c>
      <c r="O1052" t="s">
        <v>305</v>
      </c>
      <c r="P1052">
        <f t="shared" si="311"/>
        <v>0</v>
      </c>
      <c r="Q1052">
        <f t="shared" si="312"/>
        <v>0</v>
      </c>
      <c r="R1052">
        <f t="shared" si="313"/>
        <v>0</v>
      </c>
      <c r="S1052">
        <f t="shared" si="314"/>
        <v>0</v>
      </c>
      <c r="T1052">
        <f t="shared" si="315"/>
        <v>0</v>
      </c>
      <c r="U1052">
        <f t="shared" si="316"/>
        <v>0</v>
      </c>
      <c r="V1052">
        <f t="shared" si="317"/>
        <v>0</v>
      </c>
      <c r="W1052" t="s">
        <v>39</v>
      </c>
      <c r="X1052">
        <f t="shared" si="318"/>
        <v>1</v>
      </c>
      <c r="Y1052">
        <f t="shared" si="319"/>
        <v>0</v>
      </c>
      <c r="Z1052">
        <v>1</v>
      </c>
      <c r="AA1052">
        <f t="shared" si="320"/>
        <v>0</v>
      </c>
      <c r="AB1052" t="s">
        <v>40</v>
      </c>
      <c r="AC1052">
        <f t="shared" si="321"/>
        <v>1</v>
      </c>
      <c r="AD1052">
        <f t="shared" si="322"/>
        <v>0</v>
      </c>
      <c r="AE1052" t="s">
        <v>50</v>
      </c>
      <c r="AF1052">
        <f>IF(AE1052="website",1,0)</f>
        <v>0</v>
      </c>
    </row>
    <row r="1053" spans="1:32">
      <c r="A1053" t="s">
        <v>1699</v>
      </c>
      <c r="B1053" t="s">
        <v>33</v>
      </c>
      <c r="C1053" s="3">
        <f t="shared" si="304"/>
        <v>0</v>
      </c>
      <c r="D1053">
        <f t="shared" si="305"/>
        <v>1</v>
      </c>
      <c r="E1053" t="s">
        <v>924</v>
      </c>
      <c r="F1053" t="s">
        <v>538</v>
      </c>
      <c r="G1053" s="1">
        <v>19473</v>
      </c>
      <c r="H1053" s="2">
        <f t="shared" ca="1" si="306"/>
        <v>73</v>
      </c>
      <c r="I1053" s="2">
        <f t="shared" ca="1" si="307"/>
        <v>0.68571428571428572</v>
      </c>
      <c r="J1053" t="s">
        <v>36</v>
      </c>
      <c r="K1053" t="s">
        <v>37</v>
      </c>
      <c r="L1053">
        <f t="shared" si="308"/>
        <v>1</v>
      </c>
      <c r="M1053">
        <f t="shared" si="309"/>
        <v>0</v>
      </c>
      <c r="N1053">
        <f t="shared" si="310"/>
        <v>0</v>
      </c>
      <c r="O1053" t="s">
        <v>183</v>
      </c>
      <c r="P1053">
        <f t="shared" si="311"/>
        <v>0</v>
      </c>
      <c r="Q1053">
        <f t="shared" si="312"/>
        <v>0</v>
      </c>
      <c r="R1053">
        <f t="shared" si="313"/>
        <v>0</v>
      </c>
      <c r="S1053">
        <f t="shared" si="314"/>
        <v>0</v>
      </c>
      <c r="T1053">
        <f t="shared" si="315"/>
        <v>0</v>
      </c>
      <c r="U1053">
        <f t="shared" si="316"/>
        <v>0</v>
      </c>
      <c r="V1053">
        <f t="shared" si="317"/>
        <v>0</v>
      </c>
      <c r="W1053" t="s">
        <v>39</v>
      </c>
      <c r="X1053">
        <f t="shared" si="318"/>
        <v>1</v>
      </c>
      <c r="Y1053">
        <f t="shared" si="319"/>
        <v>0</v>
      </c>
      <c r="Z1053">
        <v>1</v>
      </c>
      <c r="AA1053">
        <f t="shared" si="320"/>
        <v>0</v>
      </c>
      <c r="AB1053" t="s">
        <v>40</v>
      </c>
      <c r="AC1053">
        <f t="shared" si="321"/>
        <v>1</v>
      </c>
      <c r="AD1053">
        <f t="shared" si="322"/>
        <v>0</v>
      </c>
      <c r="AE1053" t="s">
        <v>50</v>
      </c>
      <c r="AF1053">
        <f>IF(AE1053="website",1,0)</f>
        <v>0</v>
      </c>
    </row>
    <row r="1054" spans="1:32">
      <c r="A1054" t="s">
        <v>1700</v>
      </c>
      <c r="B1054" t="s">
        <v>33</v>
      </c>
      <c r="C1054" s="3">
        <f t="shared" si="304"/>
        <v>0</v>
      </c>
      <c r="D1054">
        <f t="shared" si="305"/>
        <v>1</v>
      </c>
      <c r="E1054" t="s">
        <v>1070</v>
      </c>
      <c r="F1054" t="s">
        <v>607</v>
      </c>
      <c r="G1054" s="1">
        <v>27343</v>
      </c>
      <c r="H1054" s="2">
        <f t="shared" ca="1" si="306"/>
        <v>51</v>
      </c>
      <c r="I1054" s="2">
        <f t="shared" ca="1" si="307"/>
        <v>0.37142857142857144</v>
      </c>
      <c r="J1054" t="s">
        <v>45</v>
      </c>
      <c r="K1054" t="s">
        <v>158</v>
      </c>
      <c r="L1054">
        <f t="shared" si="308"/>
        <v>0</v>
      </c>
      <c r="M1054">
        <f t="shared" si="309"/>
        <v>0</v>
      </c>
      <c r="N1054">
        <f t="shared" si="310"/>
        <v>0</v>
      </c>
      <c r="O1054" t="s">
        <v>732</v>
      </c>
      <c r="P1054">
        <f t="shared" si="311"/>
        <v>0</v>
      </c>
      <c r="Q1054">
        <f t="shared" si="312"/>
        <v>0</v>
      </c>
      <c r="R1054">
        <f t="shared" si="313"/>
        <v>0</v>
      </c>
      <c r="S1054">
        <f t="shared" si="314"/>
        <v>0</v>
      </c>
      <c r="T1054">
        <f t="shared" si="315"/>
        <v>0</v>
      </c>
      <c r="U1054">
        <f t="shared" si="316"/>
        <v>0</v>
      </c>
      <c r="V1054">
        <f t="shared" si="317"/>
        <v>0</v>
      </c>
      <c r="W1054" t="s">
        <v>39</v>
      </c>
      <c r="X1054">
        <f t="shared" si="318"/>
        <v>1</v>
      </c>
      <c r="Y1054">
        <f t="shared" si="319"/>
        <v>0</v>
      </c>
      <c r="Z1054">
        <v>2</v>
      </c>
      <c r="AA1054">
        <f t="shared" si="320"/>
        <v>0.25</v>
      </c>
      <c r="AB1054" t="s">
        <v>40</v>
      </c>
      <c r="AC1054">
        <f t="shared" si="321"/>
        <v>0</v>
      </c>
      <c r="AD1054">
        <f t="shared" si="322"/>
        <v>0</v>
      </c>
      <c r="AE1054" t="s">
        <v>41</v>
      </c>
      <c r="AF1054">
        <f>IF(AE1054="website",1,0)</f>
        <v>1</v>
      </c>
    </row>
    <row r="1055" spans="1:32">
      <c r="A1055" t="s">
        <v>1701</v>
      </c>
      <c r="B1055" t="s">
        <v>33</v>
      </c>
      <c r="C1055" s="3">
        <f t="shared" si="304"/>
        <v>0</v>
      </c>
      <c r="D1055">
        <f t="shared" si="305"/>
        <v>1</v>
      </c>
      <c r="E1055" t="s">
        <v>858</v>
      </c>
      <c r="F1055" t="s">
        <v>674</v>
      </c>
      <c r="G1055" s="1">
        <v>32755</v>
      </c>
      <c r="H1055" s="2">
        <f t="shared" ca="1" si="306"/>
        <v>37</v>
      </c>
      <c r="I1055" s="2">
        <f t="shared" ca="1" si="307"/>
        <v>0.17142857142857143</v>
      </c>
      <c r="J1055" t="s">
        <v>45</v>
      </c>
      <c r="K1055" t="s">
        <v>37</v>
      </c>
      <c r="L1055">
        <f t="shared" si="308"/>
        <v>1</v>
      </c>
      <c r="M1055">
        <f t="shared" si="309"/>
        <v>0</v>
      </c>
      <c r="N1055">
        <f t="shared" si="310"/>
        <v>0</v>
      </c>
      <c r="O1055" t="s">
        <v>97</v>
      </c>
      <c r="P1055">
        <f t="shared" si="311"/>
        <v>0</v>
      </c>
      <c r="Q1055">
        <f t="shared" si="312"/>
        <v>0</v>
      </c>
      <c r="R1055">
        <f t="shared" si="313"/>
        <v>0</v>
      </c>
      <c r="S1055">
        <f t="shared" si="314"/>
        <v>0</v>
      </c>
      <c r="T1055">
        <f t="shared" si="315"/>
        <v>1</v>
      </c>
      <c r="U1055">
        <f t="shared" si="316"/>
        <v>0</v>
      </c>
      <c r="V1055">
        <f t="shared" si="317"/>
        <v>0</v>
      </c>
      <c r="W1055" t="s">
        <v>39</v>
      </c>
      <c r="X1055">
        <f t="shared" si="318"/>
        <v>1</v>
      </c>
      <c r="Y1055">
        <f t="shared" si="319"/>
        <v>0</v>
      </c>
      <c r="Z1055">
        <v>2</v>
      </c>
      <c r="AA1055">
        <f t="shared" si="320"/>
        <v>0.25</v>
      </c>
      <c r="AB1055" t="s">
        <v>40</v>
      </c>
      <c r="AC1055">
        <f t="shared" si="321"/>
        <v>0</v>
      </c>
      <c r="AD1055">
        <f t="shared" si="322"/>
        <v>0</v>
      </c>
      <c r="AE1055" t="s">
        <v>41</v>
      </c>
      <c r="AF1055">
        <f>IF(AE1055="website",1,0)</f>
        <v>1</v>
      </c>
    </row>
    <row r="1056" spans="1:32">
      <c r="A1056" t="s">
        <v>1702</v>
      </c>
      <c r="B1056" t="s">
        <v>33</v>
      </c>
      <c r="C1056" s="3">
        <f t="shared" si="304"/>
        <v>0</v>
      </c>
      <c r="D1056">
        <f t="shared" si="305"/>
        <v>1</v>
      </c>
      <c r="E1056" t="s">
        <v>625</v>
      </c>
      <c r="F1056" t="s">
        <v>378</v>
      </c>
      <c r="G1056" s="1">
        <v>26623</v>
      </c>
      <c r="H1056" s="2">
        <f t="shared" ca="1" si="306"/>
        <v>53</v>
      </c>
      <c r="I1056" s="2">
        <f t="shared" ca="1" si="307"/>
        <v>0.4</v>
      </c>
      <c r="J1056" t="s">
        <v>45</v>
      </c>
      <c r="K1056" t="s">
        <v>37</v>
      </c>
      <c r="L1056">
        <f t="shared" si="308"/>
        <v>1</v>
      </c>
      <c r="M1056">
        <f t="shared" si="309"/>
        <v>0</v>
      </c>
      <c r="N1056">
        <f t="shared" si="310"/>
        <v>0</v>
      </c>
      <c r="O1056" t="s">
        <v>717</v>
      </c>
      <c r="P1056">
        <f t="shared" si="311"/>
        <v>0</v>
      </c>
      <c r="Q1056">
        <f t="shared" si="312"/>
        <v>0</v>
      </c>
      <c r="R1056">
        <f t="shared" si="313"/>
        <v>0</v>
      </c>
      <c r="S1056">
        <f t="shared" si="314"/>
        <v>0</v>
      </c>
      <c r="T1056">
        <f t="shared" si="315"/>
        <v>0</v>
      </c>
      <c r="U1056">
        <f t="shared" si="316"/>
        <v>0</v>
      </c>
      <c r="V1056">
        <f t="shared" si="317"/>
        <v>0</v>
      </c>
      <c r="W1056" t="s">
        <v>58</v>
      </c>
      <c r="X1056">
        <f t="shared" si="318"/>
        <v>0</v>
      </c>
      <c r="Y1056">
        <f t="shared" si="319"/>
        <v>1</v>
      </c>
      <c r="Z1056">
        <v>2</v>
      </c>
      <c r="AA1056">
        <f t="shared" si="320"/>
        <v>0.25</v>
      </c>
      <c r="AB1056" t="s">
        <v>40</v>
      </c>
      <c r="AC1056">
        <f t="shared" si="321"/>
        <v>0</v>
      </c>
      <c r="AD1056">
        <f t="shared" si="322"/>
        <v>0</v>
      </c>
      <c r="AE1056" t="s">
        <v>41</v>
      </c>
      <c r="AF1056">
        <f>IF(AE1056="website",1,0)</f>
        <v>1</v>
      </c>
    </row>
    <row r="1057" spans="1:32">
      <c r="A1057" t="s">
        <v>1703</v>
      </c>
      <c r="B1057" t="s">
        <v>33</v>
      </c>
      <c r="C1057" s="3">
        <f t="shared" si="304"/>
        <v>0</v>
      </c>
      <c r="D1057">
        <f t="shared" si="305"/>
        <v>1</v>
      </c>
      <c r="E1057" t="s">
        <v>544</v>
      </c>
      <c r="F1057" t="s">
        <v>571</v>
      </c>
      <c r="G1057" s="1">
        <v>28874</v>
      </c>
      <c r="H1057" s="2">
        <f t="shared" ca="1" si="306"/>
        <v>47</v>
      </c>
      <c r="I1057" s="2">
        <f t="shared" ca="1" si="307"/>
        <v>0.31428571428571428</v>
      </c>
      <c r="J1057" t="s">
        <v>45</v>
      </c>
      <c r="K1057" t="s">
        <v>37</v>
      </c>
      <c r="L1057">
        <f t="shared" si="308"/>
        <v>1</v>
      </c>
      <c r="M1057">
        <f t="shared" si="309"/>
        <v>0</v>
      </c>
      <c r="N1057">
        <f t="shared" si="310"/>
        <v>0</v>
      </c>
      <c r="O1057" t="s">
        <v>137</v>
      </c>
      <c r="P1057">
        <f t="shared" si="311"/>
        <v>0</v>
      </c>
      <c r="Q1057">
        <f t="shared" si="312"/>
        <v>0</v>
      </c>
      <c r="R1057">
        <f t="shared" si="313"/>
        <v>0</v>
      </c>
      <c r="S1057">
        <f t="shared" si="314"/>
        <v>0</v>
      </c>
      <c r="T1057">
        <f t="shared" si="315"/>
        <v>0</v>
      </c>
      <c r="U1057">
        <f t="shared" si="316"/>
        <v>0</v>
      </c>
      <c r="V1057">
        <f t="shared" si="317"/>
        <v>0</v>
      </c>
      <c r="W1057" t="s">
        <v>39</v>
      </c>
      <c r="X1057">
        <f t="shared" si="318"/>
        <v>1</v>
      </c>
      <c r="Y1057">
        <f t="shared" si="319"/>
        <v>0</v>
      </c>
      <c r="Z1057">
        <v>1</v>
      </c>
      <c r="AA1057">
        <f t="shared" si="320"/>
        <v>0</v>
      </c>
      <c r="AB1057" t="s">
        <v>40</v>
      </c>
      <c r="AC1057">
        <f t="shared" si="321"/>
        <v>0</v>
      </c>
      <c r="AD1057">
        <f t="shared" si="322"/>
        <v>0</v>
      </c>
      <c r="AE1057" t="s">
        <v>41</v>
      </c>
      <c r="AF1057">
        <f>IF(AE1057="website",1,0)</f>
        <v>1</v>
      </c>
    </row>
    <row r="1058" spans="1:32">
      <c r="A1058" t="s">
        <v>1704</v>
      </c>
      <c r="B1058" t="s">
        <v>33</v>
      </c>
      <c r="C1058" s="3">
        <f t="shared" si="304"/>
        <v>0</v>
      </c>
      <c r="D1058">
        <f t="shared" si="305"/>
        <v>1</v>
      </c>
      <c r="E1058" t="s">
        <v>875</v>
      </c>
      <c r="F1058" t="s">
        <v>714</v>
      </c>
      <c r="G1058" s="1">
        <v>34441</v>
      </c>
      <c r="H1058" s="2">
        <f t="shared" ca="1" si="306"/>
        <v>32</v>
      </c>
      <c r="I1058" s="2">
        <f t="shared" ca="1" si="307"/>
        <v>0.1</v>
      </c>
      <c r="J1058" t="s">
        <v>45</v>
      </c>
      <c r="K1058" t="s">
        <v>37</v>
      </c>
      <c r="L1058">
        <f t="shared" si="308"/>
        <v>1</v>
      </c>
      <c r="M1058">
        <f t="shared" si="309"/>
        <v>0</v>
      </c>
      <c r="N1058">
        <f t="shared" si="310"/>
        <v>0</v>
      </c>
      <c r="O1058" t="s">
        <v>124</v>
      </c>
      <c r="P1058">
        <f t="shared" si="311"/>
        <v>0</v>
      </c>
      <c r="Q1058">
        <f t="shared" si="312"/>
        <v>0</v>
      </c>
      <c r="R1058">
        <f t="shared" si="313"/>
        <v>0</v>
      </c>
      <c r="S1058">
        <f t="shared" si="314"/>
        <v>0</v>
      </c>
      <c r="T1058">
        <f t="shared" si="315"/>
        <v>0</v>
      </c>
      <c r="U1058">
        <f t="shared" si="316"/>
        <v>1</v>
      </c>
      <c r="V1058">
        <f t="shared" si="317"/>
        <v>0</v>
      </c>
      <c r="W1058" t="s">
        <v>58</v>
      </c>
      <c r="X1058">
        <f t="shared" si="318"/>
        <v>0</v>
      </c>
      <c r="Y1058">
        <f t="shared" si="319"/>
        <v>1</v>
      </c>
      <c r="Z1058">
        <v>5</v>
      </c>
      <c r="AA1058">
        <f t="shared" si="320"/>
        <v>1</v>
      </c>
      <c r="AB1058" t="s">
        <v>46</v>
      </c>
      <c r="AC1058">
        <f t="shared" si="321"/>
        <v>0</v>
      </c>
      <c r="AD1058">
        <f t="shared" si="322"/>
        <v>0</v>
      </c>
      <c r="AE1058" t="s">
        <v>41</v>
      </c>
      <c r="AF1058">
        <f>IF(AE1058="website",1,0)</f>
        <v>1</v>
      </c>
    </row>
    <row r="1059" spans="1:32">
      <c r="A1059" t="s">
        <v>1705</v>
      </c>
      <c r="B1059" t="s">
        <v>33</v>
      </c>
      <c r="C1059" s="3">
        <f t="shared" si="304"/>
        <v>0</v>
      </c>
      <c r="D1059">
        <f t="shared" si="305"/>
        <v>1</v>
      </c>
      <c r="E1059" t="s">
        <v>476</v>
      </c>
      <c r="F1059" t="s">
        <v>552</v>
      </c>
      <c r="G1059" s="1">
        <v>26827</v>
      </c>
      <c r="H1059" s="2">
        <f t="shared" ca="1" si="306"/>
        <v>53</v>
      </c>
      <c r="I1059" s="2">
        <f t="shared" ca="1" si="307"/>
        <v>0.4</v>
      </c>
      <c r="J1059" t="s">
        <v>36</v>
      </c>
      <c r="K1059" t="s">
        <v>113</v>
      </c>
      <c r="L1059">
        <f t="shared" si="308"/>
        <v>0</v>
      </c>
      <c r="M1059">
        <f t="shared" si="309"/>
        <v>0</v>
      </c>
      <c r="N1059">
        <f t="shared" si="310"/>
        <v>1</v>
      </c>
      <c r="O1059" t="s">
        <v>1137</v>
      </c>
      <c r="P1059">
        <f t="shared" si="311"/>
        <v>0</v>
      </c>
      <c r="Q1059">
        <f t="shared" si="312"/>
        <v>0</v>
      </c>
      <c r="R1059">
        <f t="shared" si="313"/>
        <v>0</v>
      </c>
      <c r="S1059">
        <f t="shared" si="314"/>
        <v>0</v>
      </c>
      <c r="T1059">
        <f t="shared" si="315"/>
        <v>0</v>
      </c>
      <c r="U1059">
        <f t="shared" si="316"/>
        <v>0</v>
      </c>
      <c r="V1059">
        <f t="shared" si="317"/>
        <v>0</v>
      </c>
      <c r="W1059" t="s">
        <v>39</v>
      </c>
      <c r="X1059">
        <f t="shared" si="318"/>
        <v>1</v>
      </c>
      <c r="Y1059">
        <f t="shared" si="319"/>
        <v>0</v>
      </c>
      <c r="Z1059">
        <v>3</v>
      </c>
      <c r="AA1059">
        <f t="shared" si="320"/>
        <v>0.5</v>
      </c>
      <c r="AB1059" t="s">
        <v>40</v>
      </c>
      <c r="AC1059">
        <f t="shared" si="321"/>
        <v>0</v>
      </c>
      <c r="AD1059">
        <f t="shared" si="322"/>
        <v>0</v>
      </c>
      <c r="AE1059" t="s">
        <v>41</v>
      </c>
      <c r="AF1059">
        <f>IF(AE1059="website",1,0)</f>
        <v>1</v>
      </c>
    </row>
    <row r="1060" spans="1:32">
      <c r="A1060" t="s">
        <v>1706</v>
      </c>
      <c r="B1060" t="s">
        <v>33</v>
      </c>
      <c r="C1060" s="3">
        <f t="shared" si="304"/>
        <v>0</v>
      </c>
      <c r="D1060">
        <f t="shared" si="305"/>
        <v>1</v>
      </c>
      <c r="E1060" t="s">
        <v>784</v>
      </c>
      <c r="F1060" t="s">
        <v>840</v>
      </c>
      <c r="G1060" s="1">
        <v>28667</v>
      </c>
      <c r="H1060" s="2">
        <f t="shared" ca="1" si="306"/>
        <v>48</v>
      </c>
      <c r="I1060" s="2">
        <f t="shared" ca="1" si="307"/>
        <v>0.32857142857142857</v>
      </c>
      <c r="J1060" t="s">
        <v>36</v>
      </c>
      <c r="K1060" t="s">
        <v>37</v>
      </c>
      <c r="L1060">
        <f t="shared" si="308"/>
        <v>1</v>
      </c>
      <c r="M1060">
        <f t="shared" si="309"/>
        <v>0</v>
      </c>
      <c r="N1060">
        <f t="shared" si="310"/>
        <v>0</v>
      </c>
      <c r="O1060" t="s">
        <v>38</v>
      </c>
      <c r="P1060">
        <f t="shared" si="311"/>
        <v>1</v>
      </c>
      <c r="Q1060">
        <f t="shared" si="312"/>
        <v>0</v>
      </c>
      <c r="R1060">
        <f t="shared" si="313"/>
        <v>0</v>
      </c>
      <c r="S1060">
        <f t="shared" si="314"/>
        <v>0</v>
      </c>
      <c r="T1060">
        <f t="shared" si="315"/>
        <v>0</v>
      </c>
      <c r="U1060">
        <f t="shared" si="316"/>
        <v>0</v>
      </c>
      <c r="V1060">
        <f t="shared" si="317"/>
        <v>0</v>
      </c>
      <c r="W1060" t="s">
        <v>39</v>
      </c>
      <c r="X1060">
        <f t="shared" si="318"/>
        <v>1</v>
      </c>
      <c r="Y1060">
        <f t="shared" si="319"/>
        <v>0</v>
      </c>
      <c r="Z1060">
        <v>4</v>
      </c>
      <c r="AA1060">
        <f t="shared" si="320"/>
        <v>0.75</v>
      </c>
      <c r="AB1060" t="s">
        <v>46</v>
      </c>
      <c r="AC1060">
        <f t="shared" si="321"/>
        <v>0</v>
      </c>
      <c r="AD1060">
        <f t="shared" si="322"/>
        <v>0</v>
      </c>
      <c r="AE1060" t="s">
        <v>41</v>
      </c>
      <c r="AF1060">
        <f>IF(AE1060="website",1,0)</f>
        <v>1</v>
      </c>
    </row>
    <row r="1061" spans="1:32">
      <c r="A1061" t="s">
        <v>1707</v>
      </c>
      <c r="B1061" t="s">
        <v>33</v>
      </c>
      <c r="C1061" s="3">
        <f t="shared" si="304"/>
        <v>0</v>
      </c>
      <c r="D1061">
        <f t="shared" si="305"/>
        <v>1</v>
      </c>
      <c r="E1061" t="s">
        <v>288</v>
      </c>
      <c r="F1061" t="s">
        <v>667</v>
      </c>
      <c r="G1061" s="1">
        <v>14970</v>
      </c>
      <c r="H1061" s="2">
        <f t="shared" ca="1" si="306"/>
        <v>85</v>
      </c>
      <c r="I1061" s="2">
        <f t="shared" ca="1" si="307"/>
        <v>0.8571428571428571</v>
      </c>
      <c r="J1061" t="s">
        <v>45</v>
      </c>
      <c r="K1061" t="s">
        <v>37</v>
      </c>
      <c r="L1061">
        <f t="shared" si="308"/>
        <v>1</v>
      </c>
      <c r="M1061">
        <f t="shared" si="309"/>
        <v>0</v>
      </c>
      <c r="N1061">
        <f t="shared" si="310"/>
        <v>0</v>
      </c>
      <c r="O1061" t="s">
        <v>124</v>
      </c>
      <c r="P1061">
        <f t="shared" si="311"/>
        <v>0</v>
      </c>
      <c r="Q1061">
        <f t="shared" si="312"/>
        <v>0</v>
      </c>
      <c r="R1061">
        <f t="shared" si="313"/>
        <v>0</v>
      </c>
      <c r="S1061">
        <f t="shared" si="314"/>
        <v>0</v>
      </c>
      <c r="T1061">
        <f t="shared" si="315"/>
        <v>0</v>
      </c>
      <c r="U1061">
        <f t="shared" si="316"/>
        <v>1</v>
      </c>
      <c r="V1061">
        <f t="shared" si="317"/>
        <v>0</v>
      </c>
      <c r="W1061" t="s">
        <v>39</v>
      </c>
      <c r="X1061">
        <f t="shared" si="318"/>
        <v>1</v>
      </c>
      <c r="Y1061">
        <f t="shared" si="319"/>
        <v>0</v>
      </c>
      <c r="Z1061">
        <v>5</v>
      </c>
      <c r="AA1061">
        <f t="shared" si="320"/>
        <v>1</v>
      </c>
      <c r="AB1061" t="s">
        <v>46</v>
      </c>
      <c r="AC1061">
        <f t="shared" si="321"/>
        <v>1</v>
      </c>
      <c r="AD1061">
        <f t="shared" si="322"/>
        <v>0</v>
      </c>
      <c r="AE1061" t="s">
        <v>50</v>
      </c>
      <c r="AF1061">
        <f>IF(AE1061="website",1,0)</f>
        <v>0</v>
      </c>
    </row>
    <row r="1062" spans="1:32">
      <c r="A1062" t="s">
        <v>1708</v>
      </c>
      <c r="B1062" t="s">
        <v>33</v>
      </c>
      <c r="C1062" s="3">
        <f t="shared" si="304"/>
        <v>0</v>
      </c>
      <c r="D1062">
        <f t="shared" si="305"/>
        <v>1</v>
      </c>
      <c r="E1062" t="s">
        <v>747</v>
      </c>
      <c r="F1062" t="s">
        <v>953</v>
      </c>
      <c r="G1062" s="1">
        <v>22068</v>
      </c>
      <c r="H1062" s="2">
        <f t="shared" ca="1" si="306"/>
        <v>66</v>
      </c>
      <c r="I1062" s="2">
        <f t="shared" ca="1" si="307"/>
        <v>0.58571428571428574</v>
      </c>
      <c r="J1062" t="s">
        <v>36</v>
      </c>
      <c r="K1062" t="s">
        <v>248</v>
      </c>
      <c r="L1062">
        <f t="shared" si="308"/>
        <v>0</v>
      </c>
      <c r="M1062">
        <f t="shared" si="309"/>
        <v>0</v>
      </c>
      <c r="N1062">
        <f t="shared" si="310"/>
        <v>0</v>
      </c>
      <c r="O1062" t="s">
        <v>411</v>
      </c>
      <c r="P1062">
        <f t="shared" si="311"/>
        <v>0</v>
      </c>
      <c r="Q1062">
        <f t="shared" si="312"/>
        <v>0</v>
      </c>
      <c r="R1062">
        <f t="shared" si="313"/>
        <v>0</v>
      </c>
      <c r="S1062">
        <f t="shared" si="314"/>
        <v>0</v>
      </c>
      <c r="T1062">
        <f t="shared" si="315"/>
        <v>0</v>
      </c>
      <c r="U1062">
        <f t="shared" si="316"/>
        <v>0</v>
      </c>
      <c r="V1062">
        <f t="shared" si="317"/>
        <v>0</v>
      </c>
      <c r="W1062" t="s">
        <v>39</v>
      </c>
      <c r="X1062">
        <f t="shared" si="318"/>
        <v>1</v>
      </c>
      <c r="Y1062">
        <f t="shared" si="319"/>
        <v>0</v>
      </c>
      <c r="Z1062">
        <v>1</v>
      </c>
      <c r="AA1062">
        <f t="shared" si="320"/>
        <v>0</v>
      </c>
      <c r="AB1062" t="s">
        <v>46</v>
      </c>
      <c r="AC1062">
        <f t="shared" si="321"/>
        <v>0</v>
      </c>
      <c r="AD1062">
        <f t="shared" si="322"/>
        <v>0</v>
      </c>
      <c r="AE1062" t="s">
        <v>41</v>
      </c>
      <c r="AF1062">
        <f>IF(AE1062="website",1,0)</f>
        <v>1</v>
      </c>
    </row>
    <row r="1063" spans="1:32">
      <c r="A1063" t="s">
        <v>1709</v>
      </c>
      <c r="B1063" t="s">
        <v>33</v>
      </c>
      <c r="C1063" s="3">
        <f t="shared" si="304"/>
        <v>0</v>
      </c>
      <c r="D1063">
        <f t="shared" si="305"/>
        <v>1</v>
      </c>
      <c r="E1063" t="s">
        <v>772</v>
      </c>
      <c r="F1063" t="s">
        <v>674</v>
      </c>
      <c r="G1063" s="1">
        <v>27748</v>
      </c>
      <c r="H1063" s="2">
        <f t="shared" ca="1" si="306"/>
        <v>50</v>
      </c>
      <c r="I1063" s="2">
        <f t="shared" ca="1" si="307"/>
        <v>0.35714285714285715</v>
      </c>
      <c r="J1063" t="s">
        <v>45</v>
      </c>
      <c r="K1063" t="s">
        <v>37</v>
      </c>
      <c r="L1063">
        <f t="shared" si="308"/>
        <v>1</v>
      </c>
      <c r="M1063">
        <f t="shared" si="309"/>
        <v>0</v>
      </c>
      <c r="N1063">
        <f t="shared" si="310"/>
        <v>0</v>
      </c>
      <c r="O1063" t="s">
        <v>38</v>
      </c>
      <c r="P1063">
        <f t="shared" si="311"/>
        <v>1</v>
      </c>
      <c r="Q1063">
        <f t="shared" si="312"/>
        <v>0</v>
      </c>
      <c r="R1063">
        <f t="shared" si="313"/>
        <v>0</v>
      </c>
      <c r="S1063">
        <f t="shared" si="314"/>
        <v>0</v>
      </c>
      <c r="T1063">
        <f t="shared" si="315"/>
        <v>0</v>
      </c>
      <c r="U1063">
        <f t="shared" si="316"/>
        <v>0</v>
      </c>
      <c r="V1063">
        <f t="shared" si="317"/>
        <v>0</v>
      </c>
      <c r="W1063" t="s">
        <v>39</v>
      </c>
      <c r="X1063">
        <f t="shared" si="318"/>
        <v>1</v>
      </c>
      <c r="Y1063">
        <f t="shared" si="319"/>
        <v>0</v>
      </c>
      <c r="Z1063">
        <v>4</v>
      </c>
      <c r="AA1063">
        <f t="shared" si="320"/>
        <v>0.75</v>
      </c>
      <c r="AB1063" t="s">
        <v>46</v>
      </c>
      <c r="AC1063">
        <f t="shared" si="321"/>
        <v>1</v>
      </c>
      <c r="AD1063">
        <f t="shared" si="322"/>
        <v>0</v>
      </c>
      <c r="AE1063" t="s">
        <v>50</v>
      </c>
      <c r="AF1063">
        <f>IF(AE1063="website",1,0)</f>
        <v>0</v>
      </c>
    </row>
    <row r="1064" spans="1:32">
      <c r="A1064" t="s">
        <v>1710</v>
      </c>
      <c r="B1064" t="s">
        <v>33</v>
      </c>
      <c r="C1064" s="3">
        <f t="shared" si="304"/>
        <v>0</v>
      </c>
      <c r="D1064">
        <f t="shared" si="305"/>
        <v>1</v>
      </c>
      <c r="E1064" t="s">
        <v>976</v>
      </c>
      <c r="F1064" t="s">
        <v>552</v>
      </c>
      <c r="G1064" s="1">
        <v>32482</v>
      </c>
      <c r="H1064" s="2">
        <f t="shared" ca="1" si="306"/>
        <v>37</v>
      </c>
      <c r="I1064" s="2">
        <f t="shared" ca="1" si="307"/>
        <v>0.17142857142857143</v>
      </c>
      <c r="J1064" t="s">
        <v>36</v>
      </c>
      <c r="K1064" t="s">
        <v>37</v>
      </c>
      <c r="L1064">
        <f t="shared" si="308"/>
        <v>1</v>
      </c>
      <c r="M1064">
        <f t="shared" si="309"/>
        <v>0</v>
      </c>
      <c r="N1064">
        <f t="shared" si="310"/>
        <v>0</v>
      </c>
      <c r="O1064" t="s">
        <v>717</v>
      </c>
      <c r="P1064">
        <f t="shared" si="311"/>
        <v>0</v>
      </c>
      <c r="Q1064">
        <f t="shared" si="312"/>
        <v>0</v>
      </c>
      <c r="R1064">
        <f t="shared" si="313"/>
        <v>0</v>
      </c>
      <c r="S1064">
        <f t="shared" si="314"/>
        <v>0</v>
      </c>
      <c r="T1064">
        <f t="shared" si="315"/>
        <v>0</v>
      </c>
      <c r="U1064">
        <f t="shared" si="316"/>
        <v>0</v>
      </c>
      <c r="V1064">
        <f t="shared" si="317"/>
        <v>0</v>
      </c>
      <c r="W1064" t="s">
        <v>58</v>
      </c>
      <c r="X1064">
        <f t="shared" si="318"/>
        <v>0</v>
      </c>
      <c r="Y1064">
        <f t="shared" si="319"/>
        <v>1</v>
      </c>
      <c r="Z1064">
        <v>5</v>
      </c>
      <c r="AA1064">
        <f t="shared" si="320"/>
        <v>1</v>
      </c>
      <c r="AB1064" t="s">
        <v>40</v>
      </c>
      <c r="AC1064">
        <f t="shared" si="321"/>
        <v>0</v>
      </c>
      <c r="AD1064">
        <f t="shared" si="322"/>
        <v>0</v>
      </c>
      <c r="AE1064" t="s">
        <v>41</v>
      </c>
      <c r="AF1064">
        <f>IF(AE1064="website",1,0)</f>
        <v>1</v>
      </c>
    </row>
    <row r="1065" spans="1:32">
      <c r="A1065" t="s">
        <v>1711</v>
      </c>
      <c r="B1065" t="s">
        <v>33</v>
      </c>
      <c r="C1065" s="3">
        <f t="shared" si="304"/>
        <v>0</v>
      </c>
      <c r="D1065">
        <f t="shared" si="305"/>
        <v>1</v>
      </c>
      <c r="E1065" t="s">
        <v>575</v>
      </c>
      <c r="F1065" t="s">
        <v>599</v>
      </c>
      <c r="G1065" s="1">
        <v>16655</v>
      </c>
      <c r="H1065" s="2">
        <f t="shared" ca="1" si="306"/>
        <v>81</v>
      </c>
      <c r="I1065" s="2">
        <f t="shared" ca="1" si="307"/>
        <v>0.8</v>
      </c>
      <c r="J1065" t="s">
        <v>45</v>
      </c>
      <c r="K1065" t="s">
        <v>37</v>
      </c>
      <c r="L1065">
        <f t="shared" si="308"/>
        <v>1</v>
      </c>
      <c r="M1065">
        <f t="shared" si="309"/>
        <v>0</v>
      </c>
      <c r="N1065">
        <f t="shared" si="310"/>
        <v>0</v>
      </c>
      <c r="O1065" t="s">
        <v>38</v>
      </c>
      <c r="P1065">
        <f t="shared" si="311"/>
        <v>1</v>
      </c>
      <c r="Q1065">
        <f t="shared" si="312"/>
        <v>0</v>
      </c>
      <c r="R1065">
        <f t="shared" si="313"/>
        <v>0</v>
      </c>
      <c r="S1065">
        <f t="shared" si="314"/>
        <v>0</v>
      </c>
      <c r="T1065">
        <f t="shared" si="315"/>
        <v>0</v>
      </c>
      <c r="U1065">
        <f t="shared" si="316"/>
        <v>0</v>
      </c>
      <c r="V1065">
        <f t="shared" si="317"/>
        <v>0</v>
      </c>
      <c r="W1065" t="s">
        <v>39</v>
      </c>
      <c r="X1065">
        <f t="shared" si="318"/>
        <v>1</v>
      </c>
      <c r="Y1065">
        <f t="shared" si="319"/>
        <v>0</v>
      </c>
      <c r="Z1065">
        <v>5</v>
      </c>
      <c r="AA1065">
        <f t="shared" si="320"/>
        <v>1</v>
      </c>
      <c r="AB1065" t="s">
        <v>40</v>
      </c>
      <c r="AC1065">
        <f t="shared" si="321"/>
        <v>0</v>
      </c>
      <c r="AD1065">
        <f t="shared" si="322"/>
        <v>0</v>
      </c>
      <c r="AE1065" t="s">
        <v>41</v>
      </c>
      <c r="AF1065">
        <f>IF(AE1065="website",1,0)</f>
        <v>1</v>
      </c>
    </row>
    <row r="1066" spans="1:32">
      <c r="A1066" t="s">
        <v>1712</v>
      </c>
      <c r="B1066" t="s">
        <v>33</v>
      </c>
      <c r="C1066" s="3">
        <f t="shared" si="304"/>
        <v>0</v>
      </c>
      <c r="D1066">
        <f t="shared" si="305"/>
        <v>1</v>
      </c>
      <c r="E1066" t="s">
        <v>658</v>
      </c>
      <c r="F1066" t="s">
        <v>641</v>
      </c>
      <c r="G1066" s="1">
        <v>20095</v>
      </c>
      <c r="H1066" s="2">
        <f t="shared" ca="1" si="306"/>
        <v>71</v>
      </c>
      <c r="I1066" s="2">
        <f t="shared" ca="1" si="307"/>
        <v>0.65714285714285714</v>
      </c>
      <c r="J1066" t="s">
        <v>45</v>
      </c>
      <c r="K1066" t="s">
        <v>37</v>
      </c>
      <c r="L1066">
        <f t="shared" si="308"/>
        <v>1</v>
      </c>
      <c r="M1066">
        <f t="shared" si="309"/>
        <v>0</v>
      </c>
      <c r="N1066">
        <f t="shared" si="310"/>
        <v>0</v>
      </c>
      <c r="O1066" t="s">
        <v>785</v>
      </c>
      <c r="P1066">
        <f t="shared" si="311"/>
        <v>0</v>
      </c>
      <c r="Q1066">
        <f t="shared" si="312"/>
        <v>0</v>
      </c>
      <c r="R1066">
        <f t="shared" si="313"/>
        <v>0</v>
      </c>
      <c r="S1066">
        <f t="shared" si="314"/>
        <v>0</v>
      </c>
      <c r="T1066">
        <f t="shared" si="315"/>
        <v>0</v>
      </c>
      <c r="U1066">
        <f t="shared" si="316"/>
        <v>0</v>
      </c>
      <c r="V1066">
        <f t="shared" si="317"/>
        <v>0</v>
      </c>
      <c r="W1066" t="s">
        <v>39</v>
      </c>
      <c r="X1066">
        <f t="shared" si="318"/>
        <v>1</v>
      </c>
      <c r="Y1066">
        <f t="shared" si="319"/>
        <v>0</v>
      </c>
      <c r="Z1066">
        <v>3</v>
      </c>
      <c r="AA1066">
        <f t="shared" si="320"/>
        <v>0.5</v>
      </c>
      <c r="AB1066" t="s">
        <v>40</v>
      </c>
      <c r="AC1066">
        <f t="shared" si="321"/>
        <v>0</v>
      </c>
      <c r="AD1066">
        <f t="shared" si="322"/>
        <v>1</v>
      </c>
      <c r="AE1066" t="s">
        <v>90</v>
      </c>
      <c r="AF1066">
        <f>IF(AE1066="website",1,0)</f>
        <v>0</v>
      </c>
    </row>
    <row r="1067" spans="1:32">
      <c r="A1067" t="s">
        <v>1713</v>
      </c>
      <c r="B1067" t="s">
        <v>33</v>
      </c>
      <c r="C1067" s="3">
        <f t="shared" si="304"/>
        <v>0</v>
      </c>
      <c r="D1067">
        <f t="shared" si="305"/>
        <v>1</v>
      </c>
      <c r="E1067" t="s">
        <v>587</v>
      </c>
      <c r="F1067" t="s">
        <v>620</v>
      </c>
      <c r="G1067" s="1">
        <v>15240</v>
      </c>
      <c r="H1067" s="2">
        <f t="shared" ca="1" si="306"/>
        <v>85</v>
      </c>
      <c r="I1067" s="2">
        <f t="shared" ca="1" si="307"/>
        <v>0.8571428571428571</v>
      </c>
      <c r="J1067" t="s">
        <v>36</v>
      </c>
      <c r="K1067" t="s">
        <v>819</v>
      </c>
      <c r="L1067">
        <f t="shared" si="308"/>
        <v>0</v>
      </c>
      <c r="M1067">
        <f t="shared" si="309"/>
        <v>0</v>
      </c>
      <c r="N1067">
        <f t="shared" si="310"/>
        <v>0</v>
      </c>
      <c r="O1067" t="s">
        <v>1061</v>
      </c>
      <c r="P1067">
        <f t="shared" si="311"/>
        <v>0</v>
      </c>
      <c r="Q1067">
        <f t="shared" si="312"/>
        <v>0</v>
      </c>
      <c r="R1067">
        <f t="shared" si="313"/>
        <v>0</v>
      </c>
      <c r="S1067">
        <f t="shared" si="314"/>
        <v>0</v>
      </c>
      <c r="T1067">
        <f t="shared" si="315"/>
        <v>0</v>
      </c>
      <c r="U1067">
        <f t="shared" si="316"/>
        <v>0</v>
      </c>
      <c r="V1067">
        <f t="shared" si="317"/>
        <v>0</v>
      </c>
      <c r="W1067" t="s">
        <v>39</v>
      </c>
      <c r="X1067">
        <f t="shared" si="318"/>
        <v>1</v>
      </c>
      <c r="Y1067">
        <f t="shared" si="319"/>
        <v>0</v>
      </c>
      <c r="Z1067">
        <v>1</v>
      </c>
      <c r="AA1067">
        <f t="shared" si="320"/>
        <v>0</v>
      </c>
      <c r="AB1067" t="s">
        <v>46</v>
      </c>
      <c r="AC1067">
        <f t="shared" si="321"/>
        <v>0</v>
      </c>
      <c r="AD1067">
        <f t="shared" si="322"/>
        <v>0</v>
      </c>
      <c r="AE1067" t="s">
        <v>41</v>
      </c>
      <c r="AF1067">
        <f>IF(AE1067="website",1,0)</f>
        <v>1</v>
      </c>
    </row>
    <row r="1068" spans="1:32">
      <c r="A1068" t="s">
        <v>1714</v>
      </c>
      <c r="B1068" t="s">
        <v>33</v>
      </c>
      <c r="C1068" s="3">
        <f t="shared" si="304"/>
        <v>0</v>
      </c>
      <c r="D1068">
        <f t="shared" si="305"/>
        <v>1</v>
      </c>
      <c r="E1068" t="s">
        <v>852</v>
      </c>
      <c r="F1068" t="s">
        <v>339</v>
      </c>
      <c r="G1068" s="1">
        <v>15699</v>
      </c>
      <c r="H1068" s="2">
        <f t="shared" ca="1" si="306"/>
        <v>83</v>
      </c>
      <c r="I1068" s="2">
        <f t="shared" ca="1" si="307"/>
        <v>0.82857142857142863</v>
      </c>
      <c r="J1068" t="s">
        <v>45</v>
      </c>
      <c r="K1068" t="s">
        <v>158</v>
      </c>
      <c r="L1068">
        <f t="shared" si="308"/>
        <v>0</v>
      </c>
      <c r="M1068">
        <f t="shared" si="309"/>
        <v>0</v>
      </c>
      <c r="N1068">
        <f t="shared" si="310"/>
        <v>0</v>
      </c>
      <c r="O1068" t="s">
        <v>1068</v>
      </c>
      <c r="P1068">
        <f t="shared" si="311"/>
        <v>0</v>
      </c>
      <c r="Q1068">
        <f t="shared" si="312"/>
        <v>0</v>
      </c>
      <c r="R1068">
        <f t="shared" si="313"/>
        <v>0</v>
      </c>
      <c r="S1068">
        <f t="shared" si="314"/>
        <v>0</v>
      </c>
      <c r="T1068">
        <f t="shared" si="315"/>
        <v>0</v>
      </c>
      <c r="U1068">
        <f t="shared" si="316"/>
        <v>0</v>
      </c>
      <c r="V1068">
        <f t="shared" si="317"/>
        <v>0</v>
      </c>
      <c r="W1068" t="s">
        <v>58</v>
      </c>
      <c r="X1068">
        <f t="shared" si="318"/>
        <v>0</v>
      </c>
      <c r="Y1068">
        <f t="shared" si="319"/>
        <v>1</v>
      </c>
      <c r="Z1068">
        <v>4</v>
      </c>
      <c r="AA1068">
        <f t="shared" si="320"/>
        <v>0.75</v>
      </c>
      <c r="AB1068" t="s">
        <v>46</v>
      </c>
      <c r="AC1068">
        <f t="shared" si="321"/>
        <v>1</v>
      </c>
      <c r="AD1068">
        <f t="shared" si="322"/>
        <v>0</v>
      </c>
      <c r="AE1068" t="s">
        <v>50</v>
      </c>
      <c r="AF1068">
        <f>IF(AE1068="website",1,0)</f>
        <v>0</v>
      </c>
    </row>
    <row r="1069" spans="1:32">
      <c r="A1069" t="s">
        <v>1715</v>
      </c>
      <c r="B1069" t="s">
        <v>33</v>
      </c>
      <c r="C1069" s="3">
        <f t="shared" si="304"/>
        <v>0</v>
      </c>
      <c r="D1069">
        <f t="shared" si="305"/>
        <v>1</v>
      </c>
      <c r="E1069" t="s">
        <v>1256</v>
      </c>
      <c r="F1069" t="s">
        <v>568</v>
      </c>
      <c r="G1069" s="1">
        <v>30722</v>
      </c>
      <c r="H1069" s="2">
        <f t="shared" ca="1" si="306"/>
        <v>42</v>
      </c>
      <c r="I1069" s="2">
        <f t="shared" ca="1" si="307"/>
        <v>0.24285714285714285</v>
      </c>
      <c r="J1069" t="s">
        <v>36</v>
      </c>
      <c r="K1069" t="s">
        <v>37</v>
      </c>
      <c r="L1069">
        <f t="shared" si="308"/>
        <v>1</v>
      </c>
      <c r="M1069">
        <f t="shared" si="309"/>
        <v>0</v>
      </c>
      <c r="N1069">
        <f t="shared" si="310"/>
        <v>0</v>
      </c>
      <c r="O1069" t="s">
        <v>38</v>
      </c>
      <c r="P1069">
        <f t="shared" si="311"/>
        <v>1</v>
      </c>
      <c r="Q1069">
        <f t="shared" si="312"/>
        <v>0</v>
      </c>
      <c r="R1069">
        <f t="shared" si="313"/>
        <v>0</v>
      </c>
      <c r="S1069">
        <f t="shared" si="314"/>
        <v>0</v>
      </c>
      <c r="T1069">
        <f t="shared" si="315"/>
        <v>0</v>
      </c>
      <c r="U1069">
        <f t="shared" si="316"/>
        <v>0</v>
      </c>
      <c r="V1069">
        <f t="shared" si="317"/>
        <v>0</v>
      </c>
      <c r="W1069" t="s">
        <v>39</v>
      </c>
      <c r="X1069">
        <f t="shared" si="318"/>
        <v>1</v>
      </c>
      <c r="Y1069">
        <f t="shared" si="319"/>
        <v>0</v>
      </c>
      <c r="Z1069">
        <v>3</v>
      </c>
      <c r="AA1069">
        <f t="shared" si="320"/>
        <v>0.5</v>
      </c>
      <c r="AB1069" t="s">
        <v>46</v>
      </c>
      <c r="AC1069">
        <f t="shared" si="321"/>
        <v>1</v>
      </c>
      <c r="AD1069">
        <f t="shared" si="322"/>
        <v>0</v>
      </c>
      <c r="AE1069" t="s">
        <v>50</v>
      </c>
      <c r="AF1069">
        <f>IF(AE1069="website",1,0)</f>
        <v>0</v>
      </c>
    </row>
    <row r="1070" spans="1:32">
      <c r="A1070" t="s">
        <v>1716</v>
      </c>
      <c r="B1070" t="s">
        <v>33</v>
      </c>
      <c r="C1070" s="3">
        <f t="shared" si="304"/>
        <v>0</v>
      </c>
      <c r="D1070">
        <f t="shared" si="305"/>
        <v>1</v>
      </c>
      <c r="E1070" t="s">
        <v>590</v>
      </c>
      <c r="F1070" t="s">
        <v>856</v>
      </c>
      <c r="G1070" s="1">
        <v>33768</v>
      </c>
      <c r="H1070" s="2">
        <f t="shared" ca="1" si="306"/>
        <v>34</v>
      </c>
      <c r="I1070" s="2">
        <f t="shared" ca="1" si="307"/>
        <v>0.12857142857142856</v>
      </c>
      <c r="J1070" t="s">
        <v>45</v>
      </c>
      <c r="K1070" t="s">
        <v>37</v>
      </c>
      <c r="L1070">
        <f t="shared" si="308"/>
        <v>1</v>
      </c>
      <c r="M1070">
        <f t="shared" si="309"/>
        <v>0</v>
      </c>
      <c r="N1070">
        <f t="shared" si="310"/>
        <v>0</v>
      </c>
      <c r="O1070" t="s">
        <v>305</v>
      </c>
      <c r="P1070">
        <f t="shared" si="311"/>
        <v>0</v>
      </c>
      <c r="Q1070">
        <f t="shared" si="312"/>
        <v>0</v>
      </c>
      <c r="R1070">
        <f t="shared" si="313"/>
        <v>0</v>
      </c>
      <c r="S1070">
        <f t="shared" si="314"/>
        <v>0</v>
      </c>
      <c r="T1070">
        <f t="shared" si="315"/>
        <v>0</v>
      </c>
      <c r="U1070">
        <f t="shared" si="316"/>
        <v>0</v>
      </c>
      <c r="V1070">
        <f t="shared" si="317"/>
        <v>0</v>
      </c>
      <c r="W1070" t="s">
        <v>39</v>
      </c>
      <c r="X1070">
        <f t="shared" si="318"/>
        <v>1</v>
      </c>
      <c r="Y1070">
        <f t="shared" si="319"/>
        <v>0</v>
      </c>
      <c r="Z1070">
        <v>3</v>
      </c>
      <c r="AA1070">
        <f t="shared" si="320"/>
        <v>0.5</v>
      </c>
      <c r="AB1070" t="s">
        <v>40</v>
      </c>
      <c r="AC1070">
        <f t="shared" si="321"/>
        <v>1</v>
      </c>
      <c r="AD1070">
        <f t="shared" si="322"/>
        <v>0</v>
      </c>
      <c r="AE1070" t="s">
        <v>50</v>
      </c>
      <c r="AF1070">
        <f>IF(AE1070="website",1,0)</f>
        <v>0</v>
      </c>
    </row>
    <row r="1071" spans="1:32">
      <c r="A1071" t="s">
        <v>1717</v>
      </c>
      <c r="B1071" t="s">
        <v>33</v>
      </c>
      <c r="C1071" s="3">
        <f t="shared" si="304"/>
        <v>0</v>
      </c>
      <c r="D1071">
        <f t="shared" si="305"/>
        <v>1</v>
      </c>
      <c r="E1071" t="s">
        <v>305</v>
      </c>
      <c r="F1071" t="s">
        <v>709</v>
      </c>
      <c r="G1071" s="1">
        <v>18805</v>
      </c>
      <c r="H1071" s="2">
        <f t="shared" ca="1" si="306"/>
        <v>75</v>
      </c>
      <c r="I1071" s="2">
        <f t="shared" ca="1" si="307"/>
        <v>0.7142857142857143</v>
      </c>
      <c r="J1071" t="s">
        <v>36</v>
      </c>
      <c r="K1071" t="s">
        <v>113</v>
      </c>
      <c r="L1071">
        <f t="shared" si="308"/>
        <v>0</v>
      </c>
      <c r="M1071">
        <f t="shared" si="309"/>
        <v>0</v>
      </c>
      <c r="N1071">
        <f t="shared" si="310"/>
        <v>1</v>
      </c>
      <c r="O1071" t="s">
        <v>1137</v>
      </c>
      <c r="P1071">
        <f t="shared" si="311"/>
        <v>0</v>
      </c>
      <c r="Q1071">
        <f t="shared" si="312"/>
        <v>0</v>
      </c>
      <c r="R1071">
        <f t="shared" si="313"/>
        <v>0</v>
      </c>
      <c r="S1071">
        <f t="shared" si="314"/>
        <v>0</v>
      </c>
      <c r="T1071">
        <f t="shared" si="315"/>
        <v>0</v>
      </c>
      <c r="U1071">
        <f t="shared" si="316"/>
        <v>0</v>
      </c>
      <c r="V1071">
        <f t="shared" si="317"/>
        <v>0</v>
      </c>
      <c r="W1071" t="s">
        <v>39</v>
      </c>
      <c r="X1071">
        <f t="shared" si="318"/>
        <v>1</v>
      </c>
      <c r="Y1071">
        <f t="shared" si="319"/>
        <v>0</v>
      </c>
      <c r="Z1071">
        <v>5</v>
      </c>
      <c r="AA1071">
        <f t="shared" si="320"/>
        <v>1</v>
      </c>
      <c r="AB1071" t="s">
        <v>46</v>
      </c>
      <c r="AC1071">
        <f t="shared" si="321"/>
        <v>1</v>
      </c>
      <c r="AD1071">
        <f t="shared" si="322"/>
        <v>0</v>
      </c>
      <c r="AE1071" t="s">
        <v>50</v>
      </c>
      <c r="AF1071">
        <f>IF(AE1071="website",1,0)</f>
        <v>0</v>
      </c>
    </row>
    <row r="1072" spans="1:32">
      <c r="A1072" t="s">
        <v>1718</v>
      </c>
      <c r="B1072" t="s">
        <v>33</v>
      </c>
      <c r="C1072" s="3">
        <f t="shared" si="304"/>
        <v>0</v>
      </c>
      <c r="D1072">
        <f t="shared" si="305"/>
        <v>1</v>
      </c>
      <c r="E1072" t="s">
        <v>780</v>
      </c>
      <c r="F1072" t="s">
        <v>616</v>
      </c>
      <c r="G1072" s="1">
        <v>24330</v>
      </c>
      <c r="H1072" s="2">
        <f t="shared" ca="1" si="306"/>
        <v>60</v>
      </c>
      <c r="I1072" s="2">
        <f t="shared" ca="1" si="307"/>
        <v>0.5</v>
      </c>
      <c r="J1072" t="s">
        <v>45</v>
      </c>
      <c r="K1072" t="s">
        <v>37</v>
      </c>
      <c r="L1072">
        <f t="shared" si="308"/>
        <v>1</v>
      </c>
      <c r="M1072">
        <f t="shared" si="309"/>
        <v>0</v>
      </c>
      <c r="N1072">
        <f t="shared" si="310"/>
        <v>0</v>
      </c>
      <c r="O1072" t="s">
        <v>592</v>
      </c>
      <c r="P1072">
        <f t="shared" si="311"/>
        <v>0</v>
      </c>
      <c r="Q1072">
        <f t="shared" si="312"/>
        <v>0</v>
      </c>
      <c r="R1072">
        <f t="shared" si="313"/>
        <v>0</v>
      </c>
      <c r="S1072">
        <f t="shared" si="314"/>
        <v>0</v>
      </c>
      <c r="T1072">
        <f t="shared" si="315"/>
        <v>0</v>
      </c>
      <c r="U1072">
        <f t="shared" si="316"/>
        <v>0</v>
      </c>
      <c r="V1072">
        <f t="shared" si="317"/>
        <v>0</v>
      </c>
      <c r="W1072" t="s">
        <v>39</v>
      </c>
      <c r="X1072">
        <f t="shared" si="318"/>
        <v>1</v>
      </c>
      <c r="Y1072">
        <f t="shared" si="319"/>
        <v>0</v>
      </c>
      <c r="Z1072">
        <v>2</v>
      </c>
      <c r="AA1072">
        <f t="shared" si="320"/>
        <v>0.25</v>
      </c>
      <c r="AB1072" t="s">
        <v>46</v>
      </c>
      <c r="AC1072">
        <f t="shared" si="321"/>
        <v>1</v>
      </c>
      <c r="AD1072">
        <f t="shared" si="322"/>
        <v>0</v>
      </c>
      <c r="AE1072" t="s">
        <v>50</v>
      </c>
      <c r="AF1072">
        <f>IF(AE1072="website",1,0)</f>
        <v>0</v>
      </c>
    </row>
    <row r="1073" spans="1:32">
      <c r="A1073" t="s">
        <v>1719</v>
      </c>
      <c r="B1073" t="s">
        <v>33</v>
      </c>
      <c r="C1073" s="3">
        <f t="shared" si="304"/>
        <v>0</v>
      </c>
      <c r="D1073">
        <f t="shared" si="305"/>
        <v>1</v>
      </c>
      <c r="E1073" t="s">
        <v>924</v>
      </c>
      <c r="F1073" t="s">
        <v>562</v>
      </c>
      <c r="G1073" s="1">
        <v>22807</v>
      </c>
      <c r="H1073" s="2">
        <f t="shared" ca="1" si="306"/>
        <v>64</v>
      </c>
      <c r="I1073" s="2">
        <f t="shared" ca="1" si="307"/>
        <v>0.55714285714285716</v>
      </c>
      <c r="J1073" t="s">
        <v>36</v>
      </c>
      <c r="K1073" t="s">
        <v>37</v>
      </c>
      <c r="L1073">
        <f t="shared" si="308"/>
        <v>1</v>
      </c>
      <c r="M1073">
        <f t="shared" si="309"/>
        <v>0</v>
      </c>
      <c r="N1073">
        <f t="shared" si="310"/>
        <v>0</v>
      </c>
      <c r="O1073" t="s">
        <v>183</v>
      </c>
      <c r="P1073">
        <f t="shared" si="311"/>
        <v>0</v>
      </c>
      <c r="Q1073">
        <f t="shared" si="312"/>
        <v>0</v>
      </c>
      <c r="R1073">
        <f t="shared" si="313"/>
        <v>0</v>
      </c>
      <c r="S1073">
        <f t="shared" si="314"/>
        <v>0</v>
      </c>
      <c r="T1073">
        <f t="shared" si="315"/>
        <v>0</v>
      </c>
      <c r="U1073">
        <f t="shared" si="316"/>
        <v>0</v>
      </c>
      <c r="V1073">
        <f t="shared" si="317"/>
        <v>0</v>
      </c>
      <c r="W1073" t="s">
        <v>39</v>
      </c>
      <c r="X1073">
        <f t="shared" si="318"/>
        <v>1</v>
      </c>
      <c r="Y1073">
        <f t="shared" si="319"/>
        <v>0</v>
      </c>
      <c r="Z1073">
        <v>3</v>
      </c>
      <c r="AA1073">
        <f t="shared" si="320"/>
        <v>0.5</v>
      </c>
      <c r="AB1073" t="s">
        <v>46</v>
      </c>
      <c r="AC1073">
        <f t="shared" si="321"/>
        <v>1</v>
      </c>
      <c r="AD1073">
        <f t="shared" si="322"/>
        <v>0</v>
      </c>
      <c r="AE1073" t="s">
        <v>50</v>
      </c>
      <c r="AF1073">
        <f>IF(AE1073="website",1,0)</f>
        <v>0</v>
      </c>
    </row>
    <row r="1074" spans="1:32">
      <c r="A1074" t="s">
        <v>1720</v>
      </c>
      <c r="B1074" t="s">
        <v>33</v>
      </c>
      <c r="C1074" s="3">
        <f t="shared" si="304"/>
        <v>0</v>
      </c>
      <c r="D1074">
        <f t="shared" si="305"/>
        <v>1</v>
      </c>
      <c r="E1074" t="s">
        <v>744</v>
      </c>
      <c r="F1074" t="s">
        <v>745</v>
      </c>
      <c r="G1074" s="1">
        <v>20272</v>
      </c>
      <c r="H1074" s="2">
        <f t="shared" ca="1" si="306"/>
        <v>71</v>
      </c>
      <c r="I1074" s="2">
        <f t="shared" ca="1" si="307"/>
        <v>0.65714285714285714</v>
      </c>
      <c r="J1074" t="s">
        <v>45</v>
      </c>
      <c r="K1074" t="s">
        <v>37</v>
      </c>
      <c r="L1074">
        <f t="shared" si="308"/>
        <v>1</v>
      </c>
      <c r="M1074">
        <f t="shared" si="309"/>
        <v>0</v>
      </c>
      <c r="N1074">
        <f t="shared" si="310"/>
        <v>0</v>
      </c>
      <c r="O1074" t="s">
        <v>38</v>
      </c>
      <c r="P1074">
        <f t="shared" si="311"/>
        <v>1</v>
      </c>
      <c r="Q1074">
        <f t="shared" si="312"/>
        <v>0</v>
      </c>
      <c r="R1074">
        <f t="shared" si="313"/>
        <v>0</v>
      </c>
      <c r="S1074">
        <f t="shared" si="314"/>
        <v>0</v>
      </c>
      <c r="T1074">
        <f t="shared" si="315"/>
        <v>0</v>
      </c>
      <c r="U1074">
        <f t="shared" si="316"/>
        <v>0</v>
      </c>
      <c r="V1074">
        <f t="shared" si="317"/>
        <v>0</v>
      </c>
      <c r="W1074" t="s">
        <v>58</v>
      </c>
      <c r="X1074">
        <f t="shared" si="318"/>
        <v>0</v>
      </c>
      <c r="Y1074">
        <f t="shared" si="319"/>
        <v>1</v>
      </c>
      <c r="Z1074">
        <v>2</v>
      </c>
      <c r="AA1074">
        <f t="shared" si="320"/>
        <v>0.25</v>
      </c>
      <c r="AB1074" t="s">
        <v>46</v>
      </c>
      <c r="AC1074">
        <f t="shared" si="321"/>
        <v>0</v>
      </c>
      <c r="AD1074">
        <f t="shared" si="322"/>
        <v>0</v>
      </c>
      <c r="AE1074" t="s">
        <v>41</v>
      </c>
      <c r="AF1074">
        <f>IF(AE1074="website",1,0)</f>
        <v>1</v>
      </c>
    </row>
    <row r="1075" spans="1:32">
      <c r="A1075" t="s">
        <v>1721</v>
      </c>
      <c r="B1075" t="s">
        <v>33</v>
      </c>
      <c r="C1075" s="3">
        <f t="shared" si="304"/>
        <v>0</v>
      </c>
      <c r="D1075">
        <f t="shared" si="305"/>
        <v>1</v>
      </c>
      <c r="E1075" t="s">
        <v>936</v>
      </c>
      <c r="F1075" t="s">
        <v>674</v>
      </c>
      <c r="G1075" s="1">
        <v>19915</v>
      </c>
      <c r="H1075" s="2">
        <f t="shared" ca="1" si="306"/>
        <v>72</v>
      </c>
      <c r="I1075" s="2">
        <f t="shared" ca="1" si="307"/>
        <v>0.67142857142857137</v>
      </c>
      <c r="J1075" t="s">
        <v>45</v>
      </c>
      <c r="K1075" t="s">
        <v>248</v>
      </c>
      <c r="L1075">
        <f t="shared" si="308"/>
        <v>0</v>
      </c>
      <c r="M1075">
        <f t="shared" si="309"/>
        <v>0</v>
      </c>
      <c r="N1075">
        <f t="shared" si="310"/>
        <v>0</v>
      </c>
      <c r="O1075" t="s">
        <v>249</v>
      </c>
      <c r="P1075">
        <f t="shared" si="311"/>
        <v>0</v>
      </c>
      <c r="Q1075">
        <f t="shared" si="312"/>
        <v>0</v>
      </c>
      <c r="R1075">
        <f t="shared" si="313"/>
        <v>0</v>
      </c>
      <c r="S1075">
        <f t="shared" si="314"/>
        <v>0</v>
      </c>
      <c r="T1075">
        <f t="shared" si="315"/>
        <v>0</v>
      </c>
      <c r="U1075">
        <f t="shared" si="316"/>
        <v>0</v>
      </c>
      <c r="V1075">
        <f t="shared" si="317"/>
        <v>0</v>
      </c>
      <c r="W1075" t="s">
        <v>39</v>
      </c>
      <c r="X1075">
        <f t="shared" si="318"/>
        <v>1</v>
      </c>
      <c r="Y1075">
        <f t="shared" si="319"/>
        <v>0</v>
      </c>
      <c r="Z1075">
        <v>1</v>
      </c>
      <c r="AA1075">
        <f t="shared" si="320"/>
        <v>0</v>
      </c>
      <c r="AB1075" t="s">
        <v>46</v>
      </c>
      <c r="AC1075">
        <f t="shared" si="321"/>
        <v>0</v>
      </c>
      <c r="AD1075">
        <f t="shared" si="322"/>
        <v>0</v>
      </c>
      <c r="AE1075" t="s">
        <v>41</v>
      </c>
      <c r="AF1075">
        <f>IF(AE1075="website",1,0)</f>
        <v>1</v>
      </c>
    </row>
    <row r="1076" spans="1:32">
      <c r="A1076" t="s">
        <v>1722</v>
      </c>
      <c r="B1076" t="s">
        <v>33</v>
      </c>
      <c r="C1076" s="3">
        <f t="shared" si="304"/>
        <v>0</v>
      </c>
      <c r="D1076">
        <f t="shared" si="305"/>
        <v>1</v>
      </c>
      <c r="E1076" t="s">
        <v>551</v>
      </c>
      <c r="F1076" t="s">
        <v>825</v>
      </c>
      <c r="G1076" s="1">
        <v>27442</v>
      </c>
      <c r="H1076" s="2">
        <f t="shared" ca="1" si="306"/>
        <v>51</v>
      </c>
      <c r="I1076" s="2">
        <f t="shared" ca="1" si="307"/>
        <v>0.37142857142857144</v>
      </c>
      <c r="J1076" t="s">
        <v>36</v>
      </c>
      <c r="K1076" t="s">
        <v>158</v>
      </c>
      <c r="L1076">
        <f t="shared" si="308"/>
        <v>0</v>
      </c>
      <c r="M1076">
        <f t="shared" si="309"/>
        <v>0</v>
      </c>
      <c r="N1076">
        <f t="shared" si="310"/>
        <v>0</v>
      </c>
      <c r="O1076" t="s">
        <v>867</v>
      </c>
      <c r="P1076">
        <f t="shared" si="311"/>
        <v>0</v>
      </c>
      <c r="Q1076">
        <f t="shared" si="312"/>
        <v>0</v>
      </c>
      <c r="R1076">
        <f t="shared" si="313"/>
        <v>0</v>
      </c>
      <c r="S1076">
        <f t="shared" si="314"/>
        <v>0</v>
      </c>
      <c r="T1076">
        <f t="shared" si="315"/>
        <v>0</v>
      </c>
      <c r="U1076">
        <f t="shared" si="316"/>
        <v>0</v>
      </c>
      <c r="V1076">
        <f t="shared" si="317"/>
        <v>0</v>
      </c>
      <c r="W1076" t="s">
        <v>39</v>
      </c>
      <c r="X1076">
        <f t="shared" si="318"/>
        <v>1</v>
      </c>
      <c r="Y1076">
        <f t="shared" si="319"/>
        <v>0</v>
      </c>
      <c r="Z1076">
        <v>3</v>
      </c>
      <c r="AA1076">
        <f t="shared" si="320"/>
        <v>0.5</v>
      </c>
      <c r="AB1076" t="s">
        <v>46</v>
      </c>
      <c r="AC1076">
        <f t="shared" si="321"/>
        <v>0</v>
      </c>
      <c r="AD1076">
        <f t="shared" si="322"/>
        <v>0</v>
      </c>
      <c r="AE1076" t="s">
        <v>41</v>
      </c>
      <c r="AF1076">
        <f>IF(AE1076="website",1,0)</f>
        <v>1</v>
      </c>
    </row>
    <row r="1077" spans="1:32">
      <c r="A1077" t="s">
        <v>1723</v>
      </c>
      <c r="B1077" t="s">
        <v>33</v>
      </c>
      <c r="C1077" s="3">
        <f t="shared" si="304"/>
        <v>0</v>
      </c>
      <c r="D1077">
        <f t="shared" si="305"/>
        <v>1</v>
      </c>
      <c r="E1077" t="s">
        <v>755</v>
      </c>
      <c r="F1077" t="s">
        <v>798</v>
      </c>
      <c r="G1077" s="1">
        <v>29522</v>
      </c>
      <c r="H1077" s="2">
        <f t="shared" ca="1" si="306"/>
        <v>45</v>
      </c>
      <c r="I1077" s="2">
        <f t="shared" ca="1" si="307"/>
        <v>0.2857142857142857</v>
      </c>
      <c r="J1077" t="s">
        <v>36</v>
      </c>
      <c r="K1077" t="s">
        <v>37</v>
      </c>
      <c r="L1077">
        <f t="shared" si="308"/>
        <v>1</v>
      </c>
      <c r="M1077">
        <f t="shared" si="309"/>
        <v>0</v>
      </c>
      <c r="N1077">
        <f t="shared" si="310"/>
        <v>0</v>
      </c>
      <c r="O1077" t="s">
        <v>600</v>
      </c>
      <c r="P1077">
        <f t="shared" si="311"/>
        <v>0</v>
      </c>
      <c r="Q1077">
        <f t="shared" si="312"/>
        <v>0</v>
      </c>
      <c r="R1077">
        <f t="shared" si="313"/>
        <v>0</v>
      </c>
      <c r="S1077">
        <f t="shared" si="314"/>
        <v>0</v>
      </c>
      <c r="T1077">
        <f t="shared" si="315"/>
        <v>0</v>
      </c>
      <c r="U1077">
        <f t="shared" si="316"/>
        <v>0</v>
      </c>
      <c r="V1077">
        <f t="shared" si="317"/>
        <v>0</v>
      </c>
      <c r="W1077" t="s">
        <v>58</v>
      </c>
      <c r="X1077">
        <f t="shared" si="318"/>
        <v>0</v>
      </c>
      <c r="Y1077">
        <f t="shared" si="319"/>
        <v>1</v>
      </c>
      <c r="Z1077">
        <v>3</v>
      </c>
      <c r="AA1077">
        <f t="shared" si="320"/>
        <v>0.5</v>
      </c>
      <c r="AB1077" t="s">
        <v>46</v>
      </c>
      <c r="AC1077">
        <f t="shared" si="321"/>
        <v>1</v>
      </c>
      <c r="AD1077">
        <f t="shared" si="322"/>
        <v>0</v>
      </c>
      <c r="AE1077" t="s">
        <v>50</v>
      </c>
      <c r="AF1077">
        <f>IF(AE1077="website",1,0)</f>
        <v>0</v>
      </c>
    </row>
    <row r="1078" spans="1:32">
      <c r="A1078" t="s">
        <v>1724</v>
      </c>
      <c r="B1078" t="s">
        <v>33</v>
      </c>
      <c r="C1078" s="3">
        <f t="shared" si="304"/>
        <v>0</v>
      </c>
      <c r="D1078">
        <f t="shared" si="305"/>
        <v>1</v>
      </c>
      <c r="E1078" t="s">
        <v>598</v>
      </c>
      <c r="F1078" t="s">
        <v>928</v>
      </c>
      <c r="G1078" s="1">
        <v>30017</v>
      </c>
      <c r="H1078" s="2">
        <f t="shared" ca="1" si="306"/>
        <v>44</v>
      </c>
      <c r="I1078" s="2">
        <f t="shared" ca="1" si="307"/>
        <v>0.27142857142857141</v>
      </c>
      <c r="J1078" t="s">
        <v>45</v>
      </c>
      <c r="K1078" t="s">
        <v>37</v>
      </c>
      <c r="L1078">
        <f t="shared" si="308"/>
        <v>1</v>
      </c>
      <c r="M1078">
        <f t="shared" si="309"/>
        <v>0</v>
      </c>
      <c r="N1078">
        <f t="shared" si="310"/>
        <v>0</v>
      </c>
      <c r="O1078" t="s">
        <v>592</v>
      </c>
      <c r="P1078">
        <f t="shared" si="311"/>
        <v>0</v>
      </c>
      <c r="Q1078">
        <f t="shared" si="312"/>
        <v>0</v>
      </c>
      <c r="R1078">
        <f t="shared" si="313"/>
        <v>0</v>
      </c>
      <c r="S1078">
        <f t="shared" si="314"/>
        <v>0</v>
      </c>
      <c r="T1078">
        <f t="shared" si="315"/>
        <v>0</v>
      </c>
      <c r="U1078">
        <f t="shared" si="316"/>
        <v>0</v>
      </c>
      <c r="V1078">
        <f t="shared" si="317"/>
        <v>0</v>
      </c>
      <c r="W1078" t="s">
        <v>58</v>
      </c>
      <c r="X1078">
        <f t="shared" si="318"/>
        <v>0</v>
      </c>
      <c r="Y1078">
        <f t="shared" si="319"/>
        <v>1</v>
      </c>
      <c r="Z1078">
        <v>2</v>
      </c>
      <c r="AA1078">
        <f t="shared" si="320"/>
        <v>0.25</v>
      </c>
      <c r="AB1078" t="s">
        <v>46</v>
      </c>
      <c r="AC1078">
        <f t="shared" si="321"/>
        <v>1</v>
      </c>
      <c r="AD1078">
        <f t="shared" si="322"/>
        <v>0</v>
      </c>
      <c r="AE1078" t="s">
        <v>50</v>
      </c>
      <c r="AF1078">
        <f>IF(AE1078="website",1,0)</f>
        <v>0</v>
      </c>
    </row>
    <row r="1079" spans="1:32">
      <c r="A1079" t="s">
        <v>1725</v>
      </c>
      <c r="B1079" t="s">
        <v>33</v>
      </c>
      <c r="C1079" s="3">
        <f t="shared" si="304"/>
        <v>0</v>
      </c>
      <c r="D1079">
        <f t="shared" si="305"/>
        <v>1</v>
      </c>
      <c r="E1079" t="s">
        <v>910</v>
      </c>
      <c r="F1079" t="s">
        <v>339</v>
      </c>
      <c r="G1079" s="1">
        <v>14814</v>
      </c>
      <c r="H1079" s="2">
        <f t="shared" ca="1" si="306"/>
        <v>86</v>
      </c>
      <c r="I1079" s="2">
        <f t="shared" ca="1" si="307"/>
        <v>0.87142857142857144</v>
      </c>
      <c r="J1079" t="s">
        <v>45</v>
      </c>
      <c r="K1079" t="s">
        <v>37</v>
      </c>
      <c r="L1079">
        <f t="shared" si="308"/>
        <v>1</v>
      </c>
      <c r="M1079">
        <f t="shared" si="309"/>
        <v>0</v>
      </c>
      <c r="N1079">
        <f t="shared" si="310"/>
        <v>0</v>
      </c>
      <c r="O1079" t="s">
        <v>559</v>
      </c>
      <c r="P1079">
        <f t="shared" si="311"/>
        <v>0</v>
      </c>
      <c r="Q1079">
        <f t="shared" si="312"/>
        <v>0</v>
      </c>
      <c r="R1079">
        <f t="shared" si="313"/>
        <v>0</v>
      </c>
      <c r="S1079">
        <f t="shared" si="314"/>
        <v>0</v>
      </c>
      <c r="T1079">
        <f t="shared" si="315"/>
        <v>0</v>
      </c>
      <c r="U1079">
        <f t="shared" si="316"/>
        <v>0</v>
      </c>
      <c r="V1079">
        <f t="shared" si="317"/>
        <v>0</v>
      </c>
      <c r="W1079" t="s">
        <v>39</v>
      </c>
      <c r="X1079">
        <f t="shared" si="318"/>
        <v>1</v>
      </c>
      <c r="Y1079">
        <f t="shared" si="319"/>
        <v>0</v>
      </c>
      <c r="Z1079">
        <v>1</v>
      </c>
      <c r="AA1079">
        <f t="shared" si="320"/>
        <v>0</v>
      </c>
      <c r="AB1079" t="s">
        <v>46</v>
      </c>
      <c r="AC1079">
        <f t="shared" si="321"/>
        <v>1</v>
      </c>
      <c r="AD1079">
        <f t="shared" si="322"/>
        <v>0</v>
      </c>
      <c r="AE1079" t="s">
        <v>50</v>
      </c>
      <c r="AF1079">
        <f>IF(AE1079="website",1,0)</f>
        <v>0</v>
      </c>
    </row>
    <row r="1080" spans="1:32">
      <c r="A1080" t="s">
        <v>1726</v>
      </c>
      <c r="B1080" t="s">
        <v>33</v>
      </c>
      <c r="C1080" s="3">
        <f t="shared" si="304"/>
        <v>0</v>
      </c>
      <c r="D1080">
        <f t="shared" si="305"/>
        <v>1</v>
      </c>
      <c r="E1080" t="s">
        <v>972</v>
      </c>
      <c r="F1080" t="s">
        <v>823</v>
      </c>
      <c r="G1080" s="1">
        <v>21720</v>
      </c>
      <c r="H1080" s="2">
        <f t="shared" ca="1" si="306"/>
        <v>67</v>
      </c>
      <c r="I1080" s="2">
        <f t="shared" ca="1" si="307"/>
        <v>0.6</v>
      </c>
      <c r="J1080" t="s">
        <v>45</v>
      </c>
      <c r="K1080" t="s">
        <v>37</v>
      </c>
      <c r="L1080">
        <f t="shared" si="308"/>
        <v>1</v>
      </c>
      <c r="M1080">
        <f t="shared" si="309"/>
        <v>0</v>
      </c>
      <c r="N1080">
        <f t="shared" si="310"/>
        <v>0</v>
      </c>
      <c r="O1080" t="s">
        <v>38</v>
      </c>
      <c r="P1080">
        <f t="shared" si="311"/>
        <v>1</v>
      </c>
      <c r="Q1080">
        <f t="shared" si="312"/>
        <v>0</v>
      </c>
      <c r="R1080">
        <f t="shared" si="313"/>
        <v>0</v>
      </c>
      <c r="S1080">
        <f t="shared" si="314"/>
        <v>0</v>
      </c>
      <c r="T1080">
        <f t="shared" si="315"/>
        <v>0</v>
      </c>
      <c r="U1080">
        <f t="shared" si="316"/>
        <v>0</v>
      </c>
      <c r="V1080">
        <f t="shared" si="317"/>
        <v>0</v>
      </c>
      <c r="W1080" t="s">
        <v>58</v>
      </c>
      <c r="X1080">
        <f t="shared" si="318"/>
        <v>0</v>
      </c>
      <c r="Y1080">
        <f t="shared" si="319"/>
        <v>1</v>
      </c>
      <c r="Z1080">
        <v>4</v>
      </c>
      <c r="AA1080">
        <f t="shared" si="320"/>
        <v>0.75</v>
      </c>
      <c r="AB1080" t="s">
        <v>40</v>
      </c>
      <c r="AC1080">
        <f t="shared" si="321"/>
        <v>0</v>
      </c>
      <c r="AD1080">
        <f t="shared" si="322"/>
        <v>0</v>
      </c>
      <c r="AE1080" t="s">
        <v>41</v>
      </c>
      <c r="AF1080">
        <f>IF(AE1080="website",1,0)</f>
        <v>1</v>
      </c>
    </row>
    <row r="1081" spans="1:32">
      <c r="A1081" t="s">
        <v>1727</v>
      </c>
      <c r="B1081" t="s">
        <v>33</v>
      </c>
      <c r="C1081" s="3">
        <f t="shared" si="304"/>
        <v>0</v>
      </c>
      <c r="D1081">
        <f t="shared" si="305"/>
        <v>1</v>
      </c>
      <c r="E1081" t="s">
        <v>578</v>
      </c>
      <c r="F1081" t="s">
        <v>372</v>
      </c>
      <c r="G1081" s="1">
        <v>20734</v>
      </c>
      <c r="H1081" s="2">
        <f t="shared" ca="1" si="306"/>
        <v>69</v>
      </c>
      <c r="I1081" s="2">
        <f t="shared" ca="1" si="307"/>
        <v>0.62857142857142856</v>
      </c>
      <c r="J1081" t="s">
        <v>36</v>
      </c>
      <c r="K1081" t="s">
        <v>248</v>
      </c>
      <c r="L1081">
        <f t="shared" si="308"/>
        <v>0</v>
      </c>
      <c r="M1081">
        <f t="shared" si="309"/>
        <v>0</v>
      </c>
      <c r="N1081">
        <f t="shared" si="310"/>
        <v>0</v>
      </c>
      <c r="O1081" t="s">
        <v>582</v>
      </c>
      <c r="P1081">
        <f t="shared" si="311"/>
        <v>0</v>
      </c>
      <c r="Q1081">
        <f t="shared" si="312"/>
        <v>0</v>
      </c>
      <c r="R1081">
        <f t="shared" si="313"/>
        <v>0</v>
      </c>
      <c r="S1081">
        <f t="shared" si="314"/>
        <v>0</v>
      </c>
      <c r="T1081">
        <f t="shared" si="315"/>
        <v>0</v>
      </c>
      <c r="U1081">
        <f t="shared" si="316"/>
        <v>0</v>
      </c>
      <c r="V1081">
        <f t="shared" si="317"/>
        <v>0</v>
      </c>
      <c r="W1081" t="s">
        <v>58</v>
      </c>
      <c r="X1081">
        <f t="shared" si="318"/>
        <v>0</v>
      </c>
      <c r="Y1081">
        <f t="shared" si="319"/>
        <v>1</v>
      </c>
      <c r="Z1081">
        <v>4</v>
      </c>
      <c r="AA1081">
        <f t="shared" si="320"/>
        <v>0.75</v>
      </c>
      <c r="AB1081" t="s">
        <v>46</v>
      </c>
      <c r="AC1081">
        <f t="shared" si="321"/>
        <v>1</v>
      </c>
      <c r="AD1081">
        <f t="shared" si="322"/>
        <v>0</v>
      </c>
      <c r="AE1081" t="s">
        <v>50</v>
      </c>
      <c r="AF1081">
        <f>IF(AE1081="website",1,0)</f>
        <v>0</v>
      </c>
    </row>
    <row r="1082" spans="1:32">
      <c r="A1082" t="s">
        <v>1728</v>
      </c>
      <c r="B1082" t="s">
        <v>55</v>
      </c>
      <c r="C1082" s="3">
        <f t="shared" si="304"/>
        <v>1</v>
      </c>
      <c r="D1082">
        <f t="shared" si="305"/>
        <v>0</v>
      </c>
      <c r="E1082" t="s">
        <v>1413</v>
      </c>
      <c r="F1082" t="s">
        <v>57</v>
      </c>
      <c r="G1082" s="1">
        <v>27280</v>
      </c>
      <c r="H1082" s="2">
        <f t="shared" ca="1" si="306"/>
        <v>52</v>
      </c>
      <c r="I1082" s="2">
        <f t="shared" ca="1" si="307"/>
        <v>0.38571428571428573</v>
      </c>
      <c r="J1082" t="s">
        <v>45</v>
      </c>
      <c r="K1082" t="s">
        <v>172</v>
      </c>
      <c r="L1082">
        <f t="shared" si="308"/>
        <v>0</v>
      </c>
      <c r="M1082">
        <f t="shared" si="309"/>
        <v>0</v>
      </c>
      <c r="N1082">
        <f t="shared" si="310"/>
        <v>0</v>
      </c>
      <c r="O1082" t="s">
        <v>459</v>
      </c>
      <c r="P1082">
        <f t="shared" si="311"/>
        <v>0</v>
      </c>
      <c r="Q1082">
        <f t="shared" si="312"/>
        <v>0</v>
      </c>
      <c r="R1082">
        <f t="shared" si="313"/>
        <v>0</v>
      </c>
      <c r="S1082">
        <f t="shared" si="314"/>
        <v>0</v>
      </c>
      <c r="T1082">
        <f t="shared" si="315"/>
        <v>0</v>
      </c>
      <c r="U1082">
        <f t="shared" si="316"/>
        <v>0</v>
      </c>
      <c r="V1082">
        <f t="shared" si="317"/>
        <v>0</v>
      </c>
      <c r="W1082" t="s">
        <v>39</v>
      </c>
      <c r="X1082">
        <f t="shared" si="318"/>
        <v>1</v>
      </c>
      <c r="Y1082">
        <f t="shared" si="319"/>
        <v>0</v>
      </c>
      <c r="Z1082">
        <v>4</v>
      </c>
      <c r="AA1082">
        <f t="shared" si="320"/>
        <v>0.75</v>
      </c>
      <c r="AB1082" t="s">
        <v>40</v>
      </c>
      <c r="AC1082">
        <f t="shared" si="321"/>
        <v>1</v>
      </c>
      <c r="AD1082">
        <f t="shared" si="322"/>
        <v>0</v>
      </c>
      <c r="AE1082" t="s">
        <v>50</v>
      </c>
      <c r="AF1082">
        <f>IF(AE1082="website",1,0)</f>
        <v>0</v>
      </c>
    </row>
    <row r="1083" spans="1:32">
      <c r="A1083" t="s">
        <v>1729</v>
      </c>
      <c r="B1083" t="s">
        <v>33</v>
      </c>
      <c r="C1083" s="3">
        <f t="shared" si="304"/>
        <v>0</v>
      </c>
      <c r="D1083">
        <f t="shared" si="305"/>
        <v>1</v>
      </c>
      <c r="E1083" t="s">
        <v>1043</v>
      </c>
      <c r="F1083" t="s">
        <v>610</v>
      </c>
      <c r="G1083" s="1">
        <v>34004</v>
      </c>
      <c r="H1083" s="2">
        <f t="shared" ca="1" si="306"/>
        <v>33</v>
      </c>
      <c r="I1083" s="2">
        <f t="shared" ca="1" si="307"/>
        <v>0.11428571428571428</v>
      </c>
      <c r="J1083" t="s">
        <v>36</v>
      </c>
      <c r="K1083" t="s">
        <v>37</v>
      </c>
      <c r="L1083">
        <f t="shared" si="308"/>
        <v>1</v>
      </c>
      <c r="M1083">
        <f t="shared" si="309"/>
        <v>0</v>
      </c>
      <c r="N1083">
        <f t="shared" si="310"/>
        <v>0</v>
      </c>
      <c r="O1083" t="s">
        <v>76</v>
      </c>
      <c r="P1083">
        <f t="shared" si="311"/>
        <v>0</v>
      </c>
      <c r="Q1083">
        <f t="shared" si="312"/>
        <v>1</v>
      </c>
      <c r="R1083">
        <f t="shared" si="313"/>
        <v>0</v>
      </c>
      <c r="S1083">
        <f t="shared" si="314"/>
        <v>0</v>
      </c>
      <c r="T1083">
        <f t="shared" si="315"/>
        <v>0</v>
      </c>
      <c r="U1083">
        <f t="shared" si="316"/>
        <v>0</v>
      </c>
      <c r="V1083">
        <f t="shared" si="317"/>
        <v>0</v>
      </c>
      <c r="W1083" t="s">
        <v>58</v>
      </c>
      <c r="X1083">
        <f t="shared" si="318"/>
        <v>0</v>
      </c>
      <c r="Y1083">
        <f t="shared" si="319"/>
        <v>1</v>
      </c>
      <c r="Z1083">
        <v>5</v>
      </c>
      <c r="AA1083">
        <f t="shared" si="320"/>
        <v>1</v>
      </c>
      <c r="AB1083" t="s">
        <v>40</v>
      </c>
      <c r="AC1083">
        <f t="shared" si="321"/>
        <v>0</v>
      </c>
      <c r="AD1083">
        <f t="shared" si="322"/>
        <v>0</v>
      </c>
      <c r="AE1083" t="s">
        <v>41</v>
      </c>
      <c r="AF1083">
        <f>IF(AE1083="website",1,0)</f>
        <v>1</v>
      </c>
    </row>
    <row r="1084" spans="1:32">
      <c r="A1084" t="s">
        <v>1730</v>
      </c>
      <c r="B1084" t="s">
        <v>33</v>
      </c>
      <c r="C1084" s="3">
        <f t="shared" si="304"/>
        <v>0</v>
      </c>
      <c r="D1084">
        <f t="shared" si="305"/>
        <v>1</v>
      </c>
      <c r="E1084" t="s">
        <v>556</v>
      </c>
      <c r="F1084" t="s">
        <v>911</v>
      </c>
      <c r="G1084" s="1">
        <v>18542</v>
      </c>
      <c r="H1084" s="2">
        <f t="shared" ca="1" si="306"/>
        <v>75</v>
      </c>
      <c r="I1084" s="2">
        <f t="shared" ca="1" si="307"/>
        <v>0.7142857142857143</v>
      </c>
      <c r="J1084" t="s">
        <v>36</v>
      </c>
      <c r="K1084" t="s">
        <v>37</v>
      </c>
      <c r="L1084">
        <f t="shared" si="308"/>
        <v>1</v>
      </c>
      <c r="M1084">
        <f t="shared" si="309"/>
        <v>0</v>
      </c>
      <c r="N1084">
        <f t="shared" si="310"/>
        <v>0</v>
      </c>
      <c r="O1084" t="s">
        <v>137</v>
      </c>
      <c r="P1084">
        <f t="shared" si="311"/>
        <v>0</v>
      </c>
      <c r="Q1084">
        <f t="shared" si="312"/>
        <v>0</v>
      </c>
      <c r="R1084">
        <f t="shared" si="313"/>
        <v>0</v>
      </c>
      <c r="S1084">
        <f t="shared" si="314"/>
        <v>0</v>
      </c>
      <c r="T1084">
        <f t="shared" si="315"/>
        <v>0</v>
      </c>
      <c r="U1084">
        <f t="shared" si="316"/>
        <v>0</v>
      </c>
      <c r="V1084">
        <f t="shared" si="317"/>
        <v>0</v>
      </c>
      <c r="W1084" t="s">
        <v>58</v>
      </c>
      <c r="X1084">
        <f t="shared" si="318"/>
        <v>0</v>
      </c>
      <c r="Y1084">
        <f t="shared" si="319"/>
        <v>1</v>
      </c>
      <c r="Z1084">
        <v>4</v>
      </c>
      <c r="AA1084">
        <f t="shared" si="320"/>
        <v>0.75</v>
      </c>
      <c r="AB1084" t="s">
        <v>46</v>
      </c>
      <c r="AC1084">
        <f t="shared" si="321"/>
        <v>1</v>
      </c>
      <c r="AD1084">
        <f t="shared" si="322"/>
        <v>0</v>
      </c>
      <c r="AE1084" t="s">
        <v>50</v>
      </c>
      <c r="AF1084">
        <f>IF(AE1084="website",1,0)</f>
        <v>0</v>
      </c>
    </row>
    <row r="1085" spans="1:32">
      <c r="A1085" t="s">
        <v>1731</v>
      </c>
      <c r="B1085" t="s">
        <v>33</v>
      </c>
      <c r="C1085" s="3">
        <f t="shared" si="304"/>
        <v>0</v>
      </c>
      <c r="D1085">
        <f t="shared" si="305"/>
        <v>1</v>
      </c>
      <c r="E1085" t="s">
        <v>581</v>
      </c>
      <c r="F1085" t="s">
        <v>513</v>
      </c>
      <c r="G1085" s="1">
        <v>32716</v>
      </c>
      <c r="H1085" s="2">
        <f t="shared" ca="1" si="306"/>
        <v>37</v>
      </c>
      <c r="I1085" s="2">
        <f t="shared" ca="1" si="307"/>
        <v>0.17142857142857143</v>
      </c>
      <c r="J1085" t="s">
        <v>36</v>
      </c>
      <c r="K1085" t="s">
        <v>626</v>
      </c>
      <c r="L1085">
        <f t="shared" si="308"/>
        <v>0</v>
      </c>
      <c r="M1085">
        <f t="shared" si="309"/>
        <v>0</v>
      </c>
      <c r="N1085">
        <f t="shared" si="310"/>
        <v>0</v>
      </c>
      <c r="O1085" t="s">
        <v>627</v>
      </c>
      <c r="P1085">
        <f t="shared" si="311"/>
        <v>0</v>
      </c>
      <c r="Q1085">
        <f t="shared" si="312"/>
        <v>0</v>
      </c>
      <c r="R1085">
        <f t="shared" si="313"/>
        <v>0</v>
      </c>
      <c r="S1085">
        <f t="shared" si="314"/>
        <v>0</v>
      </c>
      <c r="T1085">
        <f t="shared" si="315"/>
        <v>0</v>
      </c>
      <c r="U1085">
        <f t="shared" si="316"/>
        <v>0</v>
      </c>
      <c r="V1085">
        <f t="shared" si="317"/>
        <v>0</v>
      </c>
      <c r="W1085" t="s">
        <v>39</v>
      </c>
      <c r="X1085">
        <f t="shared" si="318"/>
        <v>1</v>
      </c>
      <c r="Y1085">
        <f t="shared" si="319"/>
        <v>0</v>
      </c>
      <c r="Z1085">
        <v>4</v>
      </c>
      <c r="AA1085">
        <f t="shared" si="320"/>
        <v>0.75</v>
      </c>
      <c r="AB1085" t="s">
        <v>46</v>
      </c>
      <c r="AC1085">
        <f t="shared" si="321"/>
        <v>1</v>
      </c>
      <c r="AD1085">
        <f t="shared" si="322"/>
        <v>0</v>
      </c>
      <c r="AE1085" t="s">
        <v>50</v>
      </c>
      <c r="AF1085">
        <f>IF(AE1085="website",1,0)</f>
        <v>0</v>
      </c>
    </row>
    <row r="1086" spans="1:32">
      <c r="A1086" t="s">
        <v>1732</v>
      </c>
      <c r="B1086" t="s">
        <v>33</v>
      </c>
      <c r="C1086" s="3">
        <f t="shared" si="304"/>
        <v>0</v>
      </c>
      <c r="D1086">
        <f t="shared" si="305"/>
        <v>1</v>
      </c>
      <c r="E1086" t="s">
        <v>581</v>
      </c>
      <c r="F1086" t="s">
        <v>882</v>
      </c>
      <c r="G1086" s="1">
        <v>17458</v>
      </c>
      <c r="H1086" s="2">
        <f t="shared" ca="1" si="306"/>
        <v>78</v>
      </c>
      <c r="I1086" s="2">
        <f t="shared" ca="1" si="307"/>
        <v>0.75714285714285712</v>
      </c>
      <c r="J1086" t="s">
        <v>36</v>
      </c>
      <c r="K1086" t="s">
        <v>819</v>
      </c>
      <c r="L1086">
        <f t="shared" si="308"/>
        <v>0</v>
      </c>
      <c r="M1086">
        <f t="shared" si="309"/>
        <v>0</v>
      </c>
      <c r="N1086">
        <f t="shared" si="310"/>
        <v>0</v>
      </c>
      <c r="O1086" t="s">
        <v>1493</v>
      </c>
      <c r="P1086">
        <f t="shared" si="311"/>
        <v>0</v>
      </c>
      <c r="Q1086">
        <f t="shared" si="312"/>
        <v>0</v>
      </c>
      <c r="R1086">
        <f t="shared" si="313"/>
        <v>0</v>
      </c>
      <c r="S1086">
        <f t="shared" si="314"/>
        <v>0</v>
      </c>
      <c r="T1086">
        <f t="shared" si="315"/>
        <v>0</v>
      </c>
      <c r="U1086">
        <f t="shared" si="316"/>
        <v>0</v>
      </c>
      <c r="V1086">
        <f t="shared" si="317"/>
        <v>0</v>
      </c>
      <c r="W1086" t="s">
        <v>58</v>
      </c>
      <c r="X1086">
        <f t="shared" si="318"/>
        <v>0</v>
      </c>
      <c r="Y1086">
        <f t="shared" si="319"/>
        <v>1</v>
      </c>
      <c r="Z1086">
        <v>1</v>
      </c>
      <c r="AA1086">
        <f t="shared" si="320"/>
        <v>0</v>
      </c>
      <c r="AB1086" t="s">
        <v>46</v>
      </c>
      <c r="AC1086">
        <f t="shared" si="321"/>
        <v>0</v>
      </c>
      <c r="AD1086">
        <f t="shared" si="322"/>
        <v>1</v>
      </c>
      <c r="AE1086" t="s">
        <v>90</v>
      </c>
      <c r="AF1086">
        <f>IF(AE1086="website",1,0)</f>
        <v>0</v>
      </c>
    </row>
    <row r="1087" spans="1:32">
      <c r="A1087" t="s">
        <v>1733</v>
      </c>
      <c r="B1087" t="s">
        <v>33</v>
      </c>
      <c r="C1087" s="3">
        <f t="shared" si="304"/>
        <v>0</v>
      </c>
      <c r="D1087">
        <f t="shared" si="305"/>
        <v>1</v>
      </c>
      <c r="E1087" t="s">
        <v>997</v>
      </c>
      <c r="F1087" t="s">
        <v>748</v>
      </c>
      <c r="G1087" s="1">
        <v>20515</v>
      </c>
      <c r="H1087" s="2">
        <f t="shared" ca="1" si="306"/>
        <v>70</v>
      </c>
      <c r="I1087" s="2">
        <f t="shared" ca="1" si="307"/>
        <v>0.6428571428571429</v>
      </c>
      <c r="J1087" t="s">
        <v>45</v>
      </c>
      <c r="K1087" t="s">
        <v>37</v>
      </c>
      <c r="L1087">
        <f t="shared" si="308"/>
        <v>1</v>
      </c>
      <c r="M1087">
        <f t="shared" si="309"/>
        <v>0</v>
      </c>
      <c r="N1087">
        <f t="shared" si="310"/>
        <v>0</v>
      </c>
      <c r="O1087" t="s">
        <v>137</v>
      </c>
      <c r="P1087">
        <f t="shared" si="311"/>
        <v>0</v>
      </c>
      <c r="Q1087">
        <f t="shared" si="312"/>
        <v>0</v>
      </c>
      <c r="R1087">
        <f t="shared" si="313"/>
        <v>0</v>
      </c>
      <c r="S1087">
        <f t="shared" si="314"/>
        <v>0</v>
      </c>
      <c r="T1087">
        <f t="shared" si="315"/>
        <v>0</v>
      </c>
      <c r="U1087">
        <f t="shared" si="316"/>
        <v>0</v>
      </c>
      <c r="V1087">
        <f t="shared" si="317"/>
        <v>0</v>
      </c>
      <c r="W1087" t="s">
        <v>39</v>
      </c>
      <c r="X1087">
        <f t="shared" si="318"/>
        <v>1</v>
      </c>
      <c r="Y1087">
        <f t="shared" si="319"/>
        <v>0</v>
      </c>
      <c r="Z1087">
        <v>1</v>
      </c>
      <c r="AA1087">
        <f t="shared" si="320"/>
        <v>0</v>
      </c>
      <c r="AB1087" t="s">
        <v>40</v>
      </c>
      <c r="AC1087">
        <f t="shared" si="321"/>
        <v>0</v>
      </c>
      <c r="AD1087">
        <f t="shared" si="322"/>
        <v>0</v>
      </c>
      <c r="AE1087" t="s">
        <v>41</v>
      </c>
      <c r="AF1087">
        <f>IF(AE1087="website",1,0)</f>
        <v>1</v>
      </c>
    </row>
    <row r="1088" spans="1:32">
      <c r="A1088" t="s">
        <v>1734</v>
      </c>
      <c r="B1088" t="s">
        <v>33</v>
      </c>
      <c r="C1088" s="3">
        <f t="shared" si="304"/>
        <v>0</v>
      </c>
      <c r="D1088">
        <f t="shared" si="305"/>
        <v>1</v>
      </c>
      <c r="E1088" t="s">
        <v>546</v>
      </c>
      <c r="F1088" t="s">
        <v>703</v>
      </c>
      <c r="G1088" s="1">
        <v>30684</v>
      </c>
      <c r="H1088" s="2">
        <f t="shared" ca="1" si="306"/>
        <v>42</v>
      </c>
      <c r="I1088" s="2">
        <f t="shared" ca="1" si="307"/>
        <v>0.24285714285714285</v>
      </c>
      <c r="J1088" t="s">
        <v>45</v>
      </c>
      <c r="K1088" t="s">
        <v>37</v>
      </c>
      <c r="L1088">
        <f t="shared" si="308"/>
        <v>1</v>
      </c>
      <c r="M1088">
        <f t="shared" si="309"/>
        <v>0</v>
      </c>
      <c r="N1088">
        <f t="shared" si="310"/>
        <v>0</v>
      </c>
      <c r="O1088" t="s">
        <v>137</v>
      </c>
      <c r="P1088">
        <f t="shared" si="311"/>
        <v>0</v>
      </c>
      <c r="Q1088">
        <f t="shared" si="312"/>
        <v>0</v>
      </c>
      <c r="R1088">
        <f t="shared" si="313"/>
        <v>0</v>
      </c>
      <c r="S1088">
        <f t="shared" si="314"/>
        <v>0</v>
      </c>
      <c r="T1088">
        <f t="shared" si="315"/>
        <v>0</v>
      </c>
      <c r="U1088">
        <f t="shared" si="316"/>
        <v>0</v>
      </c>
      <c r="V1088">
        <f t="shared" si="317"/>
        <v>0</v>
      </c>
      <c r="W1088" t="s">
        <v>39</v>
      </c>
      <c r="X1088">
        <f t="shared" si="318"/>
        <v>1</v>
      </c>
      <c r="Y1088">
        <f t="shared" si="319"/>
        <v>0</v>
      </c>
      <c r="Z1088">
        <v>3</v>
      </c>
      <c r="AA1088">
        <f t="shared" si="320"/>
        <v>0.5</v>
      </c>
      <c r="AB1088" t="s">
        <v>46</v>
      </c>
      <c r="AC1088">
        <f t="shared" si="321"/>
        <v>0</v>
      </c>
      <c r="AD1088">
        <f t="shared" si="322"/>
        <v>0</v>
      </c>
      <c r="AE1088" t="s">
        <v>41</v>
      </c>
      <c r="AF1088">
        <f>IF(AE1088="website",1,0)</f>
        <v>1</v>
      </c>
    </row>
    <row r="1089" spans="1:32">
      <c r="A1089" t="s">
        <v>1735</v>
      </c>
      <c r="B1089" t="s">
        <v>33</v>
      </c>
      <c r="C1089" s="3">
        <f t="shared" si="304"/>
        <v>0</v>
      </c>
      <c r="D1089">
        <f t="shared" si="305"/>
        <v>1</v>
      </c>
      <c r="E1089" t="s">
        <v>596</v>
      </c>
      <c r="F1089" t="s">
        <v>372</v>
      </c>
      <c r="G1089" s="1">
        <v>36064</v>
      </c>
      <c r="H1089" s="2">
        <f t="shared" ca="1" si="306"/>
        <v>28</v>
      </c>
      <c r="I1089" s="2">
        <f t="shared" ca="1" si="307"/>
        <v>4.2857142857142858E-2</v>
      </c>
      <c r="J1089" t="s">
        <v>45</v>
      </c>
      <c r="K1089" t="s">
        <v>37</v>
      </c>
      <c r="L1089">
        <f t="shared" si="308"/>
        <v>1</v>
      </c>
      <c r="M1089">
        <f t="shared" si="309"/>
        <v>0</v>
      </c>
      <c r="N1089">
        <f t="shared" si="310"/>
        <v>0</v>
      </c>
      <c r="O1089" t="s">
        <v>183</v>
      </c>
      <c r="P1089">
        <f t="shared" si="311"/>
        <v>0</v>
      </c>
      <c r="Q1089">
        <f t="shared" si="312"/>
        <v>0</v>
      </c>
      <c r="R1089">
        <f t="shared" si="313"/>
        <v>0</v>
      </c>
      <c r="S1089">
        <f t="shared" si="314"/>
        <v>0</v>
      </c>
      <c r="T1089">
        <f t="shared" si="315"/>
        <v>0</v>
      </c>
      <c r="U1089">
        <f t="shared" si="316"/>
        <v>0</v>
      </c>
      <c r="V1089">
        <f t="shared" si="317"/>
        <v>0</v>
      </c>
      <c r="W1089" t="s">
        <v>39</v>
      </c>
      <c r="X1089">
        <f t="shared" si="318"/>
        <v>1</v>
      </c>
      <c r="Y1089">
        <f t="shared" si="319"/>
        <v>0</v>
      </c>
      <c r="Z1089">
        <v>4</v>
      </c>
      <c r="AA1089">
        <f t="shared" si="320"/>
        <v>0.75</v>
      </c>
      <c r="AB1089" t="s">
        <v>40</v>
      </c>
      <c r="AC1089">
        <f t="shared" si="321"/>
        <v>1</v>
      </c>
      <c r="AD1089">
        <f t="shared" si="322"/>
        <v>0</v>
      </c>
      <c r="AE1089" t="s">
        <v>50</v>
      </c>
      <c r="AF1089">
        <f>IF(AE1089="website",1,0)</f>
        <v>0</v>
      </c>
    </row>
    <row r="1090" spans="1:32">
      <c r="A1090" t="s">
        <v>1736</v>
      </c>
      <c r="B1090" t="s">
        <v>33</v>
      </c>
      <c r="C1090" s="3">
        <f t="shared" ref="C1090:C1153" si="323">IF(B1090="company",1,0)</f>
        <v>0</v>
      </c>
      <c r="D1090">
        <f t="shared" ref="D1090:D1153" si="324">IF(B1090="individual",1,0)</f>
        <v>1</v>
      </c>
      <c r="E1090" t="s">
        <v>950</v>
      </c>
      <c r="F1090" t="s">
        <v>887</v>
      </c>
      <c r="G1090" s="1">
        <v>22906</v>
      </c>
      <c r="H1090" s="2">
        <f t="shared" ref="H1090:H1153" ca="1" si="325">DATEDIF(G1090,TODAY(),"Y")</f>
        <v>64</v>
      </c>
      <c r="I1090" s="2">
        <f t="shared" ref="I1090:I1153" ca="1" si="326">(H1090-MIN(H:H))/(MAX(H:H)-MIN(H:H))</f>
        <v>0.55714285714285716</v>
      </c>
      <c r="J1090" t="s">
        <v>36</v>
      </c>
      <c r="K1090" t="s">
        <v>37</v>
      </c>
      <c r="L1090">
        <f t="shared" ref="L1090:L1153" si="327">IF(K1090="usa",1,0)</f>
        <v>1</v>
      </c>
      <c r="M1090">
        <f t="shared" ref="M1090:M1153" si="328">IF(K1090="canada",1,0)</f>
        <v>0</v>
      </c>
      <c r="N1090">
        <f t="shared" ref="N1090:N1153" si="329">IF(K1090="germany",1,0)</f>
        <v>0</v>
      </c>
      <c r="O1090" t="s">
        <v>183</v>
      </c>
      <c r="P1090">
        <f t="shared" ref="P1090:P1153" si="330">IF(O1090="california",1,0)</f>
        <v>0</v>
      </c>
      <c r="Q1090">
        <f t="shared" ref="Q1090:Q1153" si="331">IF(O1090="oregon",1,0)</f>
        <v>0</v>
      </c>
      <c r="R1090">
        <f t="shared" ref="R1090:R1153" si="332">IF(O1090="quebec",1,0)</f>
        <v>0</v>
      </c>
      <c r="S1090">
        <f t="shared" ref="S1090:S1153" si="333">IF(O1090="berlin",1,0)</f>
        <v>0</v>
      </c>
      <c r="T1090">
        <f t="shared" ref="T1090:T1153" si="334">IF(O1090="arizona",1,0)</f>
        <v>0</v>
      </c>
      <c r="U1090">
        <f t="shared" ref="U1090:U1153" si="335">IF(O1090="nevada",1,0)</f>
        <v>0</v>
      </c>
      <c r="V1090">
        <f t="shared" ref="V1090:V1153" si="336">IF(O1090="colardo",1,0)</f>
        <v>0</v>
      </c>
      <c r="W1090" t="s">
        <v>39</v>
      </c>
      <c r="X1090">
        <f t="shared" ref="X1090:X1153" si="337">IF(W1090="home",1,0)</f>
        <v>1</v>
      </c>
      <c r="Y1090">
        <f t="shared" ref="Y1090:Y1153" si="338">IF(W1090="investment",1,0)</f>
        <v>0</v>
      </c>
      <c r="Z1090">
        <v>1</v>
      </c>
      <c r="AA1090">
        <f t="shared" ref="AA1090:AA1153" si="339">(Z1090-1)/4</f>
        <v>0</v>
      </c>
      <c r="AB1090" t="s">
        <v>40</v>
      </c>
      <c r="AC1090">
        <f t="shared" ref="AC1090:AC1153" si="340">IF(AE1090="agency",1,0)</f>
        <v>0</v>
      </c>
      <c r="AD1090">
        <f t="shared" ref="AD1090:AD1153" si="341">IF(AE1090="client",1,0)</f>
        <v>0</v>
      </c>
      <c r="AE1090" t="s">
        <v>41</v>
      </c>
      <c r="AF1090">
        <f>IF(AE1090="website",1,0)</f>
        <v>1</v>
      </c>
    </row>
    <row r="1091" spans="1:32">
      <c r="A1091" t="s">
        <v>1737</v>
      </c>
      <c r="B1091" t="s">
        <v>33</v>
      </c>
      <c r="C1091" s="3">
        <f t="shared" si="323"/>
        <v>0</v>
      </c>
      <c r="D1091">
        <f t="shared" si="324"/>
        <v>1</v>
      </c>
      <c r="E1091" t="s">
        <v>584</v>
      </c>
      <c r="F1091" t="s">
        <v>620</v>
      </c>
      <c r="G1091" s="1">
        <v>22896</v>
      </c>
      <c r="H1091" s="2">
        <f t="shared" ca="1" si="325"/>
        <v>64</v>
      </c>
      <c r="I1091" s="2">
        <f t="shared" ca="1" si="326"/>
        <v>0.55714285714285716</v>
      </c>
      <c r="J1091" t="s">
        <v>36</v>
      </c>
      <c r="K1091" t="s">
        <v>65</v>
      </c>
      <c r="L1091">
        <f t="shared" si="327"/>
        <v>0</v>
      </c>
      <c r="M1091">
        <f t="shared" si="328"/>
        <v>1</v>
      </c>
      <c r="N1091">
        <f t="shared" si="329"/>
        <v>0</v>
      </c>
      <c r="O1091" t="s">
        <v>843</v>
      </c>
      <c r="P1091">
        <f t="shared" si="330"/>
        <v>0</v>
      </c>
      <c r="Q1091">
        <f t="shared" si="331"/>
        <v>0</v>
      </c>
      <c r="R1091">
        <f t="shared" si="332"/>
        <v>0</v>
      </c>
      <c r="S1091">
        <f t="shared" si="333"/>
        <v>0</v>
      </c>
      <c r="T1091">
        <f t="shared" si="334"/>
        <v>0</v>
      </c>
      <c r="U1091">
        <f t="shared" si="335"/>
        <v>0</v>
      </c>
      <c r="V1091">
        <f t="shared" si="336"/>
        <v>0</v>
      </c>
      <c r="W1091" t="s">
        <v>39</v>
      </c>
      <c r="X1091">
        <f t="shared" si="337"/>
        <v>1</v>
      </c>
      <c r="Y1091">
        <f t="shared" si="338"/>
        <v>0</v>
      </c>
      <c r="Z1091">
        <v>3</v>
      </c>
      <c r="AA1091">
        <f t="shared" si="339"/>
        <v>0.5</v>
      </c>
      <c r="AB1091" t="s">
        <v>40</v>
      </c>
      <c r="AC1091">
        <f t="shared" si="340"/>
        <v>0</v>
      </c>
      <c r="AD1091">
        <f t="shared" si="341"/>
        <v>1</v>
      </c>
      <c r="AE1091" t="s">
        <v>90</v>
      </c>
      <c r="AF1091">
        <f>IF(AE1091="website",1,0)</f>
        <v>0</v>
      </c>
    </row>
    <row r="1092" spans="1:32">
      <c r="A1092" t="s">
        <v>1738</v>
      </c>
      <c r="B1092" t="s">
        <v>33</v>
      </c>
      <c r="C1092" s="3">
        <f t="shared" si="323"/>
        <v>0</v>
      </c>
      <c r="D1092">
        <f t="shared" si="324"/>
        <v>1</v>
      </c>
      <c r="E1092" t="s">
        <v>398</v>
      </c>
      <c r="F1092" t="s">
        <v>685</v>
      </c>
      <c r="G1092" s="1">
        <v>30884</v>
      </c>
      <c r="H1092" s="2">
        <f t="shared" ca="1" si="325"/>
        <v>42</v>
      </c>
      <c r="I1092" s="2">
        <f t="shared" ca="1" si="326"/>
        <v>0.24285714285714285</v>
      </c>
      <c r="J1092" t="s">
        <v>45</v>
      </c>
      <c r="K1092" t="s">
        <v>37</v>
      </c>
      <c r="L1092">
        <f t="shared" si="327"/>
        <v>1</v>
      </c>
      <c r="M1092">
        <f t="shared" si="328"/>
        <v>0</v>
      </c>
      <c r="N1092">
        <f t="shared" si="329"/>
        <v>0</v>
      </c>
      <c r="O1092" t="s">
        <v>124</v>
      </c>
      <c r="P1092">
        <f t="shared" si="330"/>
        <v>0</v>
      </c>
      <c r="Q1092">
        <f t="shared" si="331"/>
        <v>0</v>
      </c>
      <c r="R1092">
        <f t="shared" si="332"/>
        <v>0</v>
      </c>
      <c r="S1092">
        <f t="shared" si="333"/>
        <v>0</v>
      </c>
      <c r="T1092">
        <f t="shared" si="334"/>
        <v>0</v>
      </c>
      <c r="U1092">
        <f t="shared" si="335"/>
        <v>1</v>
      </c>
      <c r="V1092">
        <f t="shared" si="336"/>
        <v>0</v>
      </c>
      <c r="W1092" t="s">
        <v>39</v>
      </c>
      <c r="X1092">
        <f t="shared" si="337"/>
        <v>1</v>
      </c>
      <c r="Y1092">
        <f t="shared" si="338"/>
        <v>0</v>
      </c>
      <c r="Z1092">
        <v>1</v>
      </c>
      <c r="AA1092">
        <f t="shared" si="339"/>
        <v>0</v>
      </c>
      <c r="AB1092" t="s">
        <v>40</v>
      </c>
      <c r="AC1092">
        <f t="shared" si="340"/>
        <v>1</v>
      </c>
      <c r="AD1092">
        <f t="shared" si="341"/>
        <v>0</v>
      </c>
      <c r="AE1092" t="s">
        <v>50</v>
      </c>
      <c r="AF1092">
        <f>IF(AE1092="website",1,0)</f>
        <v>0</v>
      </c>
    </row>
    <row r="1093" spans="1:32">
      <c r="A1093" t="s">
        <v>1739</v>
      </c>
      <c r="B1093" t="s">
        <v>33</v>
      </c>
      <c r="C1093" s="3">
        <f t="shared" si="323"/>
        <v>0</v>
      </c>
      <c r="D1093">
        <f t="shared" si="324"/>
        <v>1</v>
      </c>
      <c r="E1093" t="s">
        <v>329</v>
      </c>
      <c r="F1093" t="s">
        <v>613</v>
      </c>
      <c r="G1093" s="1">
        <v>35393</v>
      </c>
      <c r="H1093" s="2">
        <f t="shared" ca="1" si="325"/>
        <v>29</v>
      </c>
      <c r="I1093" s="2">
        <f t="shared" ca="1" si="326"/>
        <v>5.7142857142857141E-2</v>
      </c>
      <c r="J1093" t="s">
        <v>45</v>
      </c>
      <c r="K1093" t="s">
        <v>37</v>
      </c>
      <c r="L1093">
        <f t="shared" si="327"/>
        <v>1</v>
      </c>
      <c r="M1093">
        <f t="shared" si="328"/>
        <v>0</v>
      </c>
      <c r="N1093">
        <f t="shared" si="329"/>
        <v>0</v>
      </c>
      <c r="O1093" t="s">
        <v>76</v>
      </c>
      <c r="P1093">
        <f t="shared" si="330"/>
        <v>0</v>
      </c>
      <c r="Q1093">
        <f t="shared" si="331"/>
        <v>1</v>
      </c>
      <c r="R1093">
        <f t="shared" si="332"/>
        <v>0</v>
      </c>
      <c r="S1093">
        <f t="shared" si="333"/>
        <v>0</v>
      </c>
      <c r="T1093">
        <f t="shared" si="334"/>
        <v>0</v>
      </c>
      <c r="U1093">
        <f t="shared" si="335"/>
        <v>0</v>
      </c>
      <c r="V1093">
        <f t="shared" si="336"/>
        <v>0</v>
      </c>
      <c r="W1093" t="s">
        <v>58</v>
      </c>
      <c r="X1093">
        <f t="shared" si="337"/>
        <v>0</v>
      </c>
      <c r="Y1093">
        <f t="shared" si="338"/>
        <v>1</v>
      </c>
      <c r="Z1093">
        <v>2</v>
      </c>
      <c r="AA1093">
        <f t="shared" si="339"/>
        <v>0.25</v>
      </c>
      <c r="AB1093" t="s">
        <v>46</v>
      </c>
      <c r="AC1093">
        <f t="shared" si="340"/>
        <v>0</v>
      </c>
      <c r="AD1093">
        <f t="shared" si="341"/>
        <v>0</v>
      </c>
      <c r="AE1093" t="s">
        <v>41</v>
      </c>
      <c r="AF1093">
        <f>IF(AE1093="website",1,0)</f>
        <v>1</v>
      </c>
    </row>
    <row r="1094" spans="1:32">
      <c r="A1094" t="s">
        <v>1740</v>
      </c>
      <c r="B1094" t="s">
        <v>33</v>
      </c>
      <c r="C1094" s="3">
        <f t="shared" si="323"/>
        <v>0</v>
      </c>
      <c r="D1094">
        <f t="shared" si="324"/>
        <v>1</v>
      </c>
      <c r="E1094" t="s">
        <v>1070</v>
      </c>
      <c r="F1094" t="s">
        <v>720</v>
      </c>
      <c r="G1094" s="1">
        <v>29415</v>
      </c>
      <c r="H1094" s="2">
        <f t="shared" ca="1" si="325"/>
        <v>46</v>
      </c>
      <c r="I1094" s="2">
        <f t="shared" ca="1" si="326"/>
        <v>0.3</v>
      </c>
      <c r="J1094" t="s">
        <v>45</v>
      </c>
      <c r="K1094" t="s">
        <v>37</v>
      </c>
      <c r="L1094">
        <f t="shared" si="327"/>
        <v>1</v>
      </c>
      <c r="M1094">
        <f t="shared" si="328"/>
        <v>0</v>
      </c>
      <c r="N1094">
        <f t="shared" si="329"/>
        <v>0</v>
      </c>
      <c r="O1094" t="s">
        <v>76</v>
      </c>
      <c r="P1094">
        <f t="shared" si="330"/>
        <v>0</v>
      </c>
      <c r="Q1094">
        <f t="shared" si="331"/>
        <v>1</v>
      </c>
      <c r="R1094">
        <f t="shared" si="332"/>
        <v>0</v>
      </c>
      <c r="S1094">
        <f t="shared" si="333"/>
        <v>0</v>
      </c>
      <c r="T1094">
        <f t="shared" si="334"/>
        <v>0</v>
      </c>
      <c r="U1094">
        <f t="shared" si="335"/>
        <v>0</v>
      </c>
      <c r="V1094">
        <f t="shared" si="336"/>
        <v>0</v>
      </c>
      <c r="W1094" t="s">
        <v>39</v>
      </c>
      <c r="X1094">
        <f t="shared" si="337"/>
        <v>1</v>
      </c>
      <c r="Y1094">
        <f t="shared" si="338"/>
        <v>0</v>
      </c>
      <c r="Z1094">
        <v>1</v>
      </c>
      <c r="AA1094">
        <f t="shared" si="339"/>
        <v>0</v>
      </c>
      <c r="AB1094" t="s">
        <v>40</v>
      </c>
      <c r="AC1094">
        <f t="shared" si="340"/>
        <v>0</v>
      </c>
      <c r="AD1094">
        <f t="shared" si="341"/>
        <v>0</v>
      </c>
      <c r="AE1094" t="s">
        <v>41</v>
      </c>
      <c r="AF1094">
        <f>IF(AE1094="website",1,0)</f>
        <v>1</v>
      </c>
    </row>
    <row r="1095" spans="1:32">
      <c r="A1095" t="s">
        <v>1741</v>
      </c>
      <c r="B1095" t="s">
        <v>33</v>
      </c>
      <c r="C1095" s="3">
        <f t="shared" si="323"/>
        <v>0</v>
      </c>
      <c r="D1095">
        <f t="shared" si="324"/>
        <v>1</v>
      </c>
      <c r="E1095" t="s">
        <v>581</v>
      </c>
      <c r="F1095" t="s">
        <v>876</v>
      </c>
      <c r="G1095" s="1">
        <v>21958</v>
      </c>
      <c r="H1095" s="2">
        <f t="shared" ca="1" si="325"/>
        <v>66</v>
      </c>
      <c r="I1095" s="2">
        <f t="shared" ca="1" si="326"/>
        <v>0.58571428571428574</v>
      </c>
      <c r="J1095" t="s">
        <v>36</v>
      </c>
      <c r="K1095" t="s">
        <v>37</v>
      </c>
      <c r="L1095">
        <f t="shared" si="327"/>
        <v>1</v>
      </c>
      <c r="M1095">
        <f t="shared" si="328"/>
        <v>0</v>
      </c>
      <c r="N1095">
        <f t="shared" si="329"/>
        <v>0</v>
      </c>
      <c r="O1095" t="s">
        <v>565</v>
      </c>
      <c r="P1095">
        <f t="shared" si="330"/>
        <v>0</v>
      </c>
      <c r="Q1095">
        <f t="shared" si="331"/>
        <v>0</v>
      </c>
      <c r="R1095">
        <f t="shared" si="332"/>
        <v>0</v>
      </c>
      <c r="S1095">
        <f t="shared" si="333"/>
        <v>0</v>
      </c>
      <c r="T1095">
        <f t="shared" si="334"/>
        <v>0</v>
      </c>
      <c r="U1095">
        <f t="shared" si="335"/>
        <v>0</v>
      </c>
      <c r="V1095">
        <f t="shared" si="336"/>
        <v>0</v>
      </c>
      <c r="W1095" t="s">
        <v>39</v>
      </c>
      <c r="X1095">
        <f t="shared" si="337"/>
        <v>1</v>
      </c>
      <c r="Y1095">
        <f t="shared" si="338"/>
        <v>0</v>
      </c>
      <c r="Z1095">
        <v>2</v>
      </c>
      <c r="AA1095">
        <f t="shared" si="339"/>
        <v>0.25</v>
      </c>
      <c r="AB1095" t="s">
        <v>40</v>
      </c>
      <c r="AC1095">
        <f t="shared" si="340"/>
        <v>0</v>
      </c>
      <c r="AD1095">
        <f t="shared" si="341"/>
        <v>0</v>
      </c>
      <c r="AE1095" t="s">
        <v>41</v>
      </c>
      <c r="AF1095">
        <f>IF(AE1095="website",1,0)</f>
        <v>1</v>
      </c>
    </row>
    <row r="1096" spans="1:32">
      <c r="A1096" t="s">
        <v>1742</v>
      </c>
      <c r="B1096" t="s">
        <v>33</v>
      </c>
      <c r="C1096" s="3">
        <f t="shared" si="323"/>
        <v>0</v>
      </c>
      <c r="D1096">
        <f t="shared" si="324"/>
        <v>1</v>
      </c>
      <c r="E1096" t="s">
        <v>1133</v>
      </c>
      <c r="F1096" t="s">
        <v>339</v>
      </c>
      <c r="G1096" s="1">
        <v>14667</v>
      </c>
      <c r="H1096" s="2">
        <f t="shared" ca="1" si="325"/>
        <v>86</v>
      </c>
      <c r="I1096" s="2">
        <f t="shared" ca="1" si="326"/>
        <v>0.87142857142857144</v>
      </c>
      <c r="J1096" t="s">
        <v>36</v>
      </c>
      <c r="K1096" t="s">
        <v>37</v>
      </c>
      <c r="L1096">
        <f t="shared" si="327"/>
        <v>1</v>
      </c>
      <c r="M1096">
        <f t="shared" si="328"/>
        <v>0</v>
      </c>
      <c r="N1096">
        <f t="shared" si="329"/>
        <v>0</v>
      </c>
      <c r="O1096" t="s">
        <v>38</v>
      </c>
      <c r="P1096">
        <f t="shared" si="330"/>
        <v>1</v>
      </c>
      <c r="Q1096">
        <f t="shared" si="331"/>
        <v>0</v>
      </c>
      <c r="R1096">
        <f t="shared" si="332"/>
        <v>0</v>
      </c>
      <c r="S1096">
        <f t="shared" si="333"/>
        <v>0</v>
      </c>
      <c r="T1096">
        <f t="shared" si="334"/>
        <v>0</v>
      </c>
      <c r="U1096">
        <f t="shared" si="335"/>
        <v>0</v>
      </c>
      <c r="V1096">
        <f t="shared" si="336"/>
        <v>0</v>
      </c>
      <c r="W1096" t="s">
        <v>39</v>
      </c>
      <c r="X1096">
        <f t="shared" si="337"/>
        <v>1</v>
      </c>
      <c r="Y1096">
        <f t="shared" si="338"/>
        <v>0</v>
      </c>
      <c r="Z1096">
        <v>3</v>
      </c>
      <c r="AA1096">
        <f t="shared" si="339"/>
        <v>0.5</v>
      </c>
      <c r="AB1096" t="s">
        <v>46</v>
      </c>
      <c r="AC1096">
        <f t="shared" si="340"/>
        <v>1</v>
      </c>
      <c r="AD1096">
        <f t="shared" si="341"/>
        <v>0</v>
      </c>
      <c r="AE1096" t="s">
        <v>50</v>
      </c>
      <c r="AF1096">
        <f>IF(AE1096="website",1,0)</f>
        <v>0</v>
      </c>
    </row>
    <row r="1097" spans="1:32">
      <c r="A1097" t="s">
        <v>1743</v>
      </c>
      <c r="B1097" t="s">
        <v>33</v>
      </c>
      <c r="C1097" s="3">
        <f t="shared" si="323"/>
        <v>0</v>
      </c>
      <c r="D1097">
        <f t="shared" si="324"/>
        <v>1</v>
      </c>
      <c r="E1097" t="s">
        <v>317</v>
      </c>
      <c r="F1097" t="s">
        <v>308</v>
      </c>
      <c r="G1097" s="1">
        <v>23882</v>
      </c>
      <c r="H1097" s="2">
        <f t="shared" ca="1" si="325"/>
        <v>61</v>
      </c>
      <c r="I1097" s="2">
        <f t="shared" ca="1" si="326"/>
        <v>0.51428571428571423</v>
      </c>
      <c r="J1097" t="s">
        <v>36</v>
      </c>
      <c r="K1097" t="s">
        <v>37</v>
      </c>
      <c r="L1097">
        <f t="shared" si="327"/>
        <v>1</v>
      </c>
      <c r="M1097">
        <f t="shared" si="328"/>
        <v>0</v>
      </c>
      <c r="N1097">
        <f t="shared" si="329"/>
        <v>0</v>
      </c>
      <c r="O1097" t="s">
        <v>717</v>
      </c>
      <c r="P1097">
        <f t="shared" si="330"/>
        <v>0</v>
      </c>
      <c r="Q1097">
        <f t="shared" si="331"/>
        <v>0</v>
      </c>
      <c r="R1097">
        <f t="shared" si="332"/>
        <v>0</v>
      </c>
      <c r="S1097">
        <f t="shared" si="333"/>
        <v>0</v>
      </c>
      <c r="T1097">
        <f t="shared" si="334"/>
        <v>0</v>
      </c>
      <c r="U1097">
        <f t="shared" si="335"/>
        <v>0</v>
      </c>
      <c r="V1097">
        <f t="shared" si="336"/>
        <v>0</v>
      </c>
      <c r="W1097" t="s">
        <v>39</v>
      </c>
      <c r="X1097">
        <f t="shared" si="337"/>
        <v>1</v>
      </c>
      <c r="Y1097">
        <f t="shared" si="338"/>
        <v>0</v>
      </c>
      <c r="Z1097">
        <v>2</v>
      </c>
      <c r="AA1097">
        <f t="shared" si="339"/>
        <v>0.25</v>
      </c>
      <c r="AB1097" t="s">
        <v>46</v>
      </c>
      <c r="AC1097">
        <f t="shared" si="340"/>
        <v>0</v>
      </c>
      <c r="AD1097">
        <f t="shared" si="341"/>
        <v>1</v>
      </c>
      <c r="AE1097" t="s">
        <v>90</v>
      </c>
      <c r="AF1097">
        <f>IF(AE1097="website",1,0)</f>
        <v>0</v>
      </c>
    </row>
    <row r="1098" spans="1:32">
      <c r="A1098" t="s">
        <v>1744</v>
      </c>
      <c r="B1098" t="s">
        <v>33</v>
      </c>
      <c r="C1098" s="3">
        <f t="shared" si="323"/>
        <v>0</v>
      </c>
      <c r="D1098">
        <f t="shared" si="324"/>
        <v>1</v>
      </c>
      <c r="E1098" t="s">
        <v>947</v>
      </c>
      <c r="F1098" t="s">
        <v>599</v>
      </c>
      <c r="G1098" s="1">
        <v>22843</v>
      </c>
      <c r="H1098" s="2">
        <f t="shared" ca="1" si="325"/>
        <v>64</v>
      </c>
      <c r="I1098" s="2">
        <f t="shared" ca="1" si="326"/>
        <v>0.55714285714285716</v>
      </c>
      <c r="J1098" t="s">
        <v>36</v>
      </c>
      <c r="K1098" t="s">
        <v>65</v>
      </c>
      <c r="L1098">
        <f t="shared" si="327"/>
        <v>0</v>
      </c>
      <c r="M1098">
        <f t="shared" si="328"/>
        <v>1</v>
      </c>
      <c r="N1098">
        <f t="shared" si="329"/>
        <v>0</v>
      </c>
      <c r="O1098" t="s">
        <v>843</v>
      </c>
      <c r="P1098">
        <f t="shared" si="330"/>
        <v>0</v>
      </c>
      <c r="Q1098">
        <f t="shared" si="331"/>
        <v>0</v>
      </c>
      <c r="R1098">
        <f t="shared" si="332"/>
        <v>0</v>
      </c>
      <c r="S1098">
        <f t="shared" si="333"/>
        <v>0</v>
      </c>
      <c r="T1098">
        <f t="shared" si="334"/>
        <v>0</v>
      </c>
      <c r="U1098">
        <f t="shared" si="335"/>
        <v>0</v>
      </c>
      <c r="V1098">
        <f t="shared" si="336"/>
        <v>0</v>
      </c>
      <c r="W1098" t="s">
        <v>39</v>
      </c>
      <c r="X1098">
        <f t="shared" si="337"/>
        <v>1</v>
      </c>
      <c r="Y1098">
        <f t="shared" si="338"/>
        <v>0</v>
      </c>
      <c r="Z1098">
        <v>3</v>
      </c>
      <c r="AA1098">
        <f t="shared" si="339"/>
        <v>0.5</v>
      </c>
      <c r="AB1098" t="s">
        <v>40</v>
      </c>
      <c r="AC1098">
        <f t="shared" si="340"/>
        <v>1</v>
      </c>
      <c r="AD1098">
        <f t="shared" si="341"/>
        <v>0</v>
      </c>
      <c r="AE1098" t="s">
        <v>50</v>
      </c>
      <c r="AF1098">
        <f>IF(AE1098="website",1,0)</f>
        <v>0</v>
      </c>
    </row>
    <row r="1099" spans="1:32">
      <c r="A1099" t="s">
        <v>1745</v>
      </c>
      <c r="B1099" t="s">
        <v>33</v>
      </c>
      <c r="C1099" s="3">
        <f t="shared" si="323"/>
        <v>0</v>
      </c>
      <c r="D1099">
        <f t="shared" si="324"/>
        <v>1</v>
      </c>
      <c r="E1099" t="s">
        <v>792</v>
      </c>
      <c r="F1099" t="s">
        <v>796</v>
      </c>
      <c r="G1099" s="1">
        <v>28057</v>
      </c>
      <c r="H1099" s="2">
        <f t="shared" ca="1" si="325"/>
        <v>49</v>
      </c>
      <c r="I1099" s="2">
        <f t="shared" ca="1" si="326"/>
        <v>0.34285714285714286</v>
      </c>
      <c r="J1099" t="s">
        <v>45</v>
      </c>
      <c r="K1099" t="s">
        <v>37</v>
      </c>
      <c r="L1099">
        <f t="shared" si="327"/>
        <v>1</v>
      </c>
      <c r="M1099">
        <f t="shared" si="328"/>
        <v>0</v>
      </c>
      <c r="N1099">
        <f t="shared" si="329"/>
        <v>0</v>
      </c>
      <c r="O1099" t="s">
        <v>38</v>
      </c>
      <c r="P1099">
        <f t="shared" si="330"/>
        <v>1</v>
      </c>
      <c r="Q1099">
        <f t="shared" si="331"/>
        <v>0</v>
      </c>
      <c r="R1099">
        <f t="shared" si="332"/>
        <v>0</v>
      </c>
      <c r="S1099">
        <f t="shared" si="333"/>
        <v>0</v>
      </c>
      <c r="T1099">
        <f t="shared" si="334"/>
        <v>0</v>
      </c>
      <c r="U1099">
        <f t="shared" si="335"/>
        <v>0</v>
      </c>
      <c r="V1099">
        <f t="shared" si="336"/>
        <v>0</v>
      </c>
      <c r="W1099" t="s">
        <v>58</v>
      </c>
      <c r="X1099">
        <f t="shared" si="337"/>
        <v>0</v>
      </c>
      <c r="Y1099">
        <f t="shared" si="338"/>
        <v>1</v>
      </c>
      <c r="Z1099">
        <v>3</v>
      </c>
      <c r="AA1099">
        <f t="shared" si="339"/>
        <v>0.5</v>
      </c>
      <c r="AB1099" t="s">
        <v>46</v>
      </c>
      <c r="AC1099">
        <f t="shared" si="340"/>
        <v>0</v>
      </c>
      <c r="AD1099">
        <f t="shared" si="341"/>
        <v>1</v>
      </c>
      <c r="AE1099" t="s">
        <v>90</v>
      </c>
      <c r="AF1099">
        <f>IF(AE1099="website",1,0)</f>
        <v>0</v>
      </c>
    </row>
    <row r="1100" spans="1:32">
      <c r="A1100" t="s">
        <v>1746</v>
      </c>
      <c r="B1100" t="s">
        <v>33</v>
      </c>
      <c r="C1100" s="3">
        <f t="shared" si="323"/>
        <v>0</v>
      </c>
      <c r="D1100">
        <f t="shared" si="324"/>
        <v>1</v>
      </c>
      <c r="E1100" t="s">
        <v>817</v>
      </c>
      <c r="F1100" t="s">
        <v>941</v>
      </c>
      <c r="G1100" s="1">
        <v>26476</v>
      </c>
      <c r="H1100" s="2">
        <f t="shared" ca="1" si="325"/>
        <v>54</v>
      </c>
      <c r="I1100" s="2">
        <f t="shared" ca="1" si="326"/>
        <v>0.41428571428571431</v>
      </c>
      <c r="J1100" t="s">
        <v>36</v>
      </c>
      <c r="K1100" t="s">
        <v>37</v>
      </c>
      <c r="L1100">
        <f t="shared" si="327"/>
        <v>1</v>
      </c>
      <c r="M1100">
        <f t="shared" si="328"/>
        <v>0</v>
      </c>
      <c r="N1100">
        <f t="shared" si="329"/>
        <v>0</v>
      </c>
      <c r="O1100" t="s">
        <v>137</v>
      </c>
      <c r="P1100">
        <f t="shared" si="330"/>
        <v>0</v>
      </c>
      <c r="Q1100">
        <f t="shared" si="331"/>
        <v>0</v>
      </c>
      <c r="R1100">
        <f t="shared" si="332"/>
        <v>0</v>
      </c>
      <c r="S1100">
        <f t="shared" si="333"/>
        <v>0</v>
      </c>
      <c r="T1100">
        <f t="shared" si="334"/>
        <v>0</v>
      </c>
      <c r="U1100">
        <f t="shared" si="335"/>
        <v>0</v>
      </c>
      <c r="V1100">
        <f t="shared" si="336"/>
        <v>0</v>
      </c>
      <c r="W1100" t="s">
        <v>39</v>
      </c>
      <c r="X1100">
        <f t="shared" si="337"/>
        <v>1</v>
      </c>
      <c r="Y1100">
        <f t="shared" si="338"/>
        <v>0</v>
      </c>
      <c r="Z1100">
        <v>3</v>
      </c>
      <c r="AA1100">
        <f t="shared" si="339"/>
        <v>0.5</v>
      </c>
      <c r="AB1100" t="s">
        <v>46</v>
      </c>
      <c r="AC1100">
        <f t="shared" si="340"/>
        <v>1</v>
      </c>
      <c r="AD1100">
        <f t="shared" si="341"/>
        <v>0</v>
      </c>
      <c r="AE1100" t="s">
        <v>50</v>
      </c>
      <c r="AF1100">
        <f>IF(AE1100="website",1,0)</f>
        <v>0</v>
      </c>
    </row>
    <row r="1101" spans="1:32">
      <c r="A1101" t="s">
        <v>1747</v>
      </c>
      <c r="B1101" t="s">
        <v>33</v>
      </c>
      <c r="C1101" s="3">
        <f t="shared" si="323"/>
        <v>0</v>
      </c>
      <c r="D1101">
        <f t="shared" si="324"/>
        <v>1</v>
      </c>
      <c r="E1101" t="s">
        <v>344</v>
      </c>
      <c r="F1101" t="s">
        <v>1041</v>
      </c>
      <c r="G1101" s="1">
        <v>14745</v>
      </c>
      <c r="H1101" s="2">
        <f t="shared" ca="1" si="325"/>
        <v>86</v>
      </c>
      <c r="I1101" s="2">
        <f t="shared" ca="1" si="326"/>
        <v>0.87142857142857144</v>
      </c>
      <c r="J1101" t="s">
        <v>45</v>
      </c>
      <c r="K1101" t="s">
        <v>172</v>
      </c>
      <c r="L1101">
        <f t="shared" si="327"/>
        <v>0</v>
      </c>
      <c r="M1101">
        <f t="shared" si="328"/>
        <v>0</v>
      </c>
      <c r="N1101">
        <f t="shared" si="329"/>
        <v>0</v>
      </c>
      <c r="O1101" t="s">
        <v>459</v>
      </c>
      <c r="P1101">
        <f t="shared" si="330"/>
        <v>0</v>
      </c>
      <c r="Q1101">
        <f t="shared" si="331"/>
        <v>0</v>
      </c>
      <c r="R1101">
        <f t="shared" si="332"/>
        <v>0</v>
      </c>
      <c r="S1101">
        <f t="shared" si="333"/>
        <v>0</v>
      </c>
      <c r="T1101">
        <f t="shared" si="334"/>
        <v>0</v>
      </c>
      <c r="U1101">
        <f t="shared" si="335"/>
        <v>0</v>
      </c>
      <c r="V1101">
        <f t="shared" si="336"/>
        <v>0</v>
      </c>
      <c r="W1101" t="s">
        <v>39</v>
      </c>
      <c r="X1101">
        <f t="shared" si="337"/>
        <v>1</v>
      </c>
      <c r="Y1101">
        <f t="shared" si="338"/>
        <v>0</v>
      </c>
      <c r="Z1101">
        <v>1</v>
      </c>
      <c r="AA1101">
        <f t="shared" si="339"/>
        <v>0</v>
      </c>
      <c r="AB1101" t="s">
        <v>46</v>
      </c>
      <c r="AC1101">
        <f t="shared" si="340"/>
        <v>0</v>
      </c>
      <c r="AD1101">
        <f t="shared" si="341"/>
        <v>0</v>
      </c>
      <c r="AE1101" t="s">
        <v>41</v>
      </c>
      <c r="AF1101">
        <f>IF(AE1101="website",1,0)</f>
        <v>1</v>
      </c>
    </row>
    <row r="1102" spans="1:32">
      <c r="A1102" t="s">
        <v>1748</v>
      </c>
      <c r="B1102" t="s">
        <v>33</v>
      </c>
      <c r="C1102" s="3">
        <f t="shared" si="323"/>
        <v>0</v>
      </c>
      <c r="D1102">
        <f t="shared" si="324"/>
        <v>1</v>
      </c>
      <c r="E1102" t="s">
        <v>546</v>
      </c>
      <c r="F1102" t="s">
        <v>904</v>
      </c>
      <c r="G1102" s="1">
        <v>23379</v>
      </c>
      <c r="H1102" s="2">
        <f t="shared" ca="1" si="325"/>
        <v>62</v>
      </c>
      <c r="I1102" s="2">
        <f t="shared" ca="1" si="326"/>
        <v>0.52857142857142858</v>
      </c>
      <c r="J1102" t="s">
        <v>45</v>
      </c>
      <c r="K1102" t="s">
        <v>153</v>
      </c>
      <c r="L1102">
        <f t="shared" si="327"/>
        <v>0</v>
      </c>
      <c r="M1102">
        <f t="shared" si="328"/>
        <v>0</v>
      </c>
      <c r="N1102">
        <f t="shared" si="329"/>
        <v>0</v>
      </c>
      <c r="O1102" t="s">
        <v>778</v>
      </c>
      <c r="P1102">
        <f t="shared" si="330"/>
        <v>0</v>
      </c>
      <c r="Q1102">
        <f t="shared" si="331"/>
        <v>0</v>
      </c>
      <c r="R1102">
        <f t="shared" si="332"/>
        <v>0</v>
      </c>
      <c r="S1102">
        <f t="shared" si="333"/>
        <v>0</v>
      </c>
      <c r="T1102">
        <f t="shared" si="334"/>
        <v>0</v>
      </c>
      <c r="U1102">
        <f t="shared" si="335"/>
        <v>0</v>
      </c>
      <c r="V1102">
        <f t="shared" si="336"/>
        <v>0</v>
      </c>
      <c r="W1102" t="s">
        <v>39</v>
      </c>
      <c r="X1102">
        <f t="shared" si="337"/>
        <v>1</v>
      </c>
      <c r="Y1102">
        <f t="shared" si="338"/>
        <v>0</v>
      </c>
      <c r="Z1102">
        <v>5</v>
      </c>
      <c r="AA1102">
        <f t="shared" si="339"/>
        <v>1</v>
      </c>
      <c r="AB1102" t="s">
        <v>46</v>
      </c>
      <c r="AC1102">
        <f t="shared" si="340"/>
        <v>0</v>
      </c>
      <c r="AD1102">
        <f t="shared" si="341"/>
        <v>0</v>
      </c>
      <c r="AE1102" t="s">
        <v>41</v>
      </c>
      <c r="AF1102">
        <f>IF(AE1102="website",1,0)</f>
        <v>1</v>
      </c>
    </row>
    <row r="1103" spans="1:32">
      <c r="A1103" t="s">
        <v>1749</v>
      </c>
      <c r="B1103" t="s">
        <v>55</v>
      </c>
      <c r="C1103" s="3">
        <f t="shared" si="323"/>
        <v>1</v>
      </c>
      <c r="D1103">
        <f t="shared" si="324"/>
        <v>0</v>
      </c>
      <c r="E1103" t="s">
        <v>1509</v>
      </c>
      <c r="F1103" t="s">
        <v>57</v>
      </c>
      <c r="G1103" s="1">
        <v>22042</v>
      </c>
      <c r="H1103" s="2">
        <f t="shared" ca="1" si="325"/>
        <v>66</v>
      </c>
      <c r="I1103" s="2">
        <f t="shared" ca="1" si="326"/>
        <v>0.58571428571428574</v>
      </c>
      <c r="J1103" t="s">
        <v>45</v>
      </c>
      <c r="K1103" t="s">
        <v>113</v>
      </c>
      <c r="L1103">
        <f t="shared" si="327"/>
        <v>0</v>
      </c>
      <c r="M1103">
        <f t="shared" si="328"/>
        <v>0</v>
      </c>
      <c r="N1103">
        <f t="shared" si="329"/>
        <v>1</v>
      </c>
      <c r="O1103" t="s">
        <v>114</v>
      </c>
      <c r="P1103">
        <f t="shared" si="330"/>
        <v>0</v>
      </c>
      <c r="Q1103">
        <f t="shared" si="331"/>
        <v>0</v>
      </c>
      <c r="R1103">
        <f t="shared" si="332"/>
        <v>0</v>
      </c>
      <c r="S1103">
        <f t="shared" si="333"/>
        <v>1</v>
      </c>
      <c r="T1103">
        <f t="shared" si="334"/>
        <v>0</v>
      </c>
      <c r="U1103">
        <f t="shared" si="335"/>
        <v>0</v>
      </c>
      <c r="V1103">
        <f t="shared" si="336"/>
        <v>0</v>
      </c>
      <c r="W1103" t="s">
        <v>39</v>
      </c>
      <c r="X1103">
        <f t="shared" si="337"/>
        <v>1</v>
      </c>
      <c r="Y1103">
        <f t="shared" si="338"/>
        <v>0</v>
      </c>
      <c r="Z1103">
        <v>2</v>
      </c>
      <c r="AA1103">
        <f t="shared" si="339"/>
        <v>0.25</v>
      </c>
      <c r="AB1103" t="s">
        <v>46</v>
      </c>
      <c r="AC1103">
        <f t="shared" si="340"/>
        <v>1</v>
      </c>
      <c r="AD1103">
        <f t="shared" si="341"/>
        <v>0</v>
      </c>
      <c r="AE1103" t="s">
        <v>50</v>
      </c>
      <c r="AF1103">
        <f>IF(AE1103="website",1,0)</f>
        <v>0</v>
      </c>
    </row>
    <row r="1104" spans="1:32">
      <c r="A1104" t="s">
        <v>1750</v>
      </c>
      <c r="B1104" t="s">
        <v>33</v>
      </c>
      <c r="C1104" s="3">
        <f t="shared" si="323"/>
        <v>0</v>
      </c>
      <c r="D1104">
        <f t="shared" si="324"/>
        <v>1</v>
      </c>
      <c r="E1104" t="s">
        <v>609</v>
      </c>
      <c r="F1104" t="s">
        <v>616</v>
      </c>
      <c r="G1104" s="1">
        <v>22398</v>
      </c>
      <c r="H1104" s="2">
        <f t="shared" ca="1" si="325"/>
        <v>65</v>
      </c>
      <c r="I1104" s="2">
        <f t="shared" ca="1" si="326"/>
        <v>0.5714285714285714</v>
      </c>
      <c r="J1104" t="s">
        <v>45</v>
      </c>
      <c r="K1104" t="s">
        <v>153</v>
      </c>
      <c r="L1104">
        <f t="shared" si="327"/>
        <v>0</v>
      </c>
      <c r="M1104">
        <f t="shared" si="328"/>
        <v>0</v>
      </c>
      <c r="N1104">
        <f t="shared" si="329"/>
        <v>0</v>
      </c>
      <c r="O1104" t="s">
        <v>945</v>
      </c>
      <c r="P1104">
        <f t="shared" si="330"/>
        <v>0</v>
      </c>
      <c r="Q1104">
        <f t="shared" si="331"/>
        <v>0</v>
      </c>
      <c r="R1104">
        <f t="shared" si="332"/>
        <v>0</v>
      </c>
      <c r="S1104">
        <f t="shared" si="333"/>
        <v>0</v>
      </c>
      <c r="T1104">
        <f t="shared" si="334"/>
        <v>0</v>
      </c>
      <c r="U1104">
        <f t="shared" si="335"/>
        <v>0</v>
      </c>
      <c r="V1104">
        <f t="shared" si="336"/>
        <v>0</v>
      </c>
      <c r="W1104" t="s">
        <v>39</v>
      </c>
      <c r="X1104">
        <f t="shared" si="337"/>
        <v>1</v>
      </c>
      <c r="Y1104">
        <f t="shared" si="338"/>
        <v>0</v>
      </c>
      <c r="Z1104">
        <v>4</v>
      </c>
      <c r="AA1104">
        <f t="shared" si="339"/>
        <v>0.75</v>
      </c>
      <c r="AB1104" t="s">
        <v>46</v>
      </c>
      <c r="AC1104">
        <f t="shared" si="340"/>
        <v>1</v>
      </c>
      <c r="AD1104">
        <f t="shared" si="341"/>
        <v>0</v>
      </c>
      <c r="AE1104" t="s">
        <v>50</v>
      </c>
      <c r="AF1104">
        <f>IF(AE1104="website",1,0)</f>
        <v>0</v>
      </c>
    </row>
    <row r="1105" spans="1:32">
      <c r="A1105" t="s">
        <v>1751</v>
      </c>
      <c r="B1105" t="s">
        <v>33</v>
      </c>
      <c r="C1105" s="3">
        <f t="shared" si="323"/>
        <v>0</v>
      </c>
      <c r="D1105">
        <f t="shared" si="324"/>
        <v>1</v>
      </c>
      <c r="E1105" t="s">
        <v>288</v>
      </c>
      <c r="F1105" t="s">
        <v>552</v>
      </c>
      <c r="G1105" s="1">
        <v>36083</v>
      </c>
      <c r="H1105" s="2">
        <f t="shared" ca="1" si="325"/>
        <v>27</v>
      </c>
      <c r="I1105" s="2">
        <f t="shared" ca="1" si="326"/>
        <v>2.8571428571428571E-2</v>
      </c>
      <c r="J1105" t="s">
        <v>45</v>
      </c>
      <c r="K1105" t="s">
        <v>37</v>
      </c>
      <c r="L1105">
        <f t="shared" si="327"/>
        <v>1</v>
      </c>
      <c r="M1105">
        <f t="shared" si="328"/>
        <v>0</v>
      </c>
      <c r="N1105">
        <f t="shared" si="329"/>
        <v>0</v>
      </c>
      <c r="O1105" t="s">
        <v>183</v>
      </c>
      <c r="P1105">
        <f t="shared" si="330"/>
        <v>0</v>
      </c>
      <c r="Q1105">
        <f t="shared" si="331"/>
        <v>0</v>
      </c>
      <c r="R1105">
        <f t="shared" si="332"/>
        <v>0</v>
      </c>
      <c r="S1105">
        <f t="shared" si="333"/>
        <v>0</v>
      </c>
      <c r="T1105">
        <f t="shared" si="334"/>
        <v>0</v>
      </c>
      <c r="U1105">
        <f t="shared" si="335"/>
        <v>0</v>
      </c>
      <c r="V1105">
        <f t="shared" si="336"/>
        <v>0</v>
      </c>
      <c r="W1105" t="s">
        <v>58</v>
      </c>
      <c r="X1105">
        <f t="shared" si="337"/>
        <v>0</v>
      </c>
      <c r="Y1105">
        <f t="shared" si="338"/>
        <v>1</v>
      </c>
      <c r="Z1105">
        <v>5</v>
      </c>
      <c r="AA1105">
        <f t="shared" si="339"/>
        <v>1</v>
      </c>
      <c r="AB1105" t="s">
        <v>40</v>
      </c>
      <c r="AC1105">
        <f t="shared" si="340"/>
        <v>0</v>
      </c>
      <c r="AD1105">
        <f t="shared" si="341"/>
        <v>0</v>
      </c>
      <c r="AE1105" t="s">
        <v>41</v>
      </c>
      <c r="AF1105">
        <f>IF(AE1105="website",1,0)</f>
        <v>1</v>
      </c>
    </row>
    <row r="1106" spans="1:32">
      <c r="A1106" t="s">
        <v>1752</v>
      </c>
      <c r="B1106" t="s">
        <v>33</v>
      </c>
      <c r="C1106" s="3">
        <f t="shared" si="323"/>
        <v>0</v>
      </c>
      <c r="D1106">
        <f t="shared" si="324"/>
        <v>1</v>
      </c>
      <c r="E1106" t="s">
        <v>832</v>
      </c>
      <c r="F1106" t="s">
        <v>887</v>
      </c>
      <c r="G1106" s="1">
        <v>14624</v>
      </c>
      <c r="H1106" s="2">
        <f t="shared" ca="1" si="325"/>
        <v>86</v>
      </c>
      <c r="I1106" s="2">
        <f t="shared" ca="1" si="326"/>
        <v>0.87142857142857144</v>
      </c>
      <c r="J1106" t="s">
        <v>45</v>
      </c>
      <c r="K1106" t="s">
        <v>37</v>
      </c>
      <c r="L1106">
        <f t="shared" si="327"/>
        <v>1</v>
      </c>
      <c r="M1106">
        <f t="shared" si="328"/>
        <v>0</v>
      </c>
      <c r="N1106">
        <f t="shared" si="329"/>
        <v>0</v>
      </c>
      <c r="O1106" t="s">
        <v>124</v>
      </c>
      <c r="P1106">
        <f t="shared" si="330"/>
        <v>0</v>
      </c>
      <c r="Q1106">
        <f t="shared" si="331"/>
        <v>0</v>
      </c>
      <c r="R1106">
        <f t="shared" si="332"/>
        <v>0</v>
      </c>
      <c r="S1106">
        <f t="shared" si="333"/>
        <v>0</v>
      </c>
      <c r="T1106">
        <f t="shared" si="334"/>
        <v>0</v>
      </c>
      <c r="U1106">
        <f t="shared" si="335"/>
        <v>1</v>
      </c>
      <c r="V1106">
        <f t="shared" si="336"/>
        <v>0</v>
      </c>
      <c r="W1106" t="s">
        <v>39</v>
      </c>
      <c r="X1106">
        <f t="shared" si="337"/>
        <v>1</v>
      </c>
      <c r="Y1106">
        <f t="shared" si="338"/>
        <v>0</v>
      </c>
      <c r="Z1106">
        <v>3</v>
      </c>
      <c r="AA1106">
        <f t="shared" si="339"/>
        <v>0.5</v>
      </c>
      <c r="AB1106" t="s">
        <v>40</v>
      </c>
      <c r="AC1106">
        <f t="shared" si="340"/>
        <v>0</v>
      </c>
      <c r="AD1106">
        <f t="shared" si="341"/>
        <v>0</v>
      </c>
      <c r="AE1106" t="s">
        <v>41</v>
      </c>
      <c r="AF1106">
        <f>IF(AE1106="website",1,0)</f>
        <v>1</v>
      </c>
    </row>
    <row r="1107" spans="1:32">
      <c r="A1107" t="s">
        <v>1753</v>
      </c>
      <c r="B1107" t="s">
        <v>33</v>
      </c>
      <c r="C1107" s="3">
        <f t="shared" si="323"/>
        <v>0</v>
      </c>
      <c r="D1107">
        <f t="shared" si="324"/>
        <v>1</v>
      </c>
      <c r="E1107" t="s">
        <v>629</v>
      </c>
      <c r="F1107" t="s">
        <v>610</v>
      </c>
      <c r="G1107" s="1">
        <v>30087</v>
      </c>
      <c r="H1107" s="2">
        <f t="shared" ca="1" si="325"/>
        <v>44</v>
      </c>
      <c r="I1107" s="2">
        <f t="shared" ca="1" si="326"/>
        <v>0.27142857142857141</v>
      </c>
      <c r="J1107" t="s">
        <v>45</v>
      </c>
      <c r="K1107" t="s">
        <v>37</v>
      </c>
      <c r="L1107">
        <f t="shared" si="327"/>
        <v>1</v>
      </c>
      <c r="M1107">
        <f t="shared" si="328"/>
        <v>0</v>
      </c>
      <c r="N1107">
        <f t="shared" si="329"/>
        <v>0</v>
      </c>
      <c r="O1107" t="s">
        <v>38</v>
      </c>
      <c r="P1107">
        <f t="shared" si="330"/>
        <v>1</v>
      </c>
      <c r="Q1107">
        <f t="shared" si="331"/>
        <v>0</v>
      </c>
      <c r="R1107">
        <f t="shared" si="332"/>
        <v>0</v>
      </c>
      <c r="S1107">
        <f t="shared" si="333"/>
        <v>0</v>
      </c>
      <c r="T1107">
        <f t="shared" si="334"/>
        <v>0</v>
      </c>
      <c r="U1107">
        <f t="shared" si="335"/>
        <v>0</v>
      </c>
      <c r="V1107">
        <f t="shared" si="336"/>
        <v>0</v>
      </c>
      <c r="W1107" t="s">
        <v>39</v>
      </c>
      <c r="X1107">
        <f t="shared" si="337"/>
        <v>1</v>
      </c>
      <c r="Y1107">
        <f t="shared" si="338"/>
        <v>0</v>
      </c>
      <c r="Z1107">
        <v>1</v>
      </c>
      <c r="AA1107">
        <f t="shared" si="339"/>
        <v>0</v>
      </c>
      <c r="AB1107" t="s">
        <v>46</v>
      </c>
      <c r="AC1107">
        <f t="shared" si="340"/>
        <v>1</v>
      </c>
      <c r="AD1107">
        <f t="shared" si="341"/>
        <v>0</v>
      </c>
      <c r="AE1107" t="s">
        <v>50</v>
      </c>
      <c r="AF1107">
        <f>IF(AE1107="website",1,0)</f>
        <v>0</v>
      </c>
    </row>
    <row r="1108" spans="1:32">
      <c r="A1108" t="s">
        <v>1754</v>
      </c>
      <c r="B1108" t="s">
        <v>33</v>
      </c>
      <c r="C1108" s="3">
        <f t="shared" si="323"/>
        <v>0</v>
      </c>
      <c r="D1108">
        <f t="shared" si="324"/>
        <v>1</v>
      </c>
      <c r="E1108" t="s">
        <v>344</v>
      </c>
      <c r="F1108" t="s">
        <v>823</v>
      </c>
      <c r="G1108" s="1">
        <v>17547</v>
      </c>
      <c r="H1108" s="2">
        <f t="shared" ca="1" si="325"/>
        <v>78</v>
      </c>
      <c r="I1108" s="2">
        <f t="shared" ca="1" si="326"/>
        <v>0.75714285714285712</v>
      </c>
      <c r="J1108" t="s">
        <v>45</v>
      </c>
      <c r="K1108" t="s">
        <v>65</v>
      </c>
      <c r="L1108">
        <f t="shared" si="327"/>
        <v>0</v>
      </c>
      <c r="M1108">
        <f t="shared" si="328"/>
        <v>1</v>
      </c>
      <c r="N1108">
        <f t="shared" si="329"/>
        <v>0</v>
      </c>
      <c r="O1108" t="s">
        <v>642</v>
      </c>
      <c r="P1108">
        <f t="shared" si="330"/>
        <v>0</v>
      </c>
      <c r="Q1108">
        <f t="shared" si="331"/>
        <v>0</v>
      </c>
      <c r="R1108">
        <f t="shared" si="332"/>
        <v>0</v>
      </c>
      <c r="S1108">
        <f t="shared" si="333"/>
        <v>0</v>
      </c>
      <c r="T1108">
        <f t="shared" si="334"/>
        <v>0</v>
      </c>
      <c r="U1108">
        <f t="shared" si="335"/>
        <v>0</v>
      </c>
      <c r="V1108">
        <f t="shared" si="336"/>
        <v>0</v>
      </c>
      <c r="W1108" t="s">
        <v>39</v>
      </c>
      <c r="X1108">
        <f t="shared" si="337"/>
        <v>1</v>
      </c>
      <c r="Y1108">
        <f t="shared" si="338"/>
        <v>0</v>
      </c>
      <c r="Z1108">
        <v>1</v>
      </c>
      <c r="AA1108">
        <f t="shared" si="339"/>
        <v>0</v>
      </c>
      <c r="AB1108" t="s">
        <v>46</v>
      </c>
      <c r="AC1108">
        <f t="shared" si="340"/>
        <v>0</v>
      </c>
      <c r="AD1108">
        <f t="shared" si="341"/>
        <v>0</v>
      </c>
      <c r="AE1108" t="s">
        <v>41</v>
      </c>
      <c r="AF1108">
        <f>IF(AE1108="website",1,0)</f>
        <v>1</v>
      </c>
    </row>
    <row r="1109" spans="1:32">
      <c r="A1109" t="s">
        <v>1755</v>
      </c>
      <c r="B1109" t="s">
        <v>33</v>
      </c>
      <c r="C1109" s="3">
        <f t="shared" si="323"/>
        <v>0</v>
      </c>
      <c r="D1109">
        <f t="shared" si="324"/>
        <v>1</v>
      </c>
      <c r="E1109" t="s">
        <v>259</v>
      </c>
      <c r="F1109" t="s">
        <v>887</v>
      </c>
      <c r="G1109" s="1">
        <v>34346</v>
      </c>
      <c r="H1109" s="2">
        <f t="shared" ca="1" si="325"/>
        <v>32</v>
      </c>
      <c r="I1109" s="2">
        <f t="shared" ca="1" si="326"/>
        <v>0.1</v>
      </c>
      <c r="J1109" t="s">
        <v>36</v>
      </c>
      <c r="K1109" t="s">
        <v>819</v>
      </c>
      <c r="L1109">
        <f t="shared" si="327"/>
        <v>0</v>
      </c>
      <c r="M1109">
        <f t="shared" si="328"/>
        <v>0</v>
      </c>
      <c r="N1109">
        <f t="shared" si="329"/>
        <v>0</v>
      </c>
      <c r="O1109" t="s">
        <v>1177</v>
      </c>
      <c r="P1109">
        <f t="shared" si="330"/>
        <v>0</v>
      </c>
      <c r="Q1109">
        <f t="shared" si="331"/>
        <v>0</v>
      </c>
      <c r="R1109">
        <f t="shared" si="332"/>
        <v>0</v>
      </c>
      <c r="S1109">
        <f t="shared" si="333"/>
        <v>0</v>
      </c>
      <c r="T1109">
        <f t="shared" si="334"/>
        <v>0</v>
      </c>
      <c r="U1109">
        <f t="shared" si="335"/>
        <v>0</v>
      </c>
      <c r="V1109">
        <f t="shared" si="336"/>
        <v>0</v>
      </c>
      <c r="W1109" t="s">
        <v>39</v>
      </c>
      <c r="X1109">
        <f t="shared" si="337"/>
        <v>1</v>
      </c>
      <c r="Y1109">
        <f t="shared" si="338"/>
        <v>0</v>
      </c>
      <c r="Z1109">
        <v>4</v>
      </c>
      <c r="AA1109">
        <f t="shared" si="339"/>
        <v>0.75</v>
      </c>
      <c r="AB1109" t="s">
        <v>46</v>
      </c>
      <c r="AC1109">
        <f t="shared" si="340"/>
        <v>0</v>
      </c>
      <c r="AD1109">
        <f t="shared" si="341"/>
        <v>0</v>
      </c>
      <c r="AE1109" t="s">
        <v>41</v>
      </c>
      <c r="AF1109">
        <f>IF(AE1109="website",1,0)</f>
        <v>1</v>
      </c>
    </row>
    <row r="1110" spans="1:32">
      <c r="A1110" t="s">
        <v>1756</v>
      </c>
      <c r="B1110" t="s">
        <v>33</v>
      </c>
      <c r="C1110" s="3">
        <f t="shared" si="323"/>
        <v>0</v>
      </c>
      <c r="D1110">
        <f t="shared" si="324"/>
        <v>1</v>
      </c>
      <c r="E1110" t="s">
        <v>768</v>
      </c>
      <c r="F1110" t="s">
        <v>366</v>
      </c>
      <c r="G1110" s="1">
        <v>24720</v>
      </c>
      <c r="H1110" s="2">
        <f t="shared" ca="1" si="325"/>
        <v>59</v>
      </c>
      <c r="I1110" s="2">
        <f t="shared" ca="1" si="326"/>
        <v>0.48571428571428571</v>
      </c>
      <c r="J1110" t="s">
        <v>36</v>
      </c>
      <c r="K1110" t="s">
        <v>37</v>
      </c>
      <c r="L1110">
        <f t="shared" si="327"/>
        <v>1</v>
      </c>
      <c r="M1110">
        <f t="shared" si="328"/>
        <v>0</v>
      </c>
      <c r="N1110">
        <f t="shared" si="329"/>
        <v>0</v>
      </c>
      <c r="O1110" t="s">
        <v>38</v>
      </c>
      <c r="P1110">
        <f t="shared" si="330"/>
        <v>1</v>
      </c>
      <c r="Q1110">
        <f t="shared" si="331"/>
        <v>0</v>
      </c>
      <c r="R1110">
        <f t="shared" si="332"/>
        <v>0</v>
      </c>
      <c r="S1110">
        <f t="shared" si="333"/>
        <v>0</v>
      </c>
      <c r="T1110">
        <f t="shared" si="334"/>
        <v>0</v>
      </c>
      <c r="U1110">
        <f t="shared" si="335"/>
        <v>0</v>
      </c>
      <c r="V1110">
        <f t="shared" si="336"/>
        <v>0</v>
      </c>
      <c r="W1110" t="s">
        <v>39</v>
      </c>
      <c r="X1110">
        <f t="shared" si="337"/>
        <v>1</v>
      </c>
      <c r="Y1110">
        <f t="shared" si="338"/>
        <v>0</v>
      </c>
      <c r="Z1110">
        <v>1</v>
      </c>
      <c r="AA1110">
        <f t="shared" si="339"/>
        <v>0</v>
      </c>
      <c r="AB1110" t="s">
        <v>40</v>
      </c>
      <c r="AC1110">
        <f t="shared" si="340"/>
        <v>0</v>
      </c>
      <c r="AD1110">
        <f t="shared" si="341"/>
        <v>1</v>
      </c>
      <c r="AE1110" t="s">
        <v>90</v>
      </c>
      <c r="AF1110">
        <f>IF(AE1110="website",1,0)</f>
        <v>0</v>
      </c>
    </row>
    <row r="1111" spans="1:32">
      <c r="A1111" t="s">
        <v>1757</v>
      </c>
      <c r="B1111" t="s">
        <v>33</v>
      </c>
      <c r="C1111" s="3">
        <f t="shared" si="323"/>
        <v>0</v>
      </c>
      <c r="D1111">
        <f t="shared" si="324"/>
        <v>1</v>
      </c>
      <c r="E1111" t="s">
        <v>1125</v>
      </c>
      <c r="F1111" t="s">
        <v>825</v>
      </c>
      <c r="G1111" s="1">
        <v>28257</v>
      </c>
      <c r="H1111" s="2">
        <f t="shared" ca="1" si="325"/>
        <v>49</v>
      </c>
      <c r="I1111" s="2">
        <f t="shared" ca="1" si="326"/>
        <v>0.34285714285714286</v>
      </c>
      <c r="J1111" t="s">
        <v>45</v>
      </c>
      <c r="K1111" t="s">
        <v>37</v>
      </c>
      <c r="L1111">
        <f t="shared" si="327"/>
        <v>1</v>
      </c>
      <c r="M1111">
        <f t="shared" si="328"/>
        <v>0</v>
      </c>
      <c r="N1111">
        <f t="shared" si="329"/>
        <v>0</v>
      </c>
      <c r="O1111" t="s">
        <v>717</v>
      </c>
      <c r="P1111">
        <f t="shared" si="330"/>
        <v>0</v>
      </c>
      <c r="Q1111">
        <f t="shared" si="331"/>
        <v>0</v>
      </c>
      <c r="R1111">
        <f t="shared" si="332"/>
        <v>0</v>
      </c>
      <c r="S1111">
        <f t="shared" si="333"/>
        <v>0</v>
      </c>
      <c r="T1111">
        <f t="shared" si="334"/>
        <v>0</v>
      </c>
      <c r="U1111">
        <f t="shared" si="335"/>
        <v>0</v>
      </c>
      <c r="V1111">
        <f t="shared" si="336"/>
        <v>0</v>
      </c>
      <c r="W1111" t="s">
        <v>39</v>
      </c>
      <c r="X1111">
        <f t="shared" si="337"/>
        <v>1</v>
      </c>
      <c r="Y1111">
        <f t="shared" si="338"/>
        <v>0</v>
      </c>
      <c r="Z1111">
        <v>5</v>
      </c>
      <c r="AA1111">
        <f t="shared" si="339"/>
        <v>1</v>
      </c>
      <c r="AB1111" t="s">
        <v>40</v>
      </c>
      <c r="AC1111">
        <f t="shared" si="340"/>
        <v>0</v>
      </c>
      <c r="AD1111">
        <f t="shared" si="341"/>
        <v>0</v>
      </c>
      <c r="AE1111" t="s">
        <v>41</v>
      </c>
      <c r="AF1111">
        <f>IF(AE1111="website",1,0)</f>
        <v>1</v>
      </c>
    </row>
    <row r="1112" spans="1:32">
      <c r="A1112" t="s">
        <v>1758</v>
      </c>
      <c r="B1112" t="s">
        <v>55</v>
      </c>
      <c r="C1112" s="3">
        <f t="shared" si="323"/>
        <v>1</v>
      </c>
      <c r="D1112">
        <f t="shared" si="324"/>
        <v>0</v>
      </c>
      <c r="E1112" t="s">
        <v>1175</v>
      </c>
      <c r="F1112" t="s">
        <v>57</v>
      </c>
      <c r="G1112" s="1">
        <v>24495</v>
      </c>
      <c r="H1112" s="2">
        <f t="shared" ca="1" si="325"/>
        <v>59</v>
      </c>
      <c r="I1112" s="2">
        <f t="shared" ca="1" si="326"/>
        <v>0.48571428571428571</v>
      </c>
      <c r="J1112" t="s">
        <v>45</v>
      </c>
      <c r="K1112" t="s">
        <v>37</v>
      </c>
      <c r="L1112">
        <f t="shared" si="327"/>
        <v>1</v>
      </c>
      <c r="M1112">
        <f t="shared" si="328"/>
        <v>0</v>
      </c>
      <c r="N1112">
        <f t="shared" si="329"/>
        <v>0</v>
      </c>
      <c r="O1112" t="s">
        <v>38</v>
      </c>
      <c r="P1112">
        <f t="shared" si="330"/>
        <v>1</v>
      </c>
      <c r="Q1112">
        <f t="shared" si="331"/>
        <v>0</v>
      </c>
      <c r="R1112">
        <f t="shared" si="332"/>
        <v>0</v>
      </c>
      <c r="S1112">
        <f t="shared" si="333"/>
        <v>0</v>
      </c>
      <c r="T1112">
        <f t="shared" si="334"/>
        <v>0</v>
      </c>
      <c r="U1112">
        <f t="shared" si="335"/>
        <v>0</v>
      </c>
      <c r="V1112">
        <f t="shared" si="336"/>
        <v>0</v>
      </c>
      <c r="W1112" t="s">
        <v>39</v>
      </c>
      <c r="X1112">
        <f t="shared" si="337"/>
        <v>1</v>
      </c>
      <c r="Y1112">
        <f t="shared" si="338"/>
        <v>0</v>
      </c>
      <c r="Z1112">
        <v>4</v>
      </c>
      <c r="AA1112">
        <f t="shared" si="339"/>
        <v>0.75</v>
      </c>
      <c r="AB1112" t="s">
        <v>40</v>
      </c>
      <c r="AC1112">
        <f t="shared" si="340"/>
        <v>0</v>
      </c>
      <c r="AD1112">
        <f t="shared" si="341"/>
        <v>0</v>
      </c>
      <c r="AE1112" t="s">
        <v>41</v>
      </c>
      <c r="AF1112">
        <f>IF(AE1112="website",1,0)</f>
        <v>1</v>
      </c>
    </row>
    <row r="1113" spans="1:32">
      <c r="A1113" t="s">
        <v>1759</v>
      </c>
      <c r="B1113" t="s">
        <v>33</v>
      </c>
      <c r="C1113" s="3">
        <f t="shared" si="323"/>
        <v>0</v>
      </c>
      <c r="D1113">
        <f t="shared" si="324"/>
        <v>1</v>
      </c>
      <c r="E1113" t="s">
        <v>1307</v>
      </c>
      <c r="F1113" t="s">
        <v>554</v>
      </c>
      <c r="G1113" s="1">
        <v>29956</v>
      </c>
      <c r="H1113" s="2">
        <f t="shared" ca="1" si="325"/>
        <v>44</v>
      </c>
      <c r="I1113" s="2">
        <f t="shared" ca="1" si="326"/>
        <v>0.27142857142857141</v>
      </c>
      <c r="J1113" t="s">
        <v>45</v>
      </c>
      <c r="K1113" t="s">
        <v>37</v>
      </c>
      <c r="L1113">
        <f t="shared" si="327"/>
        <v>1</v>
      </c>
      <c r="M1113">
        <f t="shared" si="328"/>
        <v>0</v>
      </c>
      <c r="N1113">
        <f t="shared" si="329"/>
        <v>0</v>
      </c>
      <c r="O1113" t="s">
        <v>124</v>
      </c>
      <c r="P1113">
        <f t="shared" si="330"/>
        <v>0</v>
      </c>
      <c r="Q1113">
        <f t="shared" si="331"/>
        <v>0</v>
      </c>
      <c r="R1113">
        <f t="shared" si="332"/>
        <v>0</v>
      </c>
      <c r="S1113">
        <f t="shared" si="333"/>
        <v>0</v>
      </c>
      <c r="T1113">
        <f t="shared" si="334"/>
        <v>0</v>
      </c>
      <c r="U1113">
        <f t="shared" si="335"/>
        <v>1</v>
      </c>
      <c r="V1113">
        <f t="shared" si="336"/>
        <v>0</v>
      </c>
      <c r="W1113" t="s">
        <v>58</v>
      </c>
      <c r="X1113">
        <f t="shared" si="337"/>
        <v>0</v>
      </c>
      <c r="Y1113">
        <f t="shared" si="338"/>
        <v>1</v>
      </c>
      <c r="Z1113">
        <v>3</v>
      </c>
      <c r="AA1113">
        <f t="shared" si="339"/>
        <v>0.5</v>
      </c>
      <c r="AB1113" t="s">
        <v>40</v>
      </c>
      <c r="AC1113">
        <f t="shared" si="340"/>
        <v>0</v>
      </c>
      <c r="AD1113">
        <f t="shared" si="341"/>
        <v>0</v>
      </c>
      <c r="AE1113" t="s">
        <v>41</v>
      </c>
      <c r="AF1113">
        <f>IF(AE1113="website",1,0)</f>
        <v>1</v>
      </c>
    </row>
    <row r="1114" spans="1:32">
      <c r="A1114" t="s">
        <v>1760</v>
      </c>
      <c r="B1114" t="s">
        <v>33</v>
      </c>
      <c r="C1114" s="3">
        <f t="shared" si="323"/>
        <v>0</v>
      </c>
      <c r="D1114">
        <f t="shared" si="324"/>
        <v>1</v>
      </c>
      <c r="E1114" t="s">
        <v>988</v>
      </c>
      <c r="F1114" t="s">
        <v>610</v>
      </c>
      <c r="G1114" s="1">
        <v>27259</v>
      </c>
      <c r="H1114" s="2">
        <f t="shared" ca="1" si="325"/>
        <v>52</v>
      </c>
      <c r="I1114" s="2">
        <f t="shared" ca="1" si="326"/>
        <v>0.38571428571428573</v>
      </c>
      <c r="J1114" t="s">
        <v>36</v>
      </c>
      <c r="K1114" t="s">
        <v>37</v>
      </c>
      <c r="L1114">
        <f t="shared" si="327"/>
        <v>1</v>
      </c>
      <c r="M1114">
        <f t="shared" si="328"/>
        <v>0</v>
      </c>
      <c r="N1114">
        <f t="shared" si="329"/>
        <v>0</v>
      </c>
      <c r="O1114" t="s">
        <v>592</v>
      </c>
      <c r="P1114">
        <f t="shared" si="330"/>
        <v>0</v>
      </c>
      <c r="Q1114">
        <f t="shared" si="331"/>
        <v>0</v>
      </c>
      <c r="R1114">
        <f t="shared" si="332"/>
        <v>0</v>
      </c>
      <c r="S1114">
        <f t="shared" si="333"/>
        <v>0</v>
      </c>
      <c r="T1114">
        <f t="shared" si="334"/>
        <v>0</v>
      </c>
      <c r="U1114">
        <f t="shared" si="335"/>
        <v>0</v>
      </c>
      <c r="V1114">
        <f t="shared" si="336"/>
        <v>0</v>
      </c>
      <c r="W1114" t="s">
        <v>58</v>
      </c>
      <c r="X1114">
        <f t="shared" si="337"/>
        <v>0</v>
      </c>
      <c r="Y1114">
        <f t="shared" si="338"/>
        <v>1</v>
      </c>
      <c r="Z1114">
        <v>2</v>
      </c>
      <c r="AA1114">
        <f t="shared" si="339"/>
        <v>0.25</v>
      </c>
      <c r="AB1114" t="s">
        <v>46</v>
      </c>
      <c r="AC1114">
        <f t="shared" si="340"/>
        <v>0</v>
      </c>
      <c r="AD1114">
        <f t="shared" si="341"/>
        <v>1</v>
      </c>
      <c r="AE1114" t="s">
        <v>90</v>
      </c>
      <c r="AF1114">
        <f>IF(AE1114="website",1,0)</f>
        <v>0</v>
      </c>
    </row>
    <row r="1115" spans="1:32">
      <c r="A1115" t="s">
        <v>1761</v>
      </c>
      <c r="B1115" t="s">
        <v>33</v>
      </c>
      <c r="C1115" s="3">
        <f t="shared" si="323"/>
        <v>0</v>
      </c>
      <c r="D1115">
        <f t="shared" si="324"/>
        <v>1</v>
      </c>
      <c r="E1115" t="s">
        <v>606</v>
      </c>
      <c r="F1115" t="s">
        <v>669</v>
      </c>
      <c r="G1115" s="1">
        <v>33638</v>
      </c>
      <c r="H1115" s="2">
        <f t="shared" ca="1" si="325"/>
        <v>34</v>
      </c>
      <c r="I1115" s="2">
        <f t="shared" ca="1" si="326"/>
        <v>0.12857142857142856</v>
      </c>
      <c r="J1115" t="s">
        <v>36</v>
      </c>
      <c r="K1115" t="s">
        <v>37</v>
      </c>
      <c r="L1115">
        <f t="shared" si="327"/>
        <v>1</v>
      </c>
      <c r="M1115">
        <f t="shared" si="328"/>
        <v>0</v>
      </c>
      <c r="N1115">
        <f t="shared" si="329"/>
        <v>0</v>
      </c>
      <c r="O1115" t="s">
        <v>38</v>
      </c>
      <c r="P1115">
        <f t="shared" si="330"/>
        <v>1</v>
      </c>
      <c r="Q1115">
        <f t="shared" si="331"/>
        <v>0</v>
      </c>
      <c r="R1115">
        <f t="shared" si="332"/>
        <v>0</v>
      </c>
      <c r="S1115">
        <f t="shared" si="333"/>
        <v>0</v>
      </c>
      <c r="T1115">
        <f t="shared" si="334"/>
        <v>0</v>
      </c>
      <c r="U1115">
        <f t="shared" si="335"/>
        <v>0</v>
      </c>
      <c r="V1115">
        <f t="shared" si="336"/>
        <v>0</v>
      </c>
      <c r="W1115" t="s">
        <v>39</v>
      </c>
      <c r="X1115">
        <f t="shared" si="337"/>
        <v>1</v>
      </c>
      <c r="Y1115">
        <f t="shared" si="338"/>
        <v>0</v>
      </c>
      <c r="Z1115">
        <v>3</v>
      </c>
      <c r="AA1115">
        <f t="shared" si="339"/>
        <v>0.5</v>
      </c>
      <c r="AB1115" t="s">
        <v>46</v>
      </c>
      <c r="AC1115">
        <f t="shared" si="340"/>
        <v>0</v>
      </c>
      <c r="AD1115">
        <f t="shared" si="341"/>
        <v>0</v>
      </c>
      <c r="AE1115" t="s">
        <v>41</v>
      </c>
      <c r="AF1115">
        <f>IF(AE1115="website",1,0)</f>
        <v>1</v>
      </c>
    </row>
    <row r="1116" spans="1:32">
      <c r="A1116" t="s">
        <v>1762</v>
      </c>
      <c r="B1116" t="s">
        <v>33</v>
      </c>
      <c r="C1116" s="3">
        <f t="shared" si="323"/>
        <v>0</v>
      </c>
      <c r="D1116">
        <f t="shared" si="324"/>
        <v>1</v>
      </c>
      <c r="E1116" t="s">
        <v>126</v>
      </c>
      <c r="F1116" t="s">
        <v>818</v>
      </c>
      <c r="G1116" s="1">
        <v>26961</v>
      </c>
      <c r="H1116" s="2">
        <f t="shared" ca="1" si="325"/>
        <v>52</v>
      </c>
      <c r="I1116" s="2">
        <f t="shared" ca="1" si="326"/>
        <v>0.38571428571428573</v>
      </c>
      <c r="J1116" t="s">
        <v>45</v>
      </c>
      <c r="K1116" t="s">
        <v>37</v>
      </c>
      <c r="L1116">
        <f t="shared" si="327"/>
        <v>1</v>
      </c>
      <c r="M1116">
        <f t="shared" si="328"/>
        <v>0</v>
      </c>
      <c r="N1116">
        <f t="shared" si="329"/>
        <v>0</v>
      </c>
      <c r="O1116" t="s">
        <v>137</v>
      </c>
      <c r="P1116">
        <f t="shared" si="330"/>
        <v>0</v>
      </c>
      <c r="Q1116">
        <f t="shared" si="331"/>
        <v>0</v>
      </c>
      <c r="R1116">
        <f t="shared" si="332"/>
        <v>0</v>
      </c>
      <c r="S1116">
        <f t="shared" si="333"/>
        <v>0</v>
      </c>
      <c r="T1116">
        <f t="shared" si="334"/>
        <v>0</v>
      </c>
      <c r="U1116">
        <f t="shared" si="335"/>
        <v>0</v>
      </c>
      <c r="V1116">
        <f t="shared" si="336"/>
        <v>0</v>
      </c>
      <c r="W1116" t="s">
        <v>39</v>
      </c>
      <c r="X1116">
        <f t="shared" si="337"/>
        <v>1</v>
      </c>
      <c r="Y1116">
        <f t="shared" si="338"/>
        <v>0</v>
      </c>
      <c r="Z1116">
        <v>3</v>
      </c>
      <c r="AA1116">
        <f t="shared" si="339"/>
        <v>0.5</v>
      </c>
      <c r="AB1116" t="s">
        <v>40</v>
      </c>
      <c r="AC1116">
        <f t="shared" si="340"/>
        <v>1</v>
      </c>
      <c r="AD1116">
        <f t="shared" si="341"/>
        <v>0</v>
      </c>
      <c r="AE1116" t="s">
        <v>50</v>
      </c>
      <c r="AF1116">
        <f>IF(AE1116="website",1,0)</f>
        <v>0</v>
      </c>
    </row>
    <row r="1117" spans="1:32">
      <c r="A1117" t="s">
        <v>1763</v>
      </c>
      <c r="B1117" t="s">
        <v>33</v>
      </c>
      <c r="C1117" s="3">
        <f t="shared" si="323"/>
        <v>0</v>
      </c>
      <c r="D1117">
        <f t="shared" si="324"/>
        <v>1</v>
      </c>
      <c r="E1117" t="s">
        <v>1695</v>
      </c>
      <c r="F1117" t="s">
        <v>757</v>
      </c>
      <c r="G1117" s="1">
        <v>33589</v>
      </c>
      <c r="H1117" s="2">
        <f t="shared" ca="1" si="325"/>
        <v>34</v>
      </c>
      <c r="I1117" s="2">
        <f t="shared" ca="1" si="326"/>
        <v>0.12857142857142856</v>
      </c>
      <c r="J1117" t="s">
        <v>36</v>
      </c>
      <c r="K1117" t="s">
        <v>37</v>
      </c>
      <c r="L1117">
        <f t="shared" si="327"/>
        <v>1</v>
      </c>
      <c r="M1117">
        <f t="shared" si="328"/>
        <v>0</v>
      </c>
      <c r="N1117">
        <f t="shared" si="329"/>
        <v>0</v>
      </c>
      <c r="O1117" t="s">
        <v>38</v>
      </c>
      <c r="P1117">
        <f t="shared" si="330"/>
        <v>1</v>
      </c>
      <c r="Q1117">
        <f t="shared" si="331"/>
        <v>0</v>
      </c>
      <c r="R1117">
        <f t="shared" si="332"/>
        <v>0</v>
      </c>
      <c r="S1117">
        <f t="shared" si="333"/>
        <v>0</v>
      </c>
      <c r="T1117">
        <f t="shared" si="334"/>
        <v>0</v>
      </c>
      <c r="U1117">
        <f t="shared" si="335"/>
        <v>0</v>
      </c>
      <c r="V1117">
        <f t="shared" si="336"/>
        <v>0</v>
      </c>
      <c r="W1117" t="s">
        <v>39</v>
      </c>
      <c r="X1117">
        <f t="shared" si="337"/>
        <v>1</v>
      </c>
      <c r="Y1117">
        <f t="shared" si="338"/>
        <v>0</v>
      </c>
      <c r="Z1117">
        <v>1</v>
      </c>
      <c r="AA1117">
        <f t="shared" si="339"/>
        <v>0</v>
      </c>
      <c r="AB1117" t="s">
        <v>40</v>
      </c>
      <c r="AC1117">
        <f t="shared" si="340"/>
        <v>1</v>
      </c>
      <c r="AD1117">
        <f t="shared" si="341"/>
        <v>0</v>
      </c>
      <c r="AE1117" t="s">
        <v>50</v>
      </c>
      <c r="AF1117">
        <f>IF(AE1117="website",1,0)</f>
        <v>0</v>
      </c>
    </row>
    <row r="1118" spans="1:32">
      <c r="A1118" t="s">
        <v>1764</v>
      </c>
      <c r="B1118" t="s">
        <v>33</v>
      </c>
      <c r="C1118" s="3">
        <f t="shared" si="323"/>
        <v>0</v>
      </c>
      <c r="D1118">
        <f t="shared" si="324"/>
        <v>1</v>
      </c>
      <c r="E1118" t="s">
        <v>768</v>
      </c>
      <c r="F1118" t="s">
        <v>726</v>
      </c>
      <c r="G1118" s="1">
        <v>20143</v>
      </c>
      <c r="H1118" s="2">
        <f t="shared" ca="1" si="325"/>
        <v>71</v>
      </c>
      <c r="I1118" s="2">
        <f t="shared" ca="1" si="326"/>
        <v>0.65714285714285714</v>
      </c>
      <c r="J1118" t="s">
        <v>36</v>
      </c>
      <c r="K1118" t="s">
        <v>158</v>
      </c>
      <c r="L1118">
        <f t="shared" si="327"/>
        <v>0</v>
      </c>
      <c r="M1118">
        <f t="shared" si="328"/>
        <v>0</v>
      </c>
      <c r="N1118">
        <f t="shared" si="329"/>
        <v>0</v>
      </c>
      <c r="O1118" t="s">
        <v>159</v>
      </c>
      <c r="P1118">
        <f t="shared" si="330"/>
        <v>0</v>
      </c>
      <c r="Q1118">
        <f t="shared" si="331"/>
        <v>0</v>
      </c>
      <c r="R1118">
        <f t="shared" si="332"/>
        <v>0</v>
      </c>
      <c r="S1118">
        <f t="shared" si="333"/>
        <v>0</v>
      </c>
      <c r="T1118">
        <f t="shared" si="334"/>
        <v>0</v>
      </c>
      <c r="U1118">
        <f t="shared" si="335"/>
        <v>0</v>
      </c>
      <c r="V1118">
        <f t="shared" si="336"/>
        <v>0</v>
      </c>
      <c r="W1118" t="s">
        <v>39</v>
      </c>
      <c r="X1118">
        <f t="shared" si="337"/>
        <v>1</v>
      </c>
      <c r="Y1118">
        <f t="shared" si="338"/>
        <v>0</v>
      </c>
      <c r="Z1118">
        <v>5</v>
      </c>
      <c r="AA1118">
        <f t="shared" si="339"/>
        <v>1</v>
      </c>
      <c r="AB1118" t="s">
        <v>40</v>
      </c>
      <c r="AC1118">
        <f t="shared" si="340"/>
        <v>0</v>
      </c>
      <c r="AD1118">
        <f t="shared" si="341"/>
        <v>0</v>
      </c>
      <c r="AE1118" t="s">
        <v>41</v>
      </c>
      <c r="AF1118">
        <f>IF(AE1118="website",1,0)</f>
        <v>1</v>
      </c>
    </row>
    <row r="1119" spans="1:32">
      <c r="A1119" t="s">
        <v>1765</v>
      </c>
      <c r="B1119" t="s">
        <v>55</v>
      </c>
      <c r="C1119" s="3">
        <f t="shared" si="323"/>
        <v>1</v>
      </c>
      <c r="D1119">
        <f t="shared" si="324"/>
        <v>0</v>
      </c>
      <c r="E1119" t="s">
        <v>1766</v>
      </c>
      <c r="F1119" t="s">
        <v>57</v>
      </c>
      <c r="G1119" s="1">
        <v>25319</v>
      </c>
      <c r="H1119" s="2">
        <f t="shared" ca="1" si="325"/>
        <v>57</v>
      </c>
      <c r="I1119" s="2">
        <f t="shared" ca="1" si="326"/>
        <v>0.45714285714285713</v>
      </c>
      <c r="J1119" t="s">
        <v>45</v>
      </c>
      <c r="K1119" t="s">
        <v>248</v>
      </c>
      <c r="L1119">
        <f t="shared" si="327"/>
        <v>0</v>
      </c>
      <c r="M1119">
        <f t="shared" si="328"/>
        <v>0</v>
      </c>
      <c r="N1119">
        <f t="shared" si="329"/>
        <v>0</v>
      </c>
      <c r="O1119" t="s">
        <v>411</v>
      </c>
      <c r="P1119">
        <f t="shared" si="330"/>
        <v>0</v>
      </c>
      <c r="Q1119">
        <f t="shared" si="331"/>
        <v>0</v>
      </c>
      <c r="R1119">
        <f t="shared" si="332"/>
        <v>0</v>
      </c>
      <c r="S1119">
        <f t="shared" si="333"/>
        <v>0</v>
      </c>
      <c r="T1119">
        <f t="shared" si="334"/>
        <v>0</v>
      </c>
      <c r="U1119">
        <f t="shared" si="335"/>
        <v>0</v>
      </c>
      <c r="V1119">
        <f t="shared" si="336"/>
        <v>0</v>
      </c>
      <c r="W1119" t="s">
        <v>58</v>
      </c>
      <c r="X1119">
        <f t="shared" si="337"/>
        <v>0</v>
      </c>
      <c r="Y1119">
        <f t="shared" si="338"/>
        <v>1</v>
      </c>
      <c r="Z1119">
        <v>2</v>
      </c>
      <c r="AA1119">
        <f t="shared" si="339"/>
        <v>0.25</v>
      </c>
      <c r="AB1119" t="s">
        <v>40</v>
      </c>
      <c r="AC1119">
        <f t="shared" si="340"/>
        <v>0</v>
      </c>
      <c r="AD1119">
        <f t="shared" si="341"/>
        <v>0</v>
      </c>
      <c r="AE1119" t="s">
        <v>41</v>
      </c>
      <c r="AF1119">
        <f>IF(AE1119="website",1,0)</f>
        <v>1</v>
      </c>
    </row>
    <row r="1120" spans="1:32">
      <c r="A1120" t="s">
        <v>1767</v>
      </c>
      <c r="B1120" t="s">
        <v>33</v>
      </c>
      <c r="C1120" s="3">
        <f t="shared" si="323"/>
        <v>0</v>
      </c>
      <c r="D1120">
        <f t="shared" si="324"/>
        <v>1</v>
      </c>
      <c r="E1120" t="s">
        <v>544</v>
      </c>
      <c r="F1120" t="s">
        <v>554</v>
      </c>
      <c r="G1120" s="1">
        <v>15049</v>
      </c>
      <c r="H1120" s="2">
        <f t="shared" ca="1" si="325"/>
        <v>85</v>
      </c>
      <c r="I1120" s="2">
        <f t="shared" ca="1" si="326"/>
        <v>0.8571428571428571</v>
      </c>
      <c r="J1120" t="s">
        <v>45</v>
      </c>
      <c r="K1120" t="s">
        <v>37</v>
      </c>
      <c r="L1120">
        <f t="shared" si="327"/>
        <v>1</v>
      </c>
      <c r="M1120">
        <f t="shared" si="328"/>
        <v>0</v>
      </c>
      <c r="N1120">
        <f t="shared" si="329"/>
        <v>0</v>
      </c>
      <c r="O1120" t="s">
        <v>76</v>
      </c>
      <c r="P1120">
        <f t="shared" si="330"/>
        <v>0</v>
      </c>
      <c r="Q1120">
        <f t="shared" si="331"/>
        <v>1</v>
      </c>
      <c r="R1120">
        <f t="shared" si="332"/>
        <v>0</v>
      </c>
      <c r="S1120">
        <f t="shared" si="333"/>
        <v>0</v>
      </c>
      <c r="T1120">
        <f t="shared" si="334"/>
        <v>0</v>
      </c>
      <c r="U1120">
        <f t="shared" si="335"/>
        <v>0</v>
      </c>
      <c r="V1120">
        <f t="shared" si="336"/>
        <v>0</v>
      </c>
      <c r="W1120" t="s">
        <v>39</v>
      </c>
      <c r="X1120">
        <f t="shared" si="337"/>
        <v>1</v>
      </c>
      <c r="Y1120">
        <f t="shared" si="338"/>
        <v>0</v>
      </c>
      <c r="Z1120">
        <v>1</v>
      </c>
      <c r="AA1120">
        <f t="shared" si="339"/>
        <v>0</v>
      </c>
      <c r="AB1120" t="s">
        <v>40</v>
      </c>
      <c r="AC1120">
        <f t="shared" si="340"/>
        <v>0</v>
      </c>
      <c r="AD1120">
        <f t="shared" si="341"/>
        <v>0</v>
      </c>
      <c r="AE1120" t="s">
        <v>41</v>
      </c>
      <c r="AF1120">
        <f>IF(AE1120="website",1,0)</f>
        <v>1</v>
      </c>
    </row>
    <row r="1121" spans="1:32">
      <c r="A1121" t="s">
        <v>1768</v>
      </c>
      <c r="B1121" t="s">
        <v>33</v>
      </c>
      <c r="C1121" s="3">
        <f t="shared" si="323"/>
        <v>0</v>
      </c>
      <c r="D1121">
        <f t="shared" si="324"/>
        <v>1</v>
      </c>
      <c r="E1121" t="s">
        <v>1256</v>
      </c>
      <c r="F1121" t="s">
        <v>568</v>
      </c>
      <c r="G1121" s="1">
        <v>29052</v>
      </c>
      <c r="H1121" s="2">
        <f t="shared" ca="1" si="325"/>
        <v>47</v>
      </c>
      <c r="I1121" s="2">
        <f t="shared" ca="1" si="326"/>
        <v>0.31428571428571428</v>
      </c>
      <c r="J1121" t="s">
        <v>36</v>
      </c>
      <c r="K1121" t="s">
        <v>37</v>
      </c>
      <c r="L1121">
        <f t="shared" si="327"/>
        <v>1</v>
      </c>
      <c r="M1121">
        <f t="shared" si="328"/>
        <v>0</v>
      </c>
      <c r="N1121">
        <f t="shared" si="329"/>
        <v>0</v>
      </c>
      <c r="O1121" t="s">
        <v>97</v>
      </c>
      <c r="P1121">
        <f t="shared" si="330"/>
        <v>0</v>
      </c>
      <c r="Q1121">
        <f t="shared" si="331"/>
        <v>0</v>
      </c>
      <c r="R1121">
        <f t="shared" si="332"/>
        <v>0</v>
      </c>
      <c r="S1121">
        <f t="shared" si="333"/>
        <v>0</v>
      </c>
      <c r="T1121">
        <f t="shared" si="334"/>
        <v>1</v>
      </c>
      <c r="U1121">
        <f t="shared" si="335"/>
        <v>0</v>
      </c>
      <c r="V1121">
        <f t="shared" si="336"/>
        <v>0</v>
      </c>
      <c r="W1121" t="s">
        <v>39</v>
      </c>
      <c r="X1121">
        <f t="shared" si="337"/>
        <v>1</v>
      </c>
      <c r="Y1121">
        <f t="shared" si="338"/>
        <v>0</v>
      </c>
      <c r="Z1121">
        <v>1</v>
      </c>
      <c r="AA1121">
        <f t="shared" si="339"/>
        <v>0</v>
      </c>
      <c r="AB1121" t="s">
        <v>46</v>
      </c>
      <c r="AC1121">
        <f t="shared" si="340"/>
        <v>0</v>
      </c>
      <c r="AD1121">
        <f t="shared" si="341"/>
        <v>0</v>
      </c>
      <c r="AE1121" t="s">
        <v>41</v>
      </c>
      <c r="AF1121">
        <f>IF(AE1121="website",1,0)</f>
        <v>1</v>
      </c>
    </row>
    <row r="1122" spans="1:32">
      <c r="A1122" t="s">
        <v>1769</v>
      </c>
      <c r="B1122" t="s">
        <v>33</v>
      </c>
      <c r="C1122" s="3">
        <f t="shared" si="323"/>
        <v>0</v>
      </c>
      <c r="D1122">
        <f t="shared" si="324"/>
        <v>1</v>
      </c>
      <c r="E1122" t="s">
        <v>551</v>
      </c>
      <c r="F1122" t="s">
        <v>656</v>
      </c>
      <c r="G1122" s="1">
        <v>31200</v>
      </c>
      <c r="H1122" s="2">
        <f t="shared" ca="1" si="325"/>
        <v>41</v>
      </c>
      <c r="I1122" s="2">
        <f t="shared" ca="1" si="326"/>
        <v>0.22857142857142856</v>
      </c>
      <c r="J1122" t="s">
        <v>36</v>
      </c>
      <c r="K1122" t="s">
        <v>37</v>
      </c>
      <c r="L1122">
        <f t="shared" si="327"/>
        <v>1</v>
      </c>
      <c r="M1122">
        <f t="shared" si="328"/>
        <v>0</v>
      </c>
      <c r="N1122">
        <f t="shared" si="329"/>
        <v>0</v>
      </c>
      <c r="O1122" t="s">
        <v>38</v>
      </c>
      <c r="P1122">
        <f t="shared" si="330"/>
        <v>1</v>
      </c>
      <c r="Q1122">
        <f t="shared" si="331"/>
        <v>0</v>
      </c>
      <c r="R1122">
        <f t="shared" si="332"/>
        <v>0</v>
      </c>
      <c r="S1122">
        <f t="shared" si="333"/>
        <v>0</v>
      </c>
      <c r="T1122">
        <f t="shared" si="334"/>
        <v>0</v>
      </c>
      <c r="U1122">
        <f t="shared" si="335"/>
        <v>0</v>
      </c>
      <c r="V1122">
        <f t="shared" si="336"/>
        <v>0</v>
      </c>
      <c r="W1122" t="s">
        <v>39</v>
      </c>
      <c r="X1122">
        <f t="shared" si="337"/>
        <v>1</v>
      </c>
      <c r="Y1122">
        <f t="shared" si="338"/>
        <v>0</v>
      </c>
      <c r="Z1122">
        <v>1</v>
      </c>
      <c r="AA1122">
        <f t="shared" si="339"/>
        <v>0</v>
      </c>
      <c r="AB1122" t="s">
        <v>46</v>
      </c>
      <c r="AC1122">
        <f t="shared" si="340"/>
        <v>0</v>
      </c>
      <c r="AD1122">
        <f t="shared" si="341"/>
        <v>1</v>
      </c>
      <c r="AE1122" t="s">
        <v>90</v>
      </c>
      <c r="AF1122">
        <f>IF(AE1122="website",1,0)</f>
        <v>0</v>
      </c>
    </row>
    <row r="1123" spans="1:32">
      <c r="A1123" t="s">
        <v>1770</v>
      </c>
      <c r="B1123" t="s">
        <v>33</v>
      </c>
      <c r="C1123" s="3">
        <f t="shared" si="323"/>
        <v>0</v>
      </c>
      <c r="D1123">
        <f t="shared" si="324"/>
        <v>1</v>
      </c>
      <c r="E1123" t="s">
        <v>921</v>
      </c>
      <c r="F1123" t="s">
        <v>667</v>
      </c>
      <c r="G1123" s="1">
        <v>15618</v>
      </c>
      <c r="H1123" s="2">
        <f t="shared" ca="1" si="325"/>
        <v>84</v>
      </c>
      <c r="I1123" s="2">
        <f t="shared" ca="1" si="326"/>
        <v>0.84285714285714286</v>
      </c>
      <c r="J1123" t="s">
        <v>36</v>
      </c>
      <c r="K1123" t="s">
        <v>37</v>
      </c>
      <c r="L1123">
        <f t="shared" si="327"/>
        <v>1</v>
      </c>
      <c r="M1123">
        <f t="shared" si="328"/>
        <v>0</v>
      </c>
      <c r="N1123">
        <f t="shared" si="329"/>
        <v>0</v>
      </c>
      <c r="O1123" t="s">
        <v>38</v>
      </c>
      <c r="P1123">
        <f t="shared" si="330"/>
        <v>1</v>
      </c>
      <c r="Q1123">
        <f t="shared" si="331"/>
        <v>0</v>
      </c>
      <c r="R1123">
        <f t="shared" si="332"/>
        <v>0</v>
      </c>
      <c r="S1123">
        <f t="shared" si="333"/>
        <v>0</v>
      </c>
      <c r="T1123">
        <f t="shared" si="334"/>
        <v>0</v>
      </c>
      <c r="U1123">
        <f t="shared" si="335"/>
        <v>0</v>
      </c>
      <c r="V1123">
        <f t="shared" si="336"/>
        <v>0</v>
      </c>
      <c r="W1123" t="s">
        <v>39</v>
      </c>
      <c r="X1123">
        <f t="shared" si="337"/>
        <v>1</v>
      </c>
      <c r="Y1123">
        <f t="shared" si="338"/>
        <v>0</v>
      </c>
      <c r="Z1123">
        <v>4</v>
      </c>
      <c r="AA1123">
        <f t="shared" si="339"/>
        <v>0.75</v>
      </c>
      <c r="AB1123" t="s">
        <v>46</v>
      </c>
      <c r="AC1123">
        <f t="shared" si="340"/>
        <v>0</v>
      </c>
      <c r="AD1123">
        <f t="shared" si="341"/>
        <v>0</v>
      </c>
      <c r="AE1123" t="s">
        <v>41</v>
      </c>
      <c r="AF1123">
        <f>IF(AE1123="website",1,0)</f>
        <v>1</v>
      </c>
    </row>
    <row r="1124" spans="1:32">
      <c r="A1124" t="s">
        <v>1771</v>
      </c>
      <c r="B1124" t="s">
        <v>33</v>
      </c>
      <c r="C1124" s="3">
        <f t="shared" si="323"/>
        <v>0</v>
      </c>
      <c r="D1124">
        <f t="shared" si="324"/>
        <v>1</v>
      </c>
      <c r="E1124" t="s">
        <v>1288</v>
      </c>
      <c r="F1124" t="s">
        <v>599</v>
      </c>
      <c r="G1124" s="1">
        <v>18698</v>
      </c>
      <c r="H1124" s="2">
        <f t="shared" ca="1" si="325"/>
        <v>75</v>
      </c>
      <c r="I1124" s="2">
        <f t="shared" ca="1" si="326"/>
        <v>0.7142857142857143</v>
      </c>
      <c r="J1124" t="s">
        <v>45</v>
      </c>
      <c r="K1124" t="s">
        <v>37</v>
      </c>
      <c r="L1124">
        <f t="shared" si="327"/>
        <v>1</v>
      </c>
      <c r="M1124">
        <f t="shared" si="328"/>
        <v>0</v>
      </c>
      <c r="N1124">
        <f t="shared" si="329"/>
        <v>0</v>
      </c>
      <c r="O1124" t="s">
        <v>305</v>
      </c>
      <c r="P1124">
        <f t="shared" si="330"/>
        <v>0</v>
      </c>
      <c r="Q1124">
        <f t="shared" si="331"/>
        <v>0</v>
      </c>
      <c r="R1124">
        <f t="shared" si="332"/>
        <v>0</v>
      </c>
      <c r="S1124">
        <f t="shared" si="333"/>
        <v>0</v>
      </c>
      <c r="T1124">
        <f t="shared" si="334"/>
        <v>0</v>
      </c>
      <c r="U1124">
        <f t="shared" si="335"/>
        <v>0</v>
      </c>
      <c r="V1124">
        <f t="shared" si="336"/>
        <v>0</v>
      </c>
      <c r="W1124" t="s">
        <v>39</v>
      </c>
      <c r="X1124">
        <f t="shared" si="337"/>
        <v>1</v>
      </c>
      <c r="Y1124">
        <f t="shared" si="338"/>
        <v>0</v>
      </c>
      <c r="Z1124">
        <v>5</v>
      </c>
      <c r="AA1124">
        <f t="shared" si="339"/>
        <v>1</v>
      </c>
      <c r="AB1124" t="s">
        <v>46</v>
      </c>
      <c r="AC1124">
        <f t="shared" si="340"/>
        <v>1</v>
      </c>
      <c r="AD1124">
        <f t="shared" si="341"/>
        <v>0</v>
      </c>
      <c r="AE1124" t="s">
        <v>50</v>
      </c>
      <c r="AF1124">
        <f>IF(AE1124="website",1,0)</f>
        <v>0</v>
      </c>
    </row>
    <row r="1125" spans="1:32">
      <c r="A1125" t="s">
        <v>1772</v>
      </c>
      <c r="B1125" t="s">
        <v>33</v>
      </c>
      <c r="C1125" s="3">
        <f t="shared" si="323"/>
        <v>0</v>
      </c>
      <c r="D1125">
        <f t="shared" si="324"/>
        <v>1</v>
      </c>
      <c r="E1125" t="s">
        <v>622</v>
      </c>
      <c r="F1125" t="s">
        <v>764</v>
      </c>
      <c r="G1125" s="1">
        <v>27794</v>
      </c>
      <c r="H1125" s="2">
        <f t="shared" ca="1" si="325"/>
        <v>50</v>
      </c>
      <c r="I1125" s="2">
        <f t="shared" ca="1" si="326"/>
        <v>0.35714285714285715</v>
      </c>
      <c r="J1125" t="s">
        <v>36</v>
      </c>
      <c r="K1125" t="s">
        <v>37</v>
      </c>
      <c r="L1125">
        <f t="shared" si="327"/>
        <v>1</v>
      </c>
      <c r="M1125">
        <f t="shared" si="328"/>
        <v>0</v>
      </c>
      <c r="N1125">
        <f t="shared" si="329"/>
        <v>0</v>
      </c>
      <c r="O1125" t="s">
        <v>76</v>
      </c>
      <c r="P1125">
        <f t="shared" si="330"/>
        <v>0</v>
      </c>
      <c r="Q1125">
        <f t="shared" si="331"/>
        <v>1</v>
      </c>
      <c r="R1125">
        <f t="shared" si="332"/>
        <v>0</v>
      </c>
      <c r="S1125">
        <f t="shared" si="333"/>
        <v>0</v>
      </c>
      <c r="T1125">
        <f t="shared" si="334"/>
        <v>0</v>
      </c>
      <c r="U1125">
        <f t="shared" si="335"/>
        <v>0</v>
      </c>
      <c r="V1125">
        <f t="shared" si="336"/>
        <v>0</v>
      </c>
      <c r="W1125" t="s">
        <v>58</v>
      </c>
      <c r="X1125">
        <f t="shared" si="337"/>
        <v>0</v>
      </c>
      <c r="Y1125">
        <f t="shared" si="338"/>
        <v>1</v>
      </c>
      <c r="Z1125">
        <v>5</v>
      </c>
      <c r="AA1125">
        <f t="shared" si="339"/>
        <v>1</v>
      </c>
      <c r="AB1125" t="s">
        <v>40</v>
      </c>
      <c r="AC1125">
        <f t="shared" si="340"/>
        <v>0</v>
      </c>
      <c r="AD1125">
        <f t="shared" si="341"/>
        <v>0</v>
      </c>
      <c r="AE1125" t="s">
        <v>41</v>
      </c>
      <c r="AF1125">
        <f>IF(AE1125="website",1,0)</f>
        <v>1</v>
      </c>
    </row>
    <row r="1126" spans="1:32">
      <c r="A1126" t="s">
        <v>1773</v>
      </c>
      <c r="B1126" t="s">
        <v>33</v>
      </c>
      <c r="C1126" s="3">
        <f t="shared" si="323"/>
        <v>0</v>
      </c>
      <c r="D1126">
        <f t="shared" si="324"/>
        <v>1</v>
      </c>
      <c r="E1126" t="s">
        <v>708</v>
      </c>
      <c r="F1126" t="s">
        <v>664</v>
      </c>
      <c r="G1126" s="1">
        <v>15010</v>
      </c>
      <c r="H1126" s="2">
        <f t="shared" ca="1" si="325"/>
        <v>85</v>
      </c>
      <c r="I1126" s="2">
        <f t="shared" ca="1" si="326"/>
        <v>0.8571428571428571</v>
      </c>
      <c r="J1126" t="s">
        <v>45</v>
      </c>
      <c r="K1126" t="s">
        <v>37</v>
      </c>
      <c r="L1126">
        <f t="shared" si="327"/>
        <v>1</v>
      </c>
      <c r="M1126">
        <f t="shared" si="328"/>
        <v>0</v>
      </c>
      <c r="N1126">
        <f t="shared" si="329"/>
        <v>0</v>
      </c>
      <c r="O1126" t="s">
        <v>76</v>
      </c>
      <c r="P1126">
        <f t="shared" si="330"/>
        <v>0</v>
      </c>
      <c r="Q1126">
        <f t="shared" si="331"/>
        <v>1</v>
      </c>
      <c r="R1126">
        <f t="shared" si="332"/>
        <v>0</v>
      </c>
      <c r="S1126">
        <f t="shared" si="333"/>
        <v>0</v>
      </c>
      <c r="T1126">
        <f t="shared" si="334"/>
        <v>0</v>
      </c>
      <c r="U1126">
        <f t="shared" si="335"/>
        <v>0</v>
      </c>
      <c r="V1126">
        <f t="shared" si="336"/>
        <v>0</v>
      </c>
      <c r="W1126" t="s">
        <v>39</v>
      </c>
      <c r="X1126">
        <f t="shared" si="337"/>
        <v>1</v>
      </c>
      <c r="Y1126">
        <f t="shared" si="338"/>
        <v>0</v>
      </c>
      <c r="Z1126">
        <v>3</v>
      </c>
      <c r="AA1126">
        <f t="shared" si="339"/>
        <v>0.5</v>
      </c>
      <c r="AB1126" t="s">
        <v>46</v>
      </c>
      <c r="AC1126">
        <f t="shared" si="340"/>
        <v>1</v>
      </c>
      <c r="AD1126">
        <f t="shared" si="341"/>
        <v>0</v>
      </c>
      <c r="AE1126" t="s">
        <v>50</v>
      </c>
      <c r="AF1126">
        <f>IF(AE1126="website",1,0)</f>
        <v>0</v>
      </c>
    </row>
    <row r="1127" spans="1:32">
      <c r="A1127" t="s">
        <v>1774</v>
      </c>
      <c r="B1127" t="s">
        <v>55</v>
      </c>
      <c r="C1127" s="3">
        <f t="shared" si="323"/>
        <v>1</v>
      </c>
      <c r="D1127">
        <f t="shared" si="324"/>
        <v>0</v>
      </c>
      <c r="E1127" t="s">
        <v>1330</v>
      </c>
      <c r="F1127" t="s">
        <v>57</v>
      </c>
      <c r="G1127" s="1">
        <v>30363</v>
      </c>
      <c r="H1127" s="2">
        <f t="shared" ca="1" si="325"/>
        <v>43</v>
      </c>
      <c r="I1127" s="2">
        <f t="shared" ca="1" si="326"/>
        <v>0.25714285714285712</v>
      </c>
      <c r="J1127" t="s">
        <v>45</v>
      </c>
      <c r="K1127" t="s">
        <v>37</v>
      </c>
      <c r="L1127">
        <f t="shared" si="327"/>
        <v>1</v>
      </c>
      <c r="M1127">
        <f t="shared" si="328"/>
        <v>0</v>
      </c>
      <c r="N1127">
        <f t="shared" si="329"/>
        <v>0</v>
      </c>
      <c r="O1127" t="s">
        <v>305</v>
      </c>
      <c r="P1127">
        <f t="shared" si="330"/>
        <v>0</v>
      </c>
      <c r="Q1127">
        <f t="shared" si="331"/>
        <v>0</v>
      </c>
      <c r="R1127">
        <f t="shared" si="332"/>
        <v>0</v>
      </c>
      <c r="S1127">
        <f t="shared" si="333"/>
        <v>0</v>
      </c>
      <c r="T1127">
        <f t="shared" si="334"/>
        <v>0</v>
      </c>
      <c r="U1127">
        <f t="shared" si="335"/>
        <v>0</v>
      </c>
      <c r="V1127">
        <f t="shared" si="336"/>
        <v>0</v>
      </c>
      <c r="W1127" t="s">
        <v>39</v>
      </c>
      <c r="X1127">
        <f t="shared" si="337"/>
        <v>1</v>
      </c>
      <c r="Y1127">
        <f t="shared" si="338"/>
        <v>0</v>
      </c>
      <c r="Z1127">
        <v>1</v>
      </c>
      <c r="AA1127">
        <f t="shared" si="339"/>
        <v>0</v>
      </c>
      <c r="AB1127" t="s">
        <v>40</v>
      </c>
      <c r="AC1127">
        <f t="shared" si="340"/>
        <v>0</v>
      </c>
      <c r="AD1127">
        <f t="shared" si="341"/>
        <v>0</v>
      </c>
      <c r="AE1127" t="s">
        <v>41</v>
      </c>
      <c r="AF1127">
        <f>IF(AE1127="website",1,0)</f>
        <v>1</v>
      </c>
    </row>
    <row r="1128" spans="1:32">
      <c r="A1128" t="s">
        <v>1775</v>
      </c>
      <c r="B1128" t="s">
        <v>33</v>
      </c>
      <c r="C1128" s="3">
        <f t="shared" si="323"/>
        <v>0</v>
      </c>
      <c r="D1128">
        <f t="shared" si="324"/>
        <v>1</v>
      </c>
      <c r="E1128" t="s">
        <v>894</v>
      </c>
      <c r="F1128" t="s">
        <v>861</v>
      </c>
      <c r="G1128" s="1">
        <v>15872</v>
      </c>
      <c r="H1128" s="2">
        <f t="shared" ca="1" si="325"/>
        <v>83</v>
      </c>
      <c r="I1128" s="2">
        <f t="shared" ca="1" si="326"/>
        <v>0.82857142857142863</v>
      </c>
      <c r="J1128" t="s">
        <v>36</v>
      </c>
      <c r="K1128" t="s">
        <v>248</v>
      </c>
      <c r="L1128">
        <f t="shared" si="327"/>
        <v>0</v>
      </c>
      <c r="M1128">
        <f t="shared" si="328"/>
        <v>0</v>
      </c>
      <c r="N1128">
        <f t="shared" si="329"/>
        <v>0</v>
      </c>
      <c r="O1128" t="s">
        <v>582</v>
      </c>
      <c r="P1128">
        <f t="shared" si="330"/>
        <v>0</v>
      </c>
      <c r="Q1128">
        <f t="shared" si="331"/>
        <v>0</v>
      </c>
      <c r="R1128">
        <f t="shared" si="332"/>
        <v>0</v>
      </c>
      <c r="S1128">
        <f t="shared" si="333"/>
        <v>0</v>
      </c>
      <c r="T1128">
        <f t="shared" si="334"/>
        <v>0</v>
      </c>
      <c r="U1128">
        <f t="shared" si="335"/>
        <v>0</v>
      </c>
      <c r="V1128">
        <f t="shared" si="336"/>
        <v>0</v>
      </c>
      <c r="W1128" t="s">
        <v>58</v>
      </c>
      <c r="X1128">
        <f t="shared" si="337"/>
        <v>0</v>
      </c>
      <c r="Y1128">
        <f t="shared" si="338"/>
        <v>1</v>
      </c>
      <c r="Z1128">
        <v>1</v>
      </c>
      <c r="AA1128">
        <f t="shared" si="339"/>
        <v>0</v>
      </c>
      <c r="AB1128" t="s">
        <v>46</v>
      </c>
      <c r="AC1128">
        <f t="shared" si="340"/>
        <v>0</v>
      </c>
      <c r="AD1128">
        <f t="shared" si="341"/>
        <v>0</v>
      </c>
      <c r="AE1128" t="s">
        <v>41</v>
      </c>
      <c r="AF1128">
        <f>IF(AE1128="website",1,0)</f>
        <v>1</v>
      </c>
    </row>
    <row r="1129" spans="1:32">
      <c r="A1129" t="s">
        <v>1776</v>
      </c>
      <c r="B1129" t="s">
        <v>33</v>
      </c>
      <c r="C1129" s="3">
        <f t="shared" si="323"/>
        <v>0</v>
      </c>
      <c r="D1129">
        <f t="shared" si="324"/>
        <v>1</v>
      </c>
      <c r="E1129" t="s">
        <v>986</v>
      </c>
      <c r="F1129" t="s">
        <v>748</v>
      </c>
      <c r="G1129" s="1">
        <v>30655</v>
      </c>
      <c r="H1129" s="2">
        <f t="shared" ca="1" si="325"/>
        <v>42</v>
      </c>
      <c r="I1129" s="2">
        <f t="shared" ca="1" si="326"/>
        <v>0.24285714285714285</v>
      </c>
      <c r="J1129" t="s">
        <v>45</v>
      </c>
      <c r="K1129" t="s">
        <v>37</v>
      </c>
      <c r="L1129">
        <f t="shared" si="327"/>
        <v>1</v>
      </c>
      <c r="M1129">
        <f t="shared" si="328"/>
        <v>0</v>
      </c>
      <c r="N1129">
        <f t="shared" si="329"/>
        <v>0</v>
      </c>
      <c r="O1129" t="s">
        <v>38</v>
      </c>
      <c r="P1129">
        <f t="shared" si="330"/>
        <v>1</v>
      </c>
      <c r="Q1129">
        <f t="shared" si="331"/>
        <v>0</v>
      </c>
      <c r="R1129">
        <f t="shared" si="332"/>
        <v>0</v>
      </c>
      <c r="S1129">
        <f t="shared" si="333"/>
        <v>0</v>
      </c>
      <c r="T1129">
        <f t="shared" si="334"/>
        <v>0</v>
      </c>
      <c r="U1129">
        <f t="shared" si="335"/>
        <v>0</v>
      </c>
      <c r="V1129">
        <f t="shared" si="336"/>
        <v>0</v>
      </c>
      <c r="W1129" t="s">
        <v>58</v>
      </c>
      <c r="X1129">
        <f t="shared" si="337"/>
        <v>0</v>
      </c>
      <c r="Y1129">
        <f t="shared" si="338"/>
        <v>1</v>
      </c>
      <c r="Z1129">
        <v>1</v>
      </c>
      <c r="AA1129">
        <f t="shared" si="339"/>
        <v>0</v>
      </c>
      <c r="AB1129" t="s">
        <v>46</v>
      </c>
      <c r="AC1129">
        <f t="shared" si="340"/>
        <v>0</v>
      </c>
      <c r="AD1129">
        <f t="shared" si="341"/>
        <v>0</v>
      </c>
      <c r="AE1129" t="s">
        <v>41</v>
      </c>
      <c r="AF1129">
        <f>IF(AE1129="website",1,0)</f>
        <v>1</v>
      </c>
    </row>
    <row r="1130" spans="1:32">
      <c r="A1130" t="s">
        <v>1777</v>
      </c>
      <c r="B1130" t="s">
        <v>33</v>
      </c>
      <c r="C1130" s="3">
        <f t="shared" si="323"/>
        <v>0</v>
      </c>
      <c r="D1130">
        <f t="shared" si="324"/>
        <v>1</v>
      </c>
      <c r="E1130" t="s">
        <v>1346</v>
      </c>
      <c r="F1130" t="s">
        <v>513</v>
      </c>
      <c r="G1130" s="1">
        <v>16683</v>
      </c>
      <c r="H1130" s="2">
        <f t="shared" ca="1" si="325"/>
        <v>81</v>
      </c>
      <c r="I1130" s="2">
        <f t="shared" ca="1" si="326"/>
        <v>0.8</v>
      </c>
      <c r="J1130" t="s">
        <v>36</v>
      </c>
      <c r="K1130" t="s">
        <v>37</v>
      </c>
      <c r="L1130">
        <f t="shared" si="327"/>
        <v>1</v>
      </c>
      <c r="M1130">
        <f t="shared" si="328"/>
        <v>0</v>
      </c>
      <c r="N1130">
        <f t="shared" si="329"/>
        <v>0</v>
      </c>
      <c r="O1130" t="s">
        <v>137</v>
      </c>
      <c r="P1130">
        <f t="shared" si="330"/>
        <v>0</v>
      </c>
      <c r="Q1130">
        <f t="shared" si="331"/>
        <v>0</v>
      </c>
      <c r="R1130">
        <f t="shared" si="332"/>
        <v>0</v>
      </c>
      <c r="S1130">
        <f t="shared" si="333"/>
        <v>0</v>
      </c>
      <c r="T1130">
        <f t="shared" si="334"/>
        <v>0</v>
      </c>
      <c r="U1130">
        <f t="shared" si="335"/>
        <v>0</v>
      </c>
      <c r="V1130">
        <f t="shared" si="336"/>
        <v>0</v>
      </c>
      <c r="W1130" t="s">
        <v>58</v>
      </c>
      <c r="X1130">
        <f t="shared" si="337"/>
        <v>0</v>
      </c>
      <c r="Y1130">
        <f t="shared" si="338"/>
        <v>1</v>
      </c>
      <c r="Z1130">
        <v>5</v>
      </c>
      <c r="AA1130">
        <f t="shared" si="339"/>
        <v>1</v>
      </c>
      <c r="AB1130" t="s">
        <v>46</v>
      </c>
      <c r="AC1130">
        <f t="shared" si="340"/>
        <v>1</v>
      </c>
      <c r="AD1130">
        <f t="shared" si="341"/>
        <v>0</v>
      </c>
      <c r="AE1130" t="s">
        <v>50</v>
      </c>
      <c r="AF1130">
        <f>IF(AE1130="website",1,0)</f>
        <v>0</v>
      </c>
    </row>
    <row r="1131" spans="1:32">
      <c r="A1131" t="s">
        <v>1778</v>
      </c>
      <c r="B1131" t="s">
        <v>33</v>
      </c>
      <c r="C1131" s="3">
        <f t="shared" si="323"/>
        <v>0</v>
      </c>
      <c r="D1131">
        <f t="shared" si="324"/>
        <v>1</v>
      </c>
      <c r="E1131" t="s">
        <v>1664</v>
      </c>
      <c r="F1131" t="s">
        <v>538</v>
      </c>
      <c r="G1131" s="1">
        <v>31837</v>
      </c>
      <c r="H1131" s="2">
        <f t="shared" ca="1" si="325"/>
        <v>39</v>
      </c>
      <c r="I1131" s="2">
        <f t="shared" ca="1" si="326"/>
        <v>0.2</v>
      </c>
      <c r="J1131" t="s">
        <v>36</v>
      </c>
      <c r="K1131" t="s">
        <v>37</v>
      </c>
      <c r="L1131">
        <f t="shared" si="327"/>
        <v>1</v>
      </c>
      <c r="M1131">
        <f t="shared" si="328"/>
        <v>0</v>
      </c>
      <c r="N1131">
        <f t="shared" si="329"/>
        <v>0</v>
      </c>
      <c r="O1131" t="s">
        <v>97</v>
      </c>
      <c r="P1131">
        <f t="shared" si="330"/>
        <v>0</v>
      </c>
      <c r="Q1131">
        <f t="shared" si="331"/>
        <v>0</v>
      </c>
      <c r="R1131">
        <f t="shared" si="332"/>
        <v>0</v>
      </c>
      <c r="S1131">
        <f t="shared" si="333"/>
        <v>0</v>
      </c>
      <c r="T1131">
        <f t="shared" si="334"/>
        <v>1</v>
      </c>
      <c r="U1131">
        <f t="shared" si="335"/>
        <v>0</v>
      </c>
      <c r="V1131">
        <f t="shared" si="336"/>
        <v>0</v>
      </c>
      <c r="W1131" t="s">
        <v>39</v>
      </c>
      <c r="X1131">
        <f t="shared" si="337"/>
        <v>1</v>
      </c>
      <c r="Y1131">
        <f t="shared" si="338"/>
        <v>0</v>
      </c>
      <c r="Z1131">
        <v>5</v>
      </c>
      <c r="AA1131">
        <f t="shared" si="339"/>
        <v>1</v>
      </c>
      <c r="AB1131" t="s">
        <v>46</v>
      </c>
      <c r="AC1131">
        <f t="shared" si="340"/>
        <v>0</v>
      </c>
      <c r="AD1131">
        <f t="shared" si="341"/>
        <v>0</v>
      </c>
      <c r="AE1131" t="s">
        <v>41</v>
      </c>
      <c r="AF1131">
        <f>IF(AE1131="website",1,0)</f>
        <v>1</v>
      </c>
    </row>
    <row r="1132" spans="1:32">
      <c r="A1132" t="s">
        <v>1779</v>
      </c>
      <c r="B1132" t="s">
        <v>33</v>
      </c>
      <c r="C1132" s="3">
        <f t="shared" si="323"/>
        <v>0</v>
      </c>
      <c r="D1132">
        <f t="shared" si="324"/>
        <v>1</v>
      </c>
      <c r="E1132" t="s">
        <v>606</v>
      </c>
      <c r="F1132" t="s">
        <v>607</v>
      </c>
      <c r="G1132" s="1">
        <v>30830</v>
      </c>
      <c r="H1132" s="2">
        <f t="shared" ca="1" si="325"/>
        <v>42</v>
      </c>
      <c r="I1132" s="2">
        <f t="shared" ca="1" si="326"/>
        <v>0.24285714285714285</v>
      </c>
      <c r="J1132" t="s">
        <v>36</v>
      </c>
      <c r="K1132" t="s">
        <v>37</v>
      </c>
      <c r="L1132">
        <f t="shared" si="327"/>
        <v>1</v>
      </c>
      <c r="M1132">
        <f t="shared" si="328"/>
        <v>0</v>
      </c>
      <c r="N1132">
        <f t="shared" si="329"/>
        <v>0</v>
      </c>
      <c r="O1132" t="s">
        <v>38</v>
      </c>
      <c r="P1132">
        <f t="shared" si="330"/>
        <v>1</v>
      </c>
      <c r="Q1132">
        <f t="shared" si="331"/>
        <v>0</v>
      </c>
      <c r="R1132">
        <f t="shared" si="332"/>
        <v>0</v>
      </c>
      <c r="S1132">
        <f t="shared" si="333"/>
        <v>0</v>
      </c>
      <c r="T1132">
        <f t="shared" si="334"/>
        <v>0</v>
      </c>
      <c r="U1132">
        <f t="shared" si="335"/>
        <v>0</v>
      </c>
      <c r="V1132">
        <f t="shared" si="336"/>
        <v>0</v>
      </c>
      <c r="W1132" t="s">
        <v>58</v>
      </c>
      <c r="X1132">
        <f t="shared" si="337"/>
        <v>0</v>
      </c>
      <c r="Y1132">
        <f t="shared" si="338"/>
        <v>1</v>
      </c>
      <c r="Z1132">
        <v>3</v>
      </c>
      <c r="AA1132">
        <f t="shared" si="339"/>
        <v>0.5</v>
      </c>
      <c r="AB1132" t="s">
        <v>46</v>
      </c>
      <c r="AC1132">
        <f t="shared" si="340"/>
        <v>0</v>
      </c>
      <c r="AD1132">
        <f t="shared" si="341"/>
        <v>0</v>
      </c>
      <c r="AE1132" t="s">
        <v>41</v>
      </c>
      <c r="AF1132">
        <f>IF(AE1132="website",1,0)</f>
        <v>1</v>
      </c>
    </row>
    <row r="1133" spans="1:32">
      <c r="A1133" t="s">
        <v>1780</v>
      </c>
      <c r="B1133" t="s">
        <v>33</v>
      </c>
      <c r="C1133" s="3">
        <f t="shared" si="323"/>
        <v>0</v>
      </c>
      <c r="D1133">
        <f t="shared" si="324"/>
        <v>1</v>
      </c>
      <c r="E1133" t="s">
        <v>329</v>
      </c>
      <c r="F1133" t="s">
        <v>653</v>
      </c>
      <c r="G1133" s="1">
        <v>29972</v>
      </c>
      <c r="H1133" s="2">
        <f t="shared" ca="1" si="325"/>
        <v>44</v>
      </c>
      <c r="I1133" s="2">
        <f t="shared" ca="1" si="326"/>
        <v>0.27142857142857141</v>
      </c>
      <c r="J1133" t="s">
        <v>45</v>
      </c>
      <c r="K1133" t="s">
        <v>37</v>
      </c>
      <c r="L1133">
        <f t="shared" si="327"/>
        <v>1</v>
      </c>
      <c r="M1133">
        <f t="shared" si="328"/>
        <v>0</v>
      </c>
      <c r="N1133">
        <f t="shared" si="329"/>
        <v>0</v>
      </c>
      <c r="O1133" t="s">
        <v>717</v>
      </c>
      <c r="P1133">
        <f t="shared" si="330"/>
        <v>0</v>
      </c>
      <c r="Q1133">
        <f t="shared" si="331"/>
        <v>0</v>
      </c>
      <c r="R1133">
        <f t="shared" si="332"/>
        <v>0</v>
      </c>
      <c r="S1133">
        <f t="shared" si="333"/>
        <v>0</v>
      </c>
      <c r="T1133">
        <f t="shared" si="334"/>
        <v>0</v>
      </c>
      <c r="U1133">
        <f t="shared" si="335"/>
        <v>0</v>
      </c>
      <c r="V1133">
        <f t="shared" si="336"/>
        <v>0</v>
      </c>
      <c r="W1133" t="s">
        <v>39</v>
      </c>
      <c r="X1133">
        <f t="shared" si="337"/>
        <v>1</v>
      </c>
      <c r="Y1133">
        <f t="shared" si="338"/>
        <v>0</v>
      </c>
      <c r="Z1133">
        <v>2</v>
      </c>
      <c r="AA1133">
        <f t="shared" si="339"/>
        <v>0.25</v>
      </c>
      <c r="AB1133" t="s">
        <v>40</v>
      </c>
      <c r="AC1133">
        <f t="shared" si="340"/>
        <v>0</v>
      </c>
      <c r="AD1133">
        <f t="shared" si="341"/>
        <v>0</v>
      </c>
      <c r="AE1133" t="s">
        <v>41</v>
      </c>
      <c r="AF1133">
        <f>IF(AE1133="website",1,0)</f>
        <v>1</v>
      </c>
    </row>
    <row r="1134" spans="1:32">
      <c r="A1134" t="s">
        <v>1781</v>
      </c>
      <c r="B1134" t="s">
        <v>33</v>
      </c>
      <c r="C1134" s="3">
        <f t="shared" si="323"/>
        <v>0</v>
      </c>
      <c r="D1134">
        <f t="shared" si="324"/>
        <v>1</v>
      </c>
      <c r="E1134" t="s">
        <v>671</v>
      </c>
      <c r="F1134" t="s">
        <v>513</v>
      </c>
      <c r="G1134" s="1">
        <v>33990</v>
      </c>
      <c r="H1134" s="2">
        <f t="shared" ca="1" si="325"/>
        <v>33</v>
      </c>
      <c r="I1134" s="2">
        <f t="shared" ca="1" si="326"/>
        <v>0.11428571428571428</v>
      </c>
      <c r="J1134" t="s">
        <v>45</v>
      </c>
      <c r="K1134" t="s">
        <v>37</v>
      </c>
      <c r="L1134">
        <f t="shared" si="327"/>
        <v>1</v>
      </c>
      <c r="M1134">
        <f t="shared" si="328"/>
        <v>0</v>
      </c>
      <c r="N1134">
        <f t="shared" si="329"/>
        <v>0</v>
      </c>
      <c r="O1134" t="s">
        <v>76</v>
      </c>
      <c r="P1134">
        <f t="shared" si="330"/>
        <v>0</v>
      </c>
      <c r="Q1134">
        <f t="shared" si="331"/>
        <v>1</v>
      </c>
      <c r="R1134">
        <f t="shared" si="332"/>
        <v>0</v>
      </c>
      <c r="S1134">
        <f t="shared" si="333"/>
        <v>0</v>
      </c>
      <c r="T1134">
        <f t="shared" si="334"/>
        <v>0</v>
      </c>
      <c r="U1134">
        <f t="shared" si="335"/>
        <v>0</v>
      </c>
      <c r="V1134">
        <f t="shared" si="336"/>
        <v>0</v>
      </c>
      <c r="W1134" t="s">
        <v>58</v>
      </c>
      <c r="X1134">
        <f t="shared" si="337"/>
        <v>0</v>
      </c>
      <c r="Y1134">
        <f t="shared" si="338"/>
        <v>1</v>
      </c>
      <c r="Z1134">
        <v>3</v>
      </c>
      <c r="AA1134">
        <f t="shared" si="339"/>
        <v>0.5</v>
      </c>
      <c r="AB1134" t="s">
        <v>46</v>
      </c>
      <c r="AC1134">
        <f t="shared" si="340"/>
        <v>0</v>
      </c>
      <c r="AD1134">
        <f t="shared" si="341"/>
        <v>0</v>
      </c>
      <c r="AE1134" t="s">
        <v>41</v>
      </c>
      <c r="AF1134">
        <f>IF(AE1134="website",1,0)</f>
        <v>1</v>
      </c>
    </row>
    <row r="1135" spans="1:32">
      <c r="A1135" t="s">
        <v>1782</v>
      </c>
      <c r="B1135" t="s">
        <v>33</v>
      </c>
      <c r="C1135" s="3">
        <f t="shared" si="323"/>
        <v>0</v>
      </c>
      <c r="D1135">
        <f t="shared" si="324"/>
        <v>1</v>
      </c>
      <c r="E1135" t="s">
        <v>1210</v>
      </c>
      <c r="F1135" t="s">
        <v>378</v>
      </c>
      <c r="G1135" s="1">
        <v>15989</v>
      </c>
      <c r="H1135" s="2">
        <f t="shared" ca="1" si="325"/>
        <v>82</v>
      </c>
      <c r="I1135" s="2">
        <f t="shared" ca="1" si="326"/>
        <v>0.81428571428571428</v>
      </c>
      <c r="J1135" t="s">
        <v>36</v>
      </c>
      <c r="K1135" t="s">
        <v>37</v>
      </c>
      <c r="L1135">
        <f t="shared" si="327"/>
        <v>1</v>
      </c>
      <c r="M1135">
        <f t="shared" si="328"/>
        <v>0</v>
      </c>
      <c r="N1135">
        <f t="shared" si="329"/>
        <v>0</v>
      </c>
      <c r="O1135" t="s">
        <v>38</v>
      </c>
      <c r="P1135">
        <f t="shared" si="330"/>
        <v>1</v>
      </c>
      <c r="Q1135">
        <f t="shared" si="331"/>
        <v>0</v>
      </c>
      <c r="R1135">
        <f t="shared" si="332"/>
        <v>0</v>
      </c>
      <c r="S1135">
        <f t="shared" si="333"/>
        <v>0</v>
      </c>
      <c r="T1135">
        <f t="shared" si="334"/>
        <v>0</v>
      </c>
      <c r="U1135">
        <f t="shared" si="335"/>
        <v>0</v>
      </c>
      <c r="V1135">
        <f t="shared" si="336"/>
        <v>0</v>
      </c>
      <c r="W1135" t="s">
        <v>58</v>
      </c>
      <c r="X1135">
        <f t="shared" si="337"/>
        <v>0</v>
      </c>
      <c r="Y1135">
        <f t="shared" si="338"/>
        <v>1</v>
      </c>
      <c r="Z1135">
        <v>1</v>
      </c>
      <c r="AA1135">
        <f t="shared" si="339"/>
        <v>0</v>
      </c>
      <c r="AB1135" t="s">
        <v>46</v>
      </c>
      <c r="AC1135">
        <f t="shared" si="340"/>
        <v>0</v>
      </c>
      <c r="AD1135">
        <f t="shared" si="341"/>
        <v>0</v>
      </c>
      <c r="AE1135" t="s">
        <v>41</v>
      </c>
      <c r="AF1135">
        <f>IF(AE1135="website",1,0)</f>
        <v>1</v>
      </c>
    </row>
    <row r="1136" spans="1:32">
      <c r="A1136" t="s">
        <v>1783</v>
      </c>
      <c r="B1136" t="s">
        <v>33</v>
      </c>
      <c r="C1136" s="3">
        <f t="shared" si="323"/>
        <v>0</v>
      </c>
      <c r="D1136">
        <f t="shared" si="324"/>
        <v>1</v>
      </c>
      <c r="E1136" t="s">
        <v>776</v>
      </c>
      <c r="F1136" t="s">
        <v>685</v>
      </c>
      <c r="G1136" s="1">
        <v>36425</v>
      </c>
      <c r="H1136" s="2">
        <f t="shared" ca="1" si="325"/>
        <v>27</v>
      </c>
      <c r="I1136" s="2">
        <f t="shared" ca="1" si="326"/>
        <v>2.8571428571428571E-2</v>
      </c>
      <c r="J1136" t="s">
        <v>36</v>
      </c>
      <c r="K1136" t="s">
        <v>172</v>
      </c>
      <c r="L1136">
        <f t="shared" si="327"/>
        <v>0</v>
      </c>
      <c r="M1136">
        <f t="shared" si="328"/>
        <v>0</v>
      </c>
      <c r="N1136">
        <f t="shared" si="329"/>
        <v>0</v>
      </c>
      <c r="O1136" t="s">
        <v>1559</v>
      </c>
      <c r="P1136">
        <f t="shared" si="330"/>
        <v>0</v>
      </c>
      <c r="Q1136">
        <f t="shared" si="331"/>
        <v>0</v>
      </c>
      <c r="R1136">
        <f t="shared" si="332"/>
        <v>0</v>
      </c>
      <c r="S1136">
        <f t="shared" si="333"/>
        <v>0</v>
      </c>
      <c r="T1136">
        <f t="shared" si="334"/>
        <v>0</v>
      </c>
      <c r="U1136">
        <f t="shared" si="335"/>
        <v>0</v>
      </c>
      <c r="V1136">
        <f t="shared" si="336"/>
        <v>0</v>
      </c>
      <c r="W1136" t="s">
        <v>58</v>
      </c>
      <c r="X1136">
        <f t="shared" si="337"/>
        <v>0</v>
      </c>
      <c r="Y1136">
        <f t="shared" si="338"/>
        <v>1</v>
      </c>
      <c r="Z1136">
        <v>5</v>
      </c>
      <c r="AA1136">
        <f t="shared" si="339"/>
        <v>1</v>
      </c>
      <c r="AB1136" t="s">
        <v>40</v>
      </c>
      <c r="AC1136">
        <f t="shared" si="340"/>
        <v>0</v>
      </c>
      <c r="AD1136">
        <f t="shared" si="341"/>
        <v>1</v>
      </c>
      <c r="AE1136" t="s">
        <v>90</v>
      </c>
      <c r="AF1136">
        <f>IF(AE1136="website",1,0)</f>
        <v>0</v>
      </c>
    </row>
    <row r="1137" spans="1:32">
      <c r="A1137" t="s">
        <v>1784</v>
      </c>
      <c r="B1137" t="s">
        <v>33</v>
      </c>
      <c r="C1137" s="3">
        <f t="shared" si="323"/>
        <v>0</v>
      </c>
      <c r="D1137">
        <f t="shared" si="324"/>
        <v>1</v>
      </c>
      <c r="E1137" t="s">
        <v>681</v>
      </c>
      <c r="F1137" t="s">
        <v>552</v>
      </c>
      <c r="G1137" s="1">
        <v>23859</v>
      </c>
      <c r="H1137" s="2">
        <f t="shared" ca="1" si="325"/>
        <v>61</v>
      </c>
      <c r="I1137" s="2">
        <f t="shared" ca="1" si="326"/>
        <v>0.51428571428571423</v>
      </c>
      <c r="J1137" t="s">
        <v>36</v>
      </c>
      <c r="K1137" t="s">
        <v>37</v>
      </c>
      <c r="L1137">
        <f t="shared" si="327"/>
        <v>1</v>
      </c>
      <c r="M1137">
        <f t="shared" si="328"/>
        <v>0</v>
      </c>
      <c r="N1137">
        <f t="shared" si="329"/>
        <v>0</v>
      </c>
      <c r="O1137" t="s">
        <v>38</v>
      </c>
      <c r="P1137">
        <f t="shared" si="330"/>
        <v>1</v>
      </c>
      <c r="Q1137">
        <f t="shared" si="331"/>
        <v>0</v>
      </c>
      <c r="R1137">
        <f t="shared" si="332"/>
        <v>0</v>
      </c>
      <c r="S1137">
        <f t="shared" si="333"/>
        <v>0</v>
      </c>
      <c r="T1137">
        <f t="shared" si="334"/>
        <v>0</v>
      </c>
      <c r="U1137">
        <f t="shared" si="335"/>
        <v>0</v>
      </c>
      <c r="V1137">
        <f t="shared" si="336"/>
        <v>0</v>
      </c>
      <c r="W1137" t="s">
        <v>39</v>
      </c>
      <c r="X1137">
        <f t="shared" si="337"/>
        <v>1</v>
      </c>
      <c r="Y1137">
        <f t="shared" si="338"/>
        <v>0</v>
      </c>
      <c r="Z1137">
        <v>3</v>
      </c>
      <c r="AA1137">
        <f t="shared" si="339"/>
        <v>0.5</v>
      </c>
      <c r="AB1137" t="s">
        <v>40</v>
      </c>
      <c r="AC1137">
        <f t="shared" si="340"/>
        <v>1</v>
      </c>
      <c r="AD1137">
        <f t="shared" si="341"/>
        <v>0</v>
      </c>
      <c r="AE1137" t="s">
        <v>50</v>
      </c>
      <c r="AF1137">
        <f>IF(AE1137="website",1,0)</f>
        <v>0</v>
      </c>
    </row>
    <row r="1138" spans="1:32">
      <c r="A1138" t="s">
        <v>1785</v>
      </c>
      <c r="B1138" t="s">
        <v>33</v>
      </c>
      <c r="C1138" s="3">
        <f t="shared" si="323"/>
        <v>0</v>
      </c>
      <c r="D1138">
        <f t="shared" si="324"/>
        <v>1</v>
      </c>
      <c r="E1138" t="s">
        <v>604</v>
      </c>
      <c r="F1138" t="s">
        <v>664</v>
      </c>
      <c r="G1138" s="1">
        <v>31770</v>
      </c>
      <c r="H1138" s="2">
        <f t="shared" ca="1" si="325"/>
        <v>39</v>
      </c>
      <c r="I1138" s="2">
        <f t="shared" ca="1" si="326"/>
        <v>0.2</v>
      </c>
      <c r="J1138" t="s">
        <v>36</v>
      </c>
      <c r="K1138" t="s">
        <v>37</v>
      </c>
      <c r="L1138">
        <f t="shared" si="327"/>
        <v>1</v>
      </c>
      <c r="M1138">
        <f t="shared" si="328"/>
        <v>0</v>
      </c>
      <c r="N1138">
        <f t="shared" si="329"/>
        <v>0</v>
      </c>
      <c r="O1138" t="s">
        <v>124</v>
      </c>
      <c r="P1138">
        <f t="shared" si="330"/>
        <v>0</v>
      </c>
      <c r="Q1138">
        <f t="shared" si="331"/>
        <v>0</v>
      </c>
      <c r="R1138">
        <f t="shared" si="332"/>
        <v>0</v>
      </c>
      <c r="S1138">
        <f t="shared" si="333"/>
        <v>0</v>
      </c>
      <c r="T1138">
        <f t="shared" si="334"/>
        <v>0</v>
      </c>
      <c r="U1138">
        <f t="shared" si="335"/>
        <v>1</v>
      </c>
      <c r="V1138">
        <f t="shared" si="336"/>
        <v>0</v>
      </c>
      <c r="W1138" t="s">
        <v>39</v>
      </c>
      <c r="X1138">
        <f t="shared" si="337"/>
        <v>1</v>
      </c>
      <c r="Y1138">
        <f t="shared" si="338"/>
        <v>0</v>
      </c>
      <c r="Z1138">
        <v>4</v>
      </c>
      <c r="AA1138">
        <f t="shared" si="339"/>
        <v>0.75</v>
      </c>
      <c r="AB1138" t="s">
        <v>40</v>
      </c>
      <c r="AC1138">
        <f t="shared" si="340"/>
        <v>1</v>
      </c>
      <c r="AD1138">
        <f t="shared" si="341"/>
        <v>0</v>
      </c>
      <c r="AE1138" t="s">
        <v>50</v>
      </c>
      <c r="AF1138">
        <f>IF(AE1138="website",1,0)</f>
        <v>0</v>
      </c>
    </row>
    <row r="1139" spans="1:32">
      <c r="A1139" t="s">
        <v>1786</v>
      </c>
      <c r="B1139" t="s">
        <v>33</v>
      </c>
      <c r="C1139" s="3">
        <f t="shared" si="323"/>
        <v>0</v>
      </c>
      <c r="D1139">
        <f t="shared" si="324"/>
        <v>1</v>
      </c>
      <c r="E1139" t="s">
        <v>936</v>
      </c>
      <c r="F1139" t="s">
        <v>554</v>
      </c>
      <c r="G1139" s="1">
        <v>23613</v>
      </c>
      <c r="H1139" s="2">
        <f t="shared" ca="1" si="325"/>
        <v>62</v>
      </c>
      <c r="I1139" s="2">
        <f t="shared" ca="1" si="326"/>
        <v>0.52857142857142858</v>
      </c>
      <c r="J1139" t="s">
        <v>45</v>
      </c>
      <c r="K1139" t="s">
        <v>37</v>
      </c>
      <c r="L1139">
        <f t="shared" si="327"/>
        <v>1</v>
      </c>
      <c r="M1139">
        <f t="shared" si="328"/>
        <v>0</v>
      </c>
      <c r="N1139">
        <f t="shared" si="329"/>
        <v>0</v>
      </c>
      <c r="O1139" t="s">
        <v>76</v>
      </c>
      <c r="P1139">
        <f t="shared" si="330"/>
        <v>0</v>
      </c>
      <c r="Q1139">
        <f t="shared" si="331"/>
        <v>1</v>
      </c>
      <c r="R1139">
        <f t="shared" si="332"/>
        <v>0</v>
      </c>
      <c r="S1139">
        <f t="shared" si="333"/>
        <v>0</v>
      </c>
      <c r="T1139">
        <f t="shared" si="334"/>
        <v>0</v>
      </c>
      <c r="U1139">
        <f t="shared" si="335"/>
        <v>0</v>
      </c>
      <c r="V1139">
        <f t="shared" si="336"/>
        <v>0</v>
      </c>
      <c r="W1139" t="s">
        <v>39</v>
      </c>
      <c r="X1139">
        <f t="shared" si="337"/>
        <v>1</v>
      </c>
      <c r="Y1139">
        <f t="shared" si="338"/>
        <v>0</v>
      </c>
      <c r="Z1139">
        <v>1</v>
      </c>
      <c r="AA1139">
        <f t="shared" si="339"/>
        <v>0</v>
      </c>
      <c r="AB1139" t="s">
        <v>46</v>
      </c>
      <c r="AC1139">
        <f t="shared" si="340"/>
        <v>0</v>
      </c>
      <c r="AD1139">
        <f t="shared" si="341"/>
        <v>0</v>
      </c>
      <c r="AE1139" t="s">
        <v>41</v>
      </c>
      <c r="AF1139">
        <f>IF(AE1139="website",1,0)</f>
        <v>1</v>
      </c>
    </row>
    <row r="1140" spans="1:32">
      <c r="A1140" t="s">
        <v>1787</v>
      </c>
      <c r="B1140" t="s">
        <v>33</v>
      </c>
      <c r="C1140" s="3">
        <f t="shared" si="323"/>
        <v>0</v>
      </c>
      <c r="D1140">
        <f t="shared" si="324"/>
        <v>1</v>
      </c>
      <c r="E1140" t="s">
        <v>1664</v>
      </c>
      <c r="F1140" t="s">
        <v>554</v>
      </c>
      <c r="G1140" s="1">
        <v>35127</v>
      </c>
      <c r="H1140" s="2">
        <f t="shared" ca="1" si="325"/>
        <v>30</v>
      </c>
      <c r="I1140" s="2">
        <f t="shared" ca="1" si="326"/>
        <v>7.1428571428571425E-2</v>
      </c>
      <c r="J1140" t="s">
        <v>36</v>
      </c>
      <c r="K1140" t="s">
        <v>37</v>
      </c>
      <c r="L1140">
        <f t="shared" si="327"/>
        <v>1</v>
      </c>
      <c r="M1140">
        <f t="shared" si="328"/>
        <v>0</v>
      </c>
      <c r="N1140">
        <f t="shared" si="329"/>
        <v>0</v>
      </c>
      <c r="O1140" t="s">
        <v>38</v>
      </c>
      <c r="P1140">
        <f t="shared" si="330"/>
        <v>1</v>
      </c>
      <c r="Q1140">
        <f t="shared" si="331"/>
        <v>0</v>
      </c>
      <c r="R1140">
        <f t="shared" si="332"/>
        <v>0</v>
      </c>
      <c r="S1140">
        <f t="shared" si="333"/>
        <v>0</v>
      </c>
      <c r="T1140">
        <f t="shared" si="334"/>
        <v>0</v>
      </c>
      <c r="U1140">
        <f t="shared" si="335"/>
        <v>0</v>
      </c>
      <c r="V1140">
        <f t="shared" si="336"/>
        <v>0</v>
      </c>
      <c r="W1140" t="s">
        <v>39</v>
      </c>
      <c r="X1140">
        <f t="shared" si="337"/>
        <v>1</v>
      </c>
      <c r="Y1140">
        <f t="shared" si="338"/>
        <v>0</v>
      </c>
      <c r="Z1140">
        <v>4</v>
      </c>
      <c r="AA1140">
        <f t="shared" si="339"/>
        <v>0.75</v>
      </c>
      <c r="AB1140" t="s">
        <v>40</v>
      </c>
      <c r="AC1140">
        <f t="shared" si="340"/>
        <v>0</v>
      </c>
      <c r="AD1140">
        <f t="shared" si="341"/>
        <v>1</v>
      </c>
      <c r="AE1140" t="s">
        <v>90</v>
      </c>
      <c r="AF1140">
        <f>IF(AE1140="website",1,0)</f>
        <v>0</v>
      </c>
    </row>
    <row r="1141" spans="1:32">
      <c r="A1141" t="s">
        <v>1788</v>
      </c>
      <c r="B1141" t="s">
        <v>33</v>
      </c>
      <c r="C1141" s="3">
        <f t="shared" si="323"/>
        <v>0</v>
      </c>
      <c r="D1141">
        <f t="shared" si="324"/>
        <v>1</v>
      </c>
      <c r="E1141" t="s">
        <v>772</v>
      </c>
      <c r="F1141" t="s">
        <v>911</v>
      </c>
      <c r="G1141" s="1">
        <v>27942</v>
      </c>
      <c r="H1141" s="2">
        <f t="shared" ca="1" si="325"/>
        <v>50</v>
      </c>
      <c r="I1141" s="2">
        <f t="shared" ca="1" si="326"/>
        <v>0.35714285714285715</v>
      </c>
      <c r="J1141" t="s">
        <v>45</v>
      </c>
      <c r="K1141" t="s">
        <v>37</v>
      </c>
      <c r="L1141">
        <f t="shared" si="327"/>
        <v>1</v>
      </c>
      <c r="M1141">
        <f t="shared" si="328"/>
        <v>0</v>
      </c>
      <c r="N1141">
        <f t="shared" si="329"/>
        <v>0</v>
      </c>
      <c r="O1141" t="s">
        <v>600</v>
      </c>
      <c r="P1141">
        <f t="shared" si="330"/>
        <v>0</v>
      </c>
      <c r="Q1141">
        <f t="shared" si="331"/>
        <v>0</v>
      </c>
      <c r="R1141">
        <f t="shared" si="332"/>
        <v>0</v>
      </c>
      <c r="S1141">
        <f t="shared" si="333"/>
        <v>0</v>
      </c>
      <c r="T1141">
        <f t="shared" si="334"/>
        <v>0</v>
      </c>
      <c r="U1141">
        <f t="shared" si="335"/>
        <v>0</v>
      </c>
      <c r="V1141">
        <f t="shared" si="336"/>
        <v>0</v>
      </c>
      <c r="W1141" t="s">
        <v>39</v>
      </c>
      <c r="X1141">
        <f t="shared" si="337"/>
        <v>1</v>
      </c>
      <c r="Y1141">
        <f t="shared" si="338"/>
        <v>0</v>
      </c>
      <c r="Z1141">
        <v>1</v>
      </c>
      <c r="AA1141">
        <f t="shared" si="339"/>
        <v>0</v>
      </c>
      <c r="AB1141" t="s">
        <v>40</v>
      </c>
      <c r="AC1141">
        <f t="shared" si="340"/>
        <v>0</v>
      </c>
      <c r="AD1141">
        <f t="shared" si="341"/>
        <v>0</v>
      </c>
      <c r="AE1141" t="s">
        <v>41</v>
      </c>
      <c r="AF1141">
        <f>IF(AE1141="website",1,0)</f>
        <v>1</v>
      </c>
    </row>
    <row r="1142" spans="1:32">
      <c r="A1142" t="s">
        <v>1789</v>
      </c>
      <c r="B1142" t="s">
        <v>33</v>
      </c>
      <c r="C1142" s="3">
        <f t="shared" si="323"/>
        <v>0</v>
      </c>
      <c r="D1142">
        <f t="shared" si="324"/>
        <v>1</v>
      </c>
      <c r="E1142" t="s">
        <v>924</v>
      </c>
      <c r="F1142" t="s">
        <v>748</v>
      </c>
      <c r="G1142" s="1">
        <v>36551</v>
      </c>
      <c r="H1142" s="2">
        <f t="shared" ca="1" si="325"/>
        <v>26</v>
      </c>
      <c r="I1142" s="2">
        <f t="shared" ca="1" si="326"/>
        <v>1.4285714285714285E-2</v>
      </c>
      <c r="J1142" t="s">
        <v>36</v>
      </c>
      <c r="K1142" t="s">
        <v>37</v>
      </c>
      <c r="L1142">
        <f t="shared" si="327"/>
        <v>1</v>
      </c>
      <c r="M1142">
        <f t="shared" si="328"/>
        <v>0</v>
      </c>
      <c r="N1142">
        <f t="shared" si="329"/>
        <v>0</v>
      </c>
      <c r="O1142" t="s">
        <v>97</v>
      </c>
      <c r="P1142">
        <f t="shared" si="330"/>
        <v>0</v>
      </c>
      <c r="Q1142">
        <f t="shared" si="331"/>
        <v>0</v>
      </c>
      <c r="R1142">
        <f t="shared" si="332"/>
        <v>0</v>
      </c>
      <c r="S1142">
        <f t="shared" si="333"/>
        <v>0</v>
      </c>
      <c r="T1142">
        <f t="shared" si="334"/>
        <v>1</v>
      </c>
      <c r="U1142">
        <f t="shared" si="335"/>
        <v>0</v>
      </c>
      <c r="V1142">
        <f t="shared" si="336"/>
        <v>0</v>
      </c>
      <c r="W1142" t="s">
        <v>58</v>
      </c>
      <c r="X1142">
        <f t="shared" si="337"/>
        <v>0</v>
      </c>
      <c r="Y1142">
        <f t="shared" si="338"/>
        <v>1</v>
      </c>
      <c r="Z1142">
        <v>3</v>
      </c>
      <c r="AA1142">
        <f t="shared" si="339"/>
        <v>0.5</v>
      </c>
      <c r="AB1142" t="s">
        <v>46</v>
      </c>
      <c r="AC1142">
        <f t="shared" si="340"/>
        <v>0</v>
      </c>
      <c r="AD1142">
        <f t="shared" si="341"/>
        <v>0</v>
      </c>
      <c r="AE1142" t="s">
        <v>41</v>
      </c>
      <c r="AF1142">
        <f>IF(AE1142="website",1,0)</f>
        <v>1</v>
      </c>
    </row>
    <row r="1143" spans="1:32">
      <c r="A1143" t="s">
        <v>1790</v>
      </c>
      <c r="B1143" t="s">
        <v>33</v>
      </c>
      <c r="C1143" s="3">
        <f t="shared" si="323"/>
        <v>0</v>
      </c>
      <c r="D1143">
        <f t="shared" si="324"/>
        <v>1</v>
      </c>
      <c r="E1143" t="s">
        <v>699</v>
      </c>
      <c r="F1143" t="s">
        <v>716</v>
      </c>
      <c r="G1143" s="1">
        <v>17602</v>
      </c>
      <c r="H1143" s="2">
        <f t="shared" ca="1" si="325"/>
        <v>78</v>
      </c>
      <c r="I1143" s="2">
        <f t="shared" ca="1" si="326"/>
        <v>0.75714285714285712</v>
      </c>
      <c r="J1143" t="s">
        <v>36</v>
      </c>
      <c r="K1143" t="s">
        <v>37</v>
      </c>
      <c r="L1143">
        <f t="shared" si="327"/>
        <v>1</v>
      </c>
      <c r="M1143">
        <f t="shared" si="328"/>
        <v>0</v>
      </c>
      <c r="N1143">
        <f t="shared" si="329"/>
        <v>0</v>
      </c>
      <c r="O1143" t="s">
        <v>137</v>
      </c>
      <c r="P1143">
        <f t="shared" si="330"/>
        <v>0</v>
      </c>
      <c r="Q1143">
        <f t="shared" si="331"/>
        <v>0</v>
      </c>
      <c r="R1143">
        <f t="shared" si="332"/>
        <v>0</v>
      </c>
      <c r="S1143">
        <f t="shared" si="333"/>
        <v>0</v>
      </c>
      <c r="T1143">
        <f t="shared" si="334"/>
        <v>0</v>
      </c>
      <c r="U1143">
        <f t="shared" si="335"/>
        <v>0</v>
      </c>
      <c r="V1143">
        <f t="shared" si="336"/>
        <v>0</v>
      </c>
      <c r="W1143" t="s">
        <v>39</v>
      </c>
      <c r="X1143">
        <f t="shared" si="337"/>
        <v>1</v>
      </c>
      <c r="Y1143">
        <f t="shared" si="338"/>
        <v>0</v>
      </c>
      <c r="Z1143">
        <v>2</v>
      </c>
      <c r="AA1143">
        <f t="shared" si="339"/>
        <v>0.25</v>
      </c>
      <c r="AB1143" t="s">
        <v>40</v>
      </c>
      <c r="AC1143">
        <f t="shared" si="340"/>
        <v>1</v>
      </c>
      <c r="AD1143">
        <f t="shared" si="341"/>
        <v>0</v>
      </c>
      <c r="AE1143" t="s">
        <v>50</v>
      </c>
      <c r="AF1143">
        <f>IF(AE1143="website",1,0)</f>
        <v>0</v>
      </c>
    </row>
    <row r="1144" spans="1:32">
      <c r="A1144" t="s">
        <v>1791</v>
      </c>
      <c r="B1144" t="s">
        <v>33</v>
      </c>
      <c r="C1144" s="3">
        <f t="shared" si="323"/>
        <v>0</v>
      </c>
      <c r="D1144">
        <f t="shared" si="324"/>
        <v>1</v>
      </c>
      <c r="E1144" t="s">
        <v>419</v>
      </c>
      <c r="F1144" t="s">
        <v>714</v>
      </c>
      <c r="G1144" s="1">
        <v>34587</v>
      </c>
      <c r="H1144" s="2">
        <f t="shared" ca="1" si="325"/>
        <v>32</v>
      </c>
      <c r="I1144" s="2">
        <f t="shared" ca="1" si="326"/>
        <v>0.1</v>
      </c>
      <c r="J1144" t="s">
        <v>45</v>
      </c>
      <c r="K1144" t="s">
        <v>37</v>
      </c>
      <c r="L1144">
        <f t="shared" si="327"/>
        <v>1</v>
      </c>
      <c r="M1144">
        <f t="shared" si="328"/>
        <v>0</v>
      </c>
      <c r="N1144">
        <f t="shared" si="329"/>
        <v>0</v>
      </c>
      <c r="O1144" t="s">
        <v>97</v>
      </c>
      <c r="P1144">
        <f t="shared" si="330"/>
        <v>0</v>
      </c>
      <c r="Q1144">
        <f t="shared" si="331"/>
        <v>0</v>
      </c>
      <c r="R1144">
        <f t="shared" si="332"/>
        <v>0</v>
      </c>
      <c r="S1144">
        <f t="shared" si="333"/>
        <v>0</v>
      </c>
      <c r="T1144">
        <f t="shared" si="334"/>
        <v>1</v>
      </c>
      <c r="U1144">
        <f t="shared" si="335"/>
        <v>0</v>
      </c>
      <c r="V1144">
        <f t="shared" si="336"/>
        <v>0</v>
      </c>
      <c r="W1144" t="s">
        <v>39</v>
      </c>
      <c r="X1144">
        <f t="shared" si="337"/>
        <v>1</v>
      </c>
      <c r="Y1144">
        <f t="shared" si="338"/>
        <v>0</v>
      </c>
      <c r="Z1144">
        <v>2</v>
      </c>
      <c r="AA1144">
        <f t="shared" si="339"/>
        <v>0.25</v>
      </c>
      <c r="AB1144" t="s">
        <v>40</v>
      </c>
      <c r="AC1144">
        <f t="shared" si="340"/>
        <v>0</v>
      </c>
      <c r="AD1144">
        <f t="shared" si="341"/>
        <v>0</v>
      </c>
      <c r="AE1144" t="s">
        <v>41</v>
      </c>
      <c r="AF1144">
        <f>IF(AE1144="website",1,0)</f>
        <v>1</v>
      </c>
    </row>
    <row r="1145" spans="1:32">
      <c r="A1145" t="s">
        <v>1792</v>
      </c>
      <c r="B1145" t="s">
        <v>33</v>
      </c>
      <c r="C1145" s="3">
        <f t="shared" si="323"/>
        <v>0</v>
      </c>
      <c r="D1145">
        <f t="shared" si="324"/>
        <v>1</v>
      </c>
      <c r="E1145" t="s">
        <v>890</v>
      </c>
      <c r="F1145" t="s">
        <v>796</v>
      </c>
      <c r="G1145" s="1">
        <v>28804</v>
      </c>
      <c r="H1145" s="2">
        <f t="shared" ca="1" si="325"/>
        <v>47</v>
      </c>
      <c r="I1145" s="2">
        <f t="shared" ca="1" si="326"/>
        <v>0.31428571428571428</v>
      </c>
      <c r="J1145" t="s">
        <v>36</v>
      </c>
      <c r="K1145" t="s">
        <v>37</v>
      </c>
      <c r="L1145">
        <f t="shared" si="327"/>
        <v>1</v>
      </c>
      <c r="M1145">
        <f t="shared" si="328"/>
        <v>0</v>
      </c>
      <c r="N1145">
        <f t="shared" si="329"/>
        <v>0</v>
      </c>
      <c r="O1145" t="s">
        <v>785</v>
      </c>
      <c r="P1145">
        <f t="shared" si="330"/>
        <v>0</v>
      </c>
      <c r="Q1145">
        <f t="shared" si="331"/>
        <v>0</v>
      </c>
      <c r="R1145">
        <f t="shared" si="332"/>
        <v>0</v>
      </c>
      <c r="S1145">
        <f t="shared" si="333"/>
        <v>0</v>
      </c>
      <c r="T1145">
        <f t="shared" si="334"/>
        <v>0</v>
      </c>
      <c r="U1145">
        <f t="shared" si="335"/>
        <v>0</v>
      </c>
      <c r="V1145">
        <f t="shared" si="336"/>
        <v>0</v>
      </c>
      <c r="W1145" t="s">
        <v>58</v>
      </c>
      <c r="X1145">
        <f t="shared" si="337"/>
        <v>0</v>
      </c>
      <c r="Y1145">
        <f t="shared" si="338"/>
        <v>1</v>
      </c>
      <c r="Z1145">
        <v>4</v>
      </c>
      <c r="AA1145">
        <f t="shared" si="339"/>
        <v>0.75</v>
      </c>
      <c r="AB1145" t="s">
        <v>46</v>
      </c>
      <c r="AC1145">
        <f t="shared" si="340"/>
        <v>0</v>
      </c>
      <c r="AD1145">
        <f t="shared" si="341"/>
        <v>1</v>
      </c>
      <c r="AE1145" t="s">
        <v>90</v>
      </c>
      <c r="AF1145">
        <f>IF(AE1145="website",1,0)</f>
        <v>0</v>
      </c>
    </row>
    <row r="1146" spans="1:32">
      <c r="A1146" t="s">
        <v>1793</v>
      </c>
      <c r="B1146" t="s">
        <v>33</v>
      </c>
      <c r="C1146" s="3">
        <f t="shared" si="323"/>
        <v>0</v>
      </c>
      <c r="D1146">
        <f t="shared" si="324"/>
        <v>1</v>
      </c>
      <c r="E1146" t="s">
        <v>1407</v>
      </c>
      <c r="F1146" t="s">
        <v>904</v>
      </c>
      <c r="G1146" s="1">
        <v>34063</v>
      </c>
      <c r="H1146" s="2">
        <f t="shared" ca="1" si="325"/>
        <v>33</v>
      </c>
      <c r="I1146" s="2">
        <f t="shared" ca="1" si="326"/>
        <v>0.11428571428571428</v>
      </c>
      <c r="J1146" t="s">
        <v>45</v>
      </c>
      <c r="K1146" t="s">
        <v>37</v>
      </c>
      <c r="L1146">
        <f t="shared" si="327"/>
        <v>1</v>
      </c>
      <c r="M1146">
        <f t="shared" si="328"/>
        <v>0</v>
      </c>
      <c r="N1146">
        <f t="shared" si="329"/>
        <v>0</v>
      </c>
      <c r="O1146" t="s">
        <v>124</v>
      </c>
      <c r="P1146">
        <f t="shared" si="330"/>
        <v>0</v>
      </c>
      <c r="Q1146">
        <f t="shared" si="331"/>
        <v>0</v>
      </c>
      <c r="R1146">
        <f t="shared" si="332"/>
        <v>0</v>
      </c>
      <c r="S1146">
        <f t="shared" si="333"/>
        <v>0</v>
      </c>
      <c r="T1146">
        <f t="shared" si="334"/>
        <v>0</v>
      </c>
      <c r="U1146">
        <f t="shared" si="335"/>
        <v>1</v>
      </c>
      <c r="V1146">
        <f t="shared" si="336"/>
        <v>0</v>
      </c>
      <c r="W1146" t="s">
        <v>39</v>
      </c>
      <c r="X1146">
        <f t="shared" si="337"/>
        <v>1</v>
      </c>
      <c r="Y1146">
        <f t="shared" si="338"/>
        <v>0</v>
      </c>
      <c r="Z1146">
        <v>5</v>
      </c>
      <c r="AA1146">
        <f t="shared" si="339"/>
        <v>1</v>
      </c>
      <c r="AB1146" t="s">
        <v>46</v>
      </c>
      <c r="AC1146">
        <f t="shared" si="340"/>
        <v>0</v>
      </c>
      <c r="AD1146">
        <f t="shared" si="341"/>
        <v>0</v>
      </c>
      <c r="AE1146" t="s">
        <v>41</v>
      </c>
      <c r="AF1146">
        <f>IF(AE1146="website",1,0)</f>
        <v>1</v>
      </c>
    </row>
    <row r="1147" spans="1:32">
      <c r="A1147" t="s">
        <v>1794</v>
      </c>
      <c r="B1147" t="s">
        <v>33</v>
      </c>
      <c r="C1147" s="3">
        <f t="shared" si="323"/>
        <v>0</v>
      </c>
      <c r="D1147">
        <f t="shared" si="324"/>
        <v>1</v>
      </c>
      <c r="E1147" t="s">
        <v>918</v>
      </c>
      <c r="F1147" t="s">
        <v>552</v>
      </c>
      <c r="G1147" s="1">
        <v>33311</v>
      </c>
      <c r="H1147" s="2">
        <f t="shared" ca="1" si="325"/>
        <v>35</v>
      </c>
      <c r="I1147" s="2">
        <f t="shared" ca="1" si="326"/>
        <v>0.14285714285714285</v>
      </c>
      <c r="J1147" t="s">
        <v>45</v>
      </c>
      <c r="K1147" t="s">
        <v>37</v>
      </c>
      <c r="L1147">
        <f t="shared" si="327"/>
        <v>1</v>
      </c>
      <c r="M1147">
        <f t="shared" si="328"/>
        <v>0</v>
      </c>
      <c r="N1147">
        <f t="shared" si="329"/>
        <v>0</v>
      </c>
      <c r="O1147" t="s">
        <v>38</v>
      </c>
      <c r="P1147">
        <f t="shared" si="330"/>
        <v>1</v>
      </c>
      <c r="Q1147">
        <f t="shared" si="331"/>
        <v>0</v>
      </c>
      <c r="R1147">
        <f t="shared" si="332"/>
        <v>0</v>
      </c>
      <c r="S1147">
        <f t="shared" si="333"/>
        <v>0</v>
      </c>
      <c r="T1147">
        <f t="shared" si="334"/>
        <v>0</v>
      </c>
      <c r="U1147">
        <f t="shared" si="335"/>
        <v>0</v>
      </c>
      <c r="V1147">
        <f t="shared" si="336"/>
        <v>0</v>
      </c>
      <c r="W1147" t="s">
        <v>58</v>
      </c>
      <c r="X1147">
        <f t="shared" si="337"/>
        <v>0</v>
      </c>
      <c r="Y1147">
        <f t="shared" si="338"/>
        <v>1</v>
      </c>
      <c r="Z1147">
        <v>2</v>
      </c>
      <c r="AA1147">
        <f t="shared" si="339"/>
        <v>0.25</v>
      </c>
      <c r="AB1147" t="s">
        <v>46</v>
      </c>
      <c r="AC1147">
        <f t="shared" si="340"/>
        <v>0</v>
      </c>
      <c r="AD1147">
        <f t="shared" si="341"/>
        <v>0</v>
      </c>
      <c r="AE1147" t="s">
        <v>41</v>
      </c>
      <c r="AF1147">
        <f>IF(AE1147="website",1,0)</f>
        <v>1</v>
      </c>
    </row>
    <row r="1148" spans="1:32">
      <c r="A1148" t="s">
        <v>1795</v>
      </c>
      <c r="B1148" t="s">
        <v>33</v>
      </c>
      <c r="C1148" s="3">
        <f t="shared" si="323"/>
        <v>0</v>
      </c>
      <c r="D1148">
        <f t="shared" si="324"/>
        <v>1</v>
      </c>
      <c r="E1148" t="s">
        <v>1117</v>
      </c>
      <c r="F1148" t="s">
        <v>308</v>
      </c>
      <c r="G1148" s="1">
        <v>28530</v>
      </c>
      <c r="H1148" s="2">
        <f t="shared" ca="1" si="325"/>
        <v>48</v>
      </c>
      <c r="I1148" s="2">
        <f t="shared" ca="1" si="326"/>
        <v>0.32857142857142857</v>
      </c>
      <c r="J1148" t="s">
        <v>36</v>
      </c>
      <c r="K1148" t="s">
        <v>37</v>
      </c>
      <c r="L1148">
        <f t="shared" si="327"/>
        <v>1</v>
      </c>
      <c r="M1148">
        <f t="shared" si="328"/>
        <v>0</v>
      </c>
      <c r="N1148">
        <f t="shared" si="329"/>
        <v>0</v>
      </c>
      <c r="O1148" t="s">
        <v>183</v>
      </c>
      <c r="P1148">
        <f t="shared" si="330"/>
        <v>0</v>
      </c>
      <c r="Q1148">
        <f t="shared" si="331"/>
        <v>0</v>
      </c>
      <c r="R1148">
        <f t="shared" si="332"/>
        <v>0</v>
      </c>
      <c r="S1148">
        <f t="shared" si="333"/>
        <v>0</v>
      </c>
      <c r="T1148">
        <f t="shared" si="334"/>
        <v>0</v>
      </c>
      <c r="U1148">
        <f t="shared" si="335"/>
        <v>0</v>
      </c>
      <c r="V1148">
        <f t="shared" si="336"/>
        <v>0</v>
      </c>
      <c r="W1148" t="s">
        <v>39</v>
      </c>
      <c r="X1148">
        <f t="shared" si="337"/>
        <v>1</v>
      </c>
      <c r="Y1148">
        <f t="shared" si="338"/>
        <v>0</v>
      </c>
      <c r="Z1148">
        <v>3</v>
      </c>
      <c r="AA1148">
        <f t="shared" si="339"/>
        <v>0.5</v>
      </c>
      <c r="AB1148" t="s">
        <v>46</v>
      </c>
      <c r="AC1148">
        <f t="shared" si="340"/>
        <v>0</v>
      </c>
      <c r="AD1148">
        <f t="shared" si="341"/>
        <v>0</v>
      </c>
      <c r="AE1148" t="s">
        <v>41</v>
      </c>
      <c r="AF1148">
        <f>IF(AE1148="website",1,0)</f>
        <v>1</v>
      </c>
    </row>
    <row r="1149" spans="1:32">
      <c r="A1149" t="s">
        <v>1796</v>
      </c>
      <c r="B1149" t="s">
        <v>33</v>
      </c>
      <c r="C1149" s="3">
        <f t="shared" si="323"/>
        <v>0</v>
      </c>
      <c r="D1149">
        <f t="shared" si="324"/>
        <v>1</v>
      </c>
      <c r="E1149" t="s">
        <v>910</v>
      </c>
      <c r="F1149" t="s">
        <v>709</v>
      </c>
      <c r="G1149" s="1">
        <v>33434</v>
      </c>
      <c r="H1149" s="2">
        <f t="shared" ca="1" si="325"/>
        <v>35</v>
      </c>
      <c r="I1149" s="2">
        <f t="shared" ca="1" si="326"/>
        <v>0.14285714285714285</v>
      </c>
      <c r="J1149" t="s">
        <v>45</v>
      </c>
      <c r="K1149" t="s">
        <v>819</v>
      </c>
      <c r="L1149">
        <f t="shared" si="327"/>
        <v>0</v>
      </c>
      <c r="M1149">
        <f t="shared" si="328"/>
        <v>0</v>
      </c>
      <c r="N1149">
        <f t="shared" si="329"/>
        <v>0</v>
      </c>
      <c r="O1149" t="s">
        <v>820</v>
      </c>
      <c r="P1149">
        <f t="shared" si="330"/>
        <v>0</v>
      </c>
      <c r="Q1149">
        <f t="shared" si="331"/>
        <v>0</v>
      </c>
      <c r="R1149">
        <f t="shared" si="332"/>
        <v>0</v>
      </c>
      <c r="S1149">
        <f t="shared" si="333"/>
        <v>0</v>
      </c>
      <c r="T1149">
        <f t="shared" si="334"/>
        <v>0</v>
      </c>
      <c r="U1149">
        <f t="shared" si="335"/>
        <v>0</v>
      </c>
      <c r="V1149">
        <f t="shared" si="336"/>
        <v>0</v>
      </c>
      <c r="W1149" t="s">
        <v>39</v>
      </c>
      <c r="X1149">
        <f t="shared" si="337"/>
        <v>1</v>
      </c>
      <c r="Y1149">
        <f t="shared" si="338"/>
        <v>0</v>
      </c>
      <c r="Z1149">
        <v>1</v>
      </c>
      <c r="AA1149">
        <f t="shared" si="339"/>
        <v>0</v>
      </c>
      <c r="AB1149" t="s">
        <v>40</v>
      </c>
      <c r="AC1149">
        <f t="shared" si="340"/>
        <v>1</v>
      </c>
      <c r="AD1149">
        <f t="shared" si="341"/>
        <v>0</v>
      </c>
      <c r="AE1149" t="s">
        <v>50</v>
      </c>
      <c r="AF1149">
        <f>IF(AE1149="website",1,0)</f>
        <v>0</v>
      </c>
    </row>
    <row r="1150" spans="1:32">
      <c r="A1150" t="s">
        <v>1797</v>
      </c>
      <c r="B1150" t="s">
        <v>33</v>
      </c>
      <c r="C1150" s="3">
        <f t="shared" si="323"/>
        <v>0</v>
      </c>
      <c r="D1150">
        <f t="shared" si="324"/>
        <v>1</v>
      </c>
      <c r="E1150" t="s">
        <v>924</v>
      </c>
      <c r="F1150" t="s">
        <v>1041</v>
      </c>
      <c r="G1150" s="1">
        <v>29286</v>
      </c>
      <c r="H1150" s="2">
        <f t="shared" ca="1" si="325"/>
        <v>46</v>
      </c>
      <c r="I1150" s="2">
        <f t="shared" ca="1" si="326"/>
        <v>0.3</v>
      </c>
      <c r="J1150" t="s">
        <v>36</v>
      </c>
      <c r="K1150" t="s">
        <v>172</v>
      </c>
      <c r="L1150">
        <f t="shared" si="327"/>
        <v>0</v>
      </c>
      <c r="M1150">
        <f t="shared" si="328"/>
        <v>0</v>
      </c>
      <c r="N1150">
        <f t="shared" si="329"/>
        <v>0</v>
      </c>
      <c r="O1150" t="s">
        <v>833</v>
      </c>
      <c r="P1150">
        <f t="shared" si="330"/>
        <v>0</v>
      </c>
      <c r="Q1150">
        <f t="shared" si="331"/>
        <v>0</v>
      </c>
      <c r="R1150">
        <f t="shared" si="332"/>
        <v>0</v>
      </c>
      <c r="S1150">
        <f t="shared" si="333"/>
        <v>0</v>
      </c>
      <c r="T1150">
        <f t="shared" si="334"/>
        <v>0</v>
      </c>
      <c r="U1150">
        <f t="shared" si="335"/>
        <v>0</v>
      </c>
      <c r="V1150">
        <f t="shared" si="336"/>
        <v>0</v>
      </c>
      <c r="W1150" t="s">
        <v>39</v>
      </c>
      <c r="X1150">
        <f t="shared" si="337"/>
        <v>1</v>
      </c>
      <c r="Y1150">
        <f t="shared" si="338"/>
        <v>0</v>
      </c>
      <c r="Z1150">
        <v>3</v>
      </c>
      <c r="AA1150">
        <f t="shared" si="339"/>
        <v>0.5</v>
      </c>
      <c r="AB1150" t="s">
        <v>46</v>
      </c>
      <c r="AC1150">
        <f t="shared" si="340"/>
        <v>1</v>
      </c>
      <c r="AD1150">
        <f t="shared" si="341"/>
        <v>0</v>
      </c>
      <c r="AE1150" t="s">
        <v>50</v>
      </c>
      <c r="AF1150">
        <f>IF(AE1150="website",1,0)</f>
        <v>0</v>
      </c>
    </row>
    <row r="1151" spans="1:32">
      <c r="A1151" t="s">
        <v>1798</v>
      </c>
      <c r="B1151" t="s">
        <v>33</v>
      </c>
      <c r="C1151" s="3">
        <f t="shared" si="323"/>
        <v>0</v>
      </c>
      <c r="D1151">
        <f t="shared" si="324"/>
        <v>1</v>
      </c>
      <c r="E1151" t="s">
        <v>1664</v>
      </c>
      <c r="F1151" t="s">
        <v>876</v>
      </c>
      <c r="G1151" s="1">
        <v>33916</v>
      </c>
      <c r="H1151" s="2">
        <f t="shared" ca="1" si="325"/>
        <v>33</v>
      </c>
      <c r="I1151" s="2">
        <f t="shared" ca="1" si="326"/>
        <v>0.11428571428571428</v>
      </c>
      <c r="J1151" t="s">
        <v>36</v>
      </c>
      <c r="K1151" t="s">
        <v>37</v>
      </c>
      <c r="L1151">
        <f t="shared" si="327"/>
        <v>1</v>
      </c>
      <c r="M1151">
        <f t="shared" si="328"/>
        <v>0</v>
      </c>
      <c r="N1151">
        <f t="shared" si="329"/>
        <v>0</v>
      </c>
      <c r="O1151" t="s">
        <v>124</v>
      </c>
      <c r="P1151">
        <f t="shared" si="330"/>
        <v>0</v>
      </c>
      <c r="Q1151">
        <f t="shared" si="331"/>
        <v>0</v>
      </c>
      <c r="R1151">
        <f t="shared" si="332"/>
        <v>0</v>
      </c>
      <c r="S1151">
        <f t="shared" si="333"/>
        <v>0</v>
      </c>
      <c r="T1151">
        <f t="shared" si="334"/>
        <v>0</v>
      </c>
      <c r="U1151">
        <f t="shared" si="335"/>
        <v>1</v>
      </c>
      <c r="V1151">
        <f t="shared" si="336"/>
        <v>0</v>
      </c>
      <c r="W1151" t="s">
        <v>58</v>
      </c>
      <c r="X1151">
        <f t="shared" si="337"/>
        <v>0</v>
      </c>
      <c r="Y1151">
        <f t="shared" si="338"/>
        <v>1</v>
      </c>
      <c r="Z1151">
        <v>4</v>
      </c>
      <c r="AA1151">
        <f t="shared" si="339"/>
        <v>0.75</v>
      </c>
      <c r="AB1151" t="s">
        <v>46</v>
      </c>
      <c r="AC1151">
        <f t="shared" si="340"/>
        <v>1</v>
      </c>
      <c r="AD1151">
        <f t="shared" si="341"/>
        <v>0</v>
      </c>
      <c r="AE1151" t="s">
        <v>50</v>
      </c>
      <c r="AF1151">
        <f>IF(AE1151="website",1,0)</f>
        <v>0</v>
      </c>
    </row>
    <row r="1152" spans="1:32">
      <c r="A1152" t="s">
        <v>1799</v>
      </c>
      <c r="B1152" t="s">
        <v>33</v>
      </c>
      <c r="C1152" s="3">
        <f t="shared" si="323"/>
        <v>0</v>
      </c>
      <c r="D1152">
        <f t="shared" si="324"/>
        <v>1</v>
      </c>
      <c r="E1152" t="s">
        <v>240</v>
      </c>
      <c r="F1152" t="s">
        <v>366</v>
      </c>
      <c r="G1152" s="1">
        <v>23359</v>
      </c>
      <c r="H1152" s="2">
        <f t="shared" ca="1" si="325"/>
        <v>62</v>
      </c>
      <c r="I1152" s="2">
        <f t="shared" ca="1" si="326"/>
        <v>0.52857142857142858</v>
      </c>
      <c r="J1152" t="s">
        <v>45</v>
      </c>
      <c r="K1152" t="s">
        <v>37</v>
      </c>
      <c r="L1152">
        <f t="shared" si="327"/>
        <v>1</v>
      </c>
      <c r="M1152">
        <f t="shared" si="328"/>
        <v>0</v>
      </c>
      <c r="N1152">
        <f t="shared" si="329"/>
        <v>0</v>
      </c>
      <c r="O1152" t="s">
        <v>97</v>
      </c>
      <c r="P1152">
        <f t="shared" si="330"/>
        <v>0</v>
      </c>
      <c r="Q1152">
        <f t="shared" si="331"/>
        <v>0</v>
      </c>
      <c r="R1152">
        <f t="shared" si="332"/>
        <v>0</v>
      </c>
      <c r="S1152">
        <f t="shared" si="333"/>
        <v>0</v>
      </c>
      <c r="T1152">
        <f t="shared" si="334"/>
        <v>1</v>
      </c>
      <c r="U1152">
        <f t="shared" si="335"/>
        <v>0</v>
      </c>
      <c r="V1152">
        <f t="shared" si="336"/>
        <v>0</v>
      </c>
      <c r="W1152" t="s">
        <v>58</v>
      </c>
      <c r="X1152">
        <f t="shared" si="337"/>
        <v>0</v>
      </c>
      <c r="Y1152">
        <f t="shared" si="338"/>
        <v>1</v>
      </c>
      <c r="Z1152">
        <v>2</v>
      </c>
      <c r="AA1152">
        <f t="shared" si="339"/>
        <v>0.25</v>
      </c>
      <c r="AB1152" t="s">
        <v>46</v>
      </c>
      <c r="AC1152">
        <f t="shared" si="340"/>
        <v>0</v>
      </c>
      <c r="AD1152">
        <f t="shared" si="341"/>
        <v>0</v>
      </c>
      <c r="AE1152" t="s">
        <v>41</v>
      </c>
      <c r="AF1152">
        <f>IF(AE1152="website",1,0)</f>
        <v>1</v>
      </c>
    </row>
    <row r="1153" spans="1:32">
      <c r="A1153" t="s">
        <v>1800</v>
      </c>
      <c r="B1153" t="s">
        <v>33</v>
      </c>
      <c r="C1153" s="3">
        <f t="shared" si="323"/>
        <v>0</v>
      </c>
      <c r="D1153">
        <f t="shared" si="324"/>
        <v>1</v>
      </c>
      <c r="E1153" t="s">
        <v>671</v>
      </c>
      <c r="F1153" t="s">
        <v>579</v>
      </c>
      <c r="G1153" s="1">
        <v>28384</v>
      </c>
      <c r="H1153" s="2">
        <f t="shared" ca="1" si="325"/>
        <v>49</v>
      </c>
      <c r="I1153" s="2">
        <f t="shared" ca="1" si="326"/>
        <v>0.34285714285714286</v>
      </c>
      <c r="J1153" t="s">
        <v>45</v>
      </c>
      <c r="K1153" t="s">
        <v>37</v>
      </c>
      <c r="L1153">
        <f t="shared" si="327"/>
        <v>1</v>
      </c>
      <c r="M1153">
        <f t="shared" si="328"/>
        <v>0</v>
      </c>
      <c r="N1153">
        <f t="shared" si="329"/>
        <v>0</v>
      </c>
      <c r="O1153" t="s">
        <v>785</v>
      </c>
      <c r="P1153">
        <f t="shared" si="330"/>
        <v>0</v>
      </c>
      <c r="Q1153">
        <f t="shared" si="331"/>
        <v>0</v>
      </c>
      <c r="R1153">
        <f t="shared" si="332"/>
        <v>0</v>
      </c>
      <c r="S1153">
        <f t="shared" si="333"/>
        <v>0</v>
      </c>
      <c r="T1153">
        <f t="shared" si="334"/>
        <v>0</v>
      </c>
      <c r="U1153">
        <f t="shared" si="335"/>
        <v>0</v>
      </c>
      <c r="V1153">
        <f t="shared" si="336"/>
        <v>0</v>
      </c>
      <c r="W1153" t="s">
        <v>39</v>
      </c>
      <c r="X1153">
        <f t="shared" si="337"/>
        <v>1</v>
      </c>
      <c r="Y1153">
        <f t="shared" si="338"/>
        <v>0</v>
      </c>
      <c r="Z1153">
        <v>1</v>
      </c>
      <c r="AA1153">
        <f t="shared" si="339"/>
        <v>0</v>
      </c>
      <c r="AB1153" t="s">
        <v>46</v>
      </c>
      <c r="AC1153">
        <f t="shared" si="340"/>
        <v>0</v>
      </c>
      <c r="AD1153">
        <f t="shared" si="341"/>
        <v>0</v>
      </c>
      <c r="AE1153" t="s">
        <v>41</v>
      </c>
      <c r="AF1153">
        <f>IF(AE1153="website",1,0)</f>
        <v>1</v>
      </c>
    </row>
    <row r="1154" spans="1:32">
      <c r="A1154" t="s">
        <v>1801</v>
      </c>
      <c r="B1154" t="s">
        <v>33</v>
      </c>
      <c r="C1154" s="3">
        <f t="shared" ref="C1154:C1217" si="342">IF(B1154="company",1,0)</f>
        <v>0</v>
      </c>
      <c r="D1154">
        <f t="shared" ref="D1154:D1217" si="343">IF(B1154="individual",1,0)</f>
        <v>1</v>
      </c>
      <c r="E1154" t="s">
        <v>941</v>
      </c>
      <c r="F1154" t="s">
        <v>557</v>
      </c>
      <c r="G1154" s="1">
        <v>33495</v>
      </c>
      <c r="H1154" s="2">
        <f t="shared" ref="H1154:H1217" ca="1" si="344">DATEDIF(G1154,TODAY(),"Y")</f>
        <v>35</v>
      </c>
      <c r="I1154" s="2">
        <f t="shared" ref="I1154:I1217" ca="1" si="345">(H1154-MIN(H:H))/(MAX(H:H)-MIN(H:H))</f>
        <v>0.14285714285714285</v>
      </c>
      <c r="J1154" t="s">
        <v>45</v>
      </c>
      <c r="K1154" t="s">
        <v>37</v>
      </c>
      <c r="L1154">
        <f t="shared" ref="L1154:L1217" si="346">IF(K1154="usa",1,0)</f>
        <v>1</v>
      </c>
      <c r="M1154">
        <f t="shared" ref="M1154:M1217" si="347">IF(K1154="canada",1,0)</f>
        <v>0</v>
      </c>
      <c r="N1154">
        <f t="shared" ref="N1154:N1217" si="348">IF(K1154="germany",1,0)</f>
        <v>0</v>
      </c>
      <c r="O1154" t="s">
        <v>38</v>
      </c>
      <c r="P1154">
        <f t="shared" ref="P1154:P1217" si="349">IF(O1154="california",1,0)</f>
        <v>1</v>
      </c>
      <c r="Q1154">
        <f t="shared" ref="Q1154:Q1217" si="350">IF(O1154="oregon",1,0)</f>
        <v>0</v>
      </c>
      <c r="R1154">
        <f t="shared" ref="R1154:R1217" si="351">IF(O1154="quebec",1,0)</f>
        <v>0</v>
      </c>
      <c r="S1154">
        <f t="shared" ref="S1154:S1217" si="352">IF(O1154="berlin",1,0)</f>
        <v>0</v>
      </c>
      <c r="T1154">
        <f t="shared" ref="T1154:T1217" si="353">IF(O1154="arizona",1,0)</f>
        <v>0</v>
      </c>
      <c r="U1154">
        <f t="shared" ref="U1154:U1217" si="354">IF(O1154="nevada",1,0)</f>
        <v>0</v>
      </c>
      <c r="V1154">
        <f t="shared" ref="V1154:V1217" si="355">IF(O1154="colardo",1,0)</f>
        <v>0</v>
      </c>
      <c r="W1154" t="s">
        <v>39</v>
      </c>
      <c r="X1154">
        <f t="shared" ref="X1154:X1217" si="356">IF(W1154="home",1,0)</f>
        <v>1</v>
      </c>
      <c r="Y1154">
        <f t="shared" ref="Y1154:Y1217" si="357">IF(W1154="investment",1,0)</f>
        <v>0</v>
      </c>
      <c r="Z1154">
        <v>1</v>
      </c>
      <c r="AA1154">
        <f t="shared" ref="AA1154:AA1217" si="358">(Z1154-1)/4</f>
        <v>0</v>
      </c>
      <c r="AB1154" t="s">
        <v>46</v>
      </c>
      <c r="AC1154">
        <f t="shared" ref="AC1154:AC1217" si="359">IF(AE1154="agency",1,0)</f>
        <v>0</v>
      </c>
      <c r="AD1154">
        <f t="shared" ref="AD1154:AD1217" si="360">IF(AE1154="client",1,0)</f>
        <v>0</v>
      </c>
      <c r="AE1154" t="s">
        <v>41</v>
      </c>
      <c r="AF1154">
        <f>IF(AE1154="website",1,0)</f>
        <v>1</v>
      </c>
    </row>
    <row r="1155" spans="1:32">
      <c r="A1155" t="s">
        <v>1802</v>
      </c>
      <c r="B1155" t="s">
        <v>33</v>
      </c>
      <c r="C1155" s="3">
        <f t="shared" si="342"/>
        <v>0</v>
      </c>
      <c r="D1155">
        <f t="shared" si="343"/>
        <v>1</v>
      </c>
      <c r="E1155" t="s">
        <v>1099</v>
      </c>
      <c r="F1155" t="s">
        <v>247</v>
      </c>
      <c r="G1155" s="1">
        <v>20648</v>
      </c>
      <c r="H1155" s="2">
        <f t="shared" ca="1" si="344"/>
        <v>70</v>
      </c>
      <c r="I1155" s="2">
        <f t="shared" ca="1" si="345"/>
        <v>0.6428571428571429</v>
      </c>
      <c r="J1155" t="s">
        <v>45</v>
      </c>
      <c r="K1155" t="s">
        <v>37</v>
      </c>
      <c r="L1155">
        <f t="shared" si="346"/>
        <v>1</v>
      </c>
      <c r="M1155">
        <f t="shared" si="347"/>
        <v>0</v>
      </c>
      <c r="N1155">
        <f t="shared" si="348"/>
        <v>0</v>
      </c>
      <c r="O1155" t="s">
        <v>183</v>
      </c>
      <c r="P1155">
        <f t="shared" si="349"/>
        <v>0</v>
      </c>
      <c r="Q1155">
        <f t="shared" si="350"/>
        <v>0</v>
      </c>
      <c r="R1155">
        <f t="shared" si="351"/>
        <v>0</v>
      </c>
      <c r="S1155">
        <f t="shared" si="352"/>
        <v>0</v>
      </c>
      <c r="T1155">
        <f t="shared" si="353"/>
        <v>0</v>
      </c>
      <c r="U1155">
        <f t="shared" si="354"/>
        <v>0</v>
      </c>
      <c r="V1155">
        <f t="shared" si="355"/>
        <v>0</v>
      </c>
      <c r="W1155" t="s">
        <v>39</v>
      </c>
      <c r="X1155">
        <f t="shared" si="356"/>
        <v>1</v>
      </c>
      <c r="Y1155">
        <f t="shared" si="357"/>
        <v>0</v>
      </c>
      <c r="Z1155">
        <v>5</v>
      </c>
      <c r="AA1155">
        <f t="shared" si="358"/>
        <v>1</v>
      </c>
      <c r="AB1155" t="s">
        <v>40</v>
      </c>
      <c r="AC1155">
        <f t="shared" si="359"/>
        <v>1</v>
      </c>
      <c r="AD1155">
        <f t="shared" si="360"/>
        <v>0</v>
      </c>
      <c r="AE1155" t="s">
        <v>50</v>
      </c>
      <c r="AF1155">
        <f>IF(AE1155="website",1,0)</f>
        <v>0</v>
      </c>
    </row>
    <row r="1156" spans="1:32">
      <c r="A1156" t="s">
        <v>1803</v>
      </c>
      <c r="B1156" t="s">
        <v>33</v>
      </c>
      <c r="C1156" s="3">
        <f t="shared" si="342"/>
        <v>0</v>
      </c>
      <c r="D1156">
        <f t="shared" si="343"/>
        <v>1</v>
      </c>
      <c r="E1156" t="s">
        <v>683</v>
      </c>
      <c r="F1156" t="s">
        <v>796</v>
      </c>
      <c r="G1156" s="1">
        <v>28187</v>
      </c>
      <c r="H1156" s="2">
        <f t="shared" ca="1" si="344"/>
        <v>49</v>
      </c>
      <c r="I1156" s="2">
        <f t="shared" ca="1" si="345"/>
        <v>0.34285714285714286</v>
      </c>
      <c r="J1156" t="s">
        <v>45</v>
      </c>
      <c r="K1156" t="s">
        <v>37</v>
      </c>
      <c r="L1156">
        <f t="shared" si="346"/>
        <v>1</v>
      </c>
      <c r="M1156">
        <f t="shared" si="347"/>
        <v>0</v>
      </c>
      <c r="N1156">
        <f t="shared" si="348"/>
        <v>0</v>
      </c>
      <c r="O1156" t="s">
        <v>38</v>
      </c>
      <c r="P1156">
        <f t="shared" si="349"/>
        <v>1</v>
      </c>
      <c r="Q1156">
        <f t="shared" si="350"/>
        <v>0</v>
      </c>
      <c r="R1156">
        <f t="shared" si="351"/>
        <v>0</v>
      </c>
      <c r="S1156">
        <f t="shared" si="352"/>
        <v>0</v>
      </c>
      <c r="T1156">
        <f t="shared" si="353"/>
        <v>0</v>
      </c>
      <c r="U1156">
        <f t="shared" si="354"/>
        <v>0</v>
      </c>
      <c r="V1156">
        <f t="shared" si="355"/>
        <v>0</v>
      </c>
      <c r="W1156" t="s">
        <v>39</v>
      </c>
      <c r="X1156">
        <f t="shared" si="356"/>
        <v>1</v>
      </c>
      <c r="Y1156">
        <f t="shared" si="357"/>
        <v>0</v>
      </c>
      <c r="Z1156">
        <v>5</v>
      </c>
      <c r="AA1156">
        <f t="shared" si="358"/>
        <v>1</v>
      </c>
      <c r="AB1156" t="s">
        <v>46</v>
      </c>
      <c r="AC1156">
        <f t="shared" si="359"/>
        <v>0</v>
      </c>
      <c r="AD1156">
        <f t="shared" si="360"/>
        <v>0</v>
      </c>
      <c r="AE1156" t="s">
        <v>41</v>
      </c>
      <c r="AF1156">
        <f>IF(AE1156="website",1,0)</f>
        <v>1</v>
      </c>
    </row>
    <row r="1157" spans="1:32">
      <c r="A1157" t="s">
        <v>1804</v>
      </c>
      <c r="B1157" t="s">
        <v>33</v>
      </c>
      <c r="C1157" s="3">
        <f t="shared" si="342"/>
        <v>0</v>
      </c>
      <c r="D1157">
        <f t="shared" si="343"/>
        <v>1</v>
      </c>
      <c r="E1157" t="s">
        <v>1210</v>
      </c>
      <c r="F1157" t="s">
        <v>607</v>
      </c>
      <c r="G1157" s="1">
        <v>20591</v>
      </c>
      <c r="H1157" s="2">
        <f t="shared" ca="1" si="344"/>
        <v>70</v>
      </c>
      <c r="I1157" s="2">
        <f t="shared" ca="1" si="345"/>
        <v>0.6428571428571429</v>
      </c>
      <c r="J1157" t="s">
        <v>36</v>
      </c>
      <c r="K1157" t="s">
        <v>37</v>
      </c>
      <c r="L1157">
        <f t="shared" si="346"/>
        <v>1</v>
      </c>
      <c r="M1157">
        <f t="shared" si="347"/>
        <v>0</v>
      </c>
      <c r="N1157">
        <f t="shared" si="348"/>
        <v>0</v>
      </c>
      <c r="O1157" t="s">
        <v>305</v>
      </c>
      <c r="P1157">
        <f t="shared" si="349"/>
        <v>0</v>
      </c>
      <c r="Q1157">
        <f t="shared" si="350"/>
        <v>0</v>
      </c>
      <c r="R1157">
        <f t="shared" si="351"/>
        <v>0</v>
      </c>
      <c r="S1157">
        <f t="shared" si="352"/>
        <v>0</v>
      </c>
      <c r="T1157">
        <f t="shared" si="353"/>
        <v>0</v>
      </c>
      <c r="U1157">
        <f t="shared" si="354"/>
        <v>0</v>
      </c>
      <c r="V1157">
        <f t="shared" si="355"/>
        <v>0</v>
      </c>
      <c r="W1157" t="s">
        <v>39</v>
      </c>
      <c r="X1157">
        <f t="shared" si="356"/>
        <v>1</v>
      </c>
      <c r="Y1157">
        <f t="shared" si="357"/>
        <v>0</v>
      </c>
      <c r="Z1157">
        <v>4</v>
      </c>
      <c r="AA1157">
        <f t="shared" si="358"/>
        <v>0.75</v>
      </c>
      <c r="AB1157" t="s">
        <v>46</v>
      </c>
      <c r="AC1157">
        <f t="shared" si="359"/>
        <v>1</v>
      </c>
      <c r="AD1157">
        <f t="shared" si="360"/>
        <v>0</v>
      </c>
      <c r="AE1157" t="s">
        <v>50</v>
      </c>
      <c r="AF1157">
        <f>IF(AE1157="website",1,0)</f>
        <v>0</v>
      </c>
    </row>
    <row r="1158" spans="1:32">
      <c r="A1158" t="s">
        <v>1805</v>
      </c>
      <c r="B1158" t="s">
        <v>33</v>
      </c>
      <c r="C1158" s="3">
        <f t="shared" si="342"/>
        <v>0</v>
      </c>
      <c r="D1158">
        <f t="shared" si="343"/>
        <v>1</v>
      </c>
      <c r="E1158" t="s">
        <v>719</v>
      </c>
      <c r="F1158" t="s">
        <v>840</v>
      </c>
      <c r="G1158" s="1">
        <v>16378</v>
      </c>
      <c r="H1158" s="2">
        <f t="shared" ca="1" si="344"/>
        <v>81</v>
      </c>
      <c r="I1158" s="2">
        <f t="shared" ca="1" si="345"/>
        <v>0.8</v>
      </c>
      <c r="J1158" t="s">
        <v>45</v>
      </c>
      <c r="K1158" t="s">
        <v>65</v>
      </c>
      <c r="L1158">
        <f t="shared" si="346"/>
        <v>0</v>
      </c>
      <c r="M1158">
        <f t="shared" si="347"/>
        <v>1</v>
      </c>
      <c r="N1158">
        <f t="shared" si="348"/>
        <v>0</v>
      </c>
      <c r="O1158" t="s">
        <v>843</v>
      </c>
      <c r="P1158">
        <f t="shared" si="349"/>
        <v>0</v>
      </c>
      <c r="Q1158">
        <f t="shared" si="350"/>
        <v>0</v>
      </c>
      <c r="R1158">
        <f t="shared" si="351"/>
        <v>0</v>
      </c>
      <c r="S1158">
        <f t="shared" si="352"/>
        <v>0</v>
      </c>
      <c r="T1158">
        <f t="shared" si="353"/>
        <v>0</v>
      </c>
      <c r="U1158">
        <f t="shared" si="354"/>
        <v>0</v>
      </c>
      <c r="V1158">
        <f t="shared" si="355"/>
        <v>0</v>
      </c>
      <c r="W1158" t="s">
        <v>58</v>
      </c>
      <c r="X1158">
        <f t="shared" si="356"/>
        <v>0</v>
      </c>
      <c r="Y1158">
        <f t="shared" si="357"/>
        <v>1</v>
      </c>
      <c r="Z1158">
        <v>2</v>
      </c>
      <c r="AA1158">
        <f t="shared" si="358"/>
        <v>0.25</v>
      </c>
      <c r="AB1158" t="s">
        <v>46</v>
      </c>
      <c r="AC1158">
        <f t="shared" si="359"/>
        <v>0</v>
      </c>
      <c r="AD1158">
        <f t="shared" si="360"/>
        <v>0</v>
      </c>
      <c r="AE1158" t="s">
        <v>41</v>
      </c>
      <c r="AF1158">
        <f>IF(AE1158="website",1,0)</f>
        <v>1</v>
      </c>
    </row>
    <row r="1159" spans="1:32">
      <c r="A1159" t="s">
        <v>1806</v>
      </c>
      <c r="B1159" t="s">
        <v>33</v>
      </c>
      <c r="C1159" s="3">
        <f t="shared" si="342"/>
        <v>0</v>
      </c>
      <c r="D1159">
        <f t="shared" si="343"/>
        <v>1</v>
      </c>
      <c r="E1159" t="s">
        <v>817</v>
      </c>
      <c r="F1159" t="s">
        <v>599</v>
      </c>
      <c r="G1159" s="1">
        <v>20228</v>
      </c>
      <c r="H1159" s="2">
        <f t="shared" ca="1" si="344"/>
        <v>71</v>
      </c>
      <c r="I1159" s="2">
        <f t="shared" ca="1" si="345"/>
        <v>0.65714285714285714</v>
      </c>
      <c r="J1159" t="s">
        <v>36</v>
      </c>
      <c r="K1159" t="s">
        <v>37</v>
      </c>
      <c r="L1159">
        <f t="shared" si="346"/>
        <v>1</v>
      </c>
      <c r="M1159">
        <f t="shared" si="347"/>
        <v>0</v>
      </c>
      <c r="N1159">
        <f t="shared" si="348"/>
        <v>0</v>
      </c>
      <c r="O1159" t="s">
        <v>38</v>
      </c>
      <c r="P1159">
        <f t="shared" si="349"/>
        <v>1</v>
      </c>
      <c r="Q1159">
        <f t="shared" si="350"/>
        <v>0</v>
      </c>
      <c r="R1159">
        <f t="shared" si="351"/>
        <v>0</v>
      </c>
      <c r="S1159">
        <f t="shared" si="352"/>
        <v>0</v>
      </c>
      <c r="T1159">
        <f t="shared" si="353"/>
        <v>0</v>
      </c>
      <c r="U1159">
        <f t="shared" si="354"/>
        <v>0</v>
      </c>
      <c r="V1159">
        <f t="shared" si="355"/>
        <v>0</v>
      </c>
      <c r="W1159" t="s">
        <v>58</v>
      </c>
      <c r="X1159">
        <f t="shared" si="356"/>
        <v>0</v>
      </c>
      <c r="Y1159">
        <f t="shared" si="357"/>
        <v>1</v>
      </c>
      <c r="Z1159">
        <v>2</v>
      </c>
      <c r="AA1159">
        <f t="shared" si="358"/>
        <v>0.25</v>
      </c>
      <c r="AB1159" t="s">
        <v>46</v>
      </c>
      <c r="AC1159">
        <f t="shared" si="359"/>
        <v>0</v>
      </c>
      <c r="AD1159">
        <f t="shared" si="360"/>
        <v>0</v>
      </c>
      <c r="AE1159" t="s">
        <v>41</v>
      </c>
      <c r="AF1159">
        <f>IF(AE1159="website",1,0)</f>
        <v>1</v>
      </c>
    </row>
    <row r="1160" spans="1:32">
      <c r="A1160" t="s">
        <v>1807</v>
      </c>
      <c r="B1160" t="s">
        <v>33</v>
      </c>
      <c r="C1160" s="3">
        <f t="shared" si="342"/>
        <v>0</v>
      </c>
      <c r="D1160">
        <f t="shared" si="343"/>
        <v>1</v>
      </c>
      <c r="E1160" t="s">
        <v>722</v>
      </c>
      <c r="F1160" t="s">
        <v>339</v>
      </c>
      <c r="G1160" s="1">
        <v>14694</v>
      </c>
      <c r="H1160" s="2">
        <f t="shared" ca="1" si="344"/>
        <v>86</v>
      </c>
      <c r="I1160" s="2">
        <f t="shared" ca="1" si="345"/>
        <v>0.87142857142857144</v>
      </c>
      <c r="J1160" t="s">
        <v>45</v>
      </c>
      <c r="K1160" t="s">
        <v>37</v>
      </c>
      <c r="L1160">
        <f t="shared" si="346"/>
        <v>1</v>
      </c>
      <c r="M1160">
        <f t="shared" si="347"/>
        <v>0</v>
      </c>
      <c r="N1160">
        <f t="shared" si="348"/>
        <v>0</v>
      </c>
      <c r="O1160" t="s">
        <v>124</v>
      </c>
      <c r="P1160">
        <f t="shared" si="349"/>
        <v>0</v>
      </c>
      <c r="Q1160">
        <f t="shared" si="350"/>
        <v>0</v>
      </c>
      <c r="R1160">
        <f t="shared" si="351"/>
        <v>0</v>
      </c>
      <c r="S1160">
        <f t="shared" si="352"/>
        <v>0</v>
      </c>
      <c r="T1160">
        <f t="shared" si="353"/>
        <v>0</v>
      </c>
      <c r="U1160">
        <f t="shared" si="354"/>
        <v>1</v>
      </c>
      <c r="V1160">
        <f t="shared" si="355"/>
        <v>0</v>
      </c>
      <c r="W1160" t="s">
        <v>58</v>
      </c>
      <c r="X1160">
        <f t="shared" si="356"/>
        <v>0</v>
      </c>
      <c r="Y1160">
        <f t="shared" si="357"/>
        <v>1</v>
      </c>
      <c r="Z1160">
        <v>1</v>
      </c>
      <c r="AA1160">
        <f t="shared" si="358"/>
        <v>0</v>
      </c>
      <c r="AB1160" t="s">
        <v>40</v>
      </c>
      <c r="AC1160">
        <f t="shared" si="359"/>
        <v>0</v>
      </c>
      <c r="AD1160">
        <f t="shared" si="360"/>
        <v>0</v>
      </c>
      <c r="AE1160" t="s">
        <v>41</v>
      </c>
      <c r="AF1160">
        <f>IF(AE1160="website",1,0)</f>
        <v>1</v>
      </c>
    </row>
    <row r="1161" spans="1:32">
      <c r="A1161" t="s">
        <v>1808</v>
      </c>
      <c r="B1161" t="s">
        <v>33</v>
      </c>
      <c r="C1161" s="3">
        <f t="shared" si="342"/>
        <v>0</v>
      </c>
      <c r="D1161">
        <f t="shared" si="343"/>
        <v>1</v>
      </c>
      <c r="E1161" t="s">
        <v>216</v>
      </c>
      <c r="F1161" t="s">
        <v>928</v>
      </c>
      <c r="G1161" s="1">
        <v>29546</v>
      </c>
      <c r="H1161" s="2">
        <f t="shared" ca="1" si="344"/>
        <v>45</v>
      </c>
      <c r="I1161" s="2">
        <f t="shared" ca="1" si="345"/>
        <v>0.2857142857142857</v>
      </c>
      <c r="J1161" t="s">
        <v>45</v>
      </c>
      <c r="K1161" t="s">
        <v>37</v>
      </c>
      <c r="L1161">
        <f t="shared" si="346"/>
        <v>1</v>
      </c>
      <c r="M1161">
        <f t="shared" si="347"/>
        <v>0</v>
      </c>
      <c r="N1161">
        <f t="shared" si="348"/>
        <v>0</v>
      </c>
      <c r="O1161" t="s">
        <v>600</v>
      </c>
      <c r="P1161">
        <f t="shared" si="349"/>
        <v>0</v>
      </c>
      <c r="Q1161">
        <f t="shared" si="350"/>
        <v>0</v>
      </c>
      <c r="R1161">
        <f t="shared" si="351"/>
        <v>0</v>
      </c>
      <c r="S1161">
        <f t="shared" si="352"/>
        <v>0</v>
      </c>
      <c r="T1161">
        <f t="shared" si="353"/>
        <v>0</v>
      </c>
      <c r="U1161">
        <f t="shared" si="354"/>
        <v>0</v>
      </c>
      <c r="V1161">
        <f t="shared" si="355"/>
        <v>0</v>
      </c>
      <c r="W1161" t="s">
        <v>39</v>
      </c>
      <c r="X1161">
        <f t="shared" si="356"/>
        <v>1</v>
      </c>
      <c r="Y1161">
        <f t="shared" si="357"/>
        <v>0</v>
      </c>
      <c r="Z1161">
        <v>2</v>
      </c>
      <c r="AA1161">
        <f t="shared" si="358"/>
        <v>0.25</v>
      </c>
      <c r="AB1161" t="s">
        <v>40</v>
      </c>
      <c r="AC1161">
        <f t="shared" si="359"/>
        <v>0</v>
      </c>
      <c r="AD1161">
        <f t="shared" si="360"/>
        <v>0</v>
      </c>
      <c r="AE1161" t="s">
        <v>41</v>
      </c>
      <c r="AF1161">
        <f>IF(AE1161="website",1,0)</f>
        <v>1</v>
      </c>
    </row>
    <row r="1162" spans="1:32">
      <c r="A1162" t="s">
        <v>1809</v>
      </c>
      <c r="B1162" t="s">
        <v>33</v>
      </c>
      <c r="C1162" s="3">
        <f t="shared" si="342"/>
        <v>0</v>
      </c>
      <c r="D1162">
        <f t="shared" si="343"/>
        <v>1</v>
      </c>
      <c r="E1162" t="s">
        <v>734</v>
      </c>
      <c r="F1162" t="s">
        <v>633</v>
      </c>
      <c r="G1162" s="1">
        <v>34377</v>
      </c>
      <c r="H1162" s="2">
        <f t="shared" ca="1" si="344"/>
        <v>32</v>
      </c>
      <c r="I1162" s="2">
        <f t="shared" ca="1" si="345"/>
        <v>0.1</v>
      </c>
      <c r="J1162" t="s">
        <v>45</v>
      </c>
      <c r="K1162" t="s">
        <v>65</v>
      </c>
      <c r="L1162">
        <f t="shared" si="346"/>
        <v>0</v>
      </c>
      <c r="M1162">
        <f t="shared" si="347"/>
        <v>1</v>
      </c>
      <c r="N1162">
        <f t="shared" si="348"/>
        <v>0</v>
      </c>
      <c r="O1162" t="s">
        <v>843</v>
      </c>
      <c r="P1162">
        <f t="shared" si="349"/>
        <v>0</v>
      </c>
      <c r="Q1162">
        <f t="shared" si="350"/>
        <v>0</v>
      </c>
      <c r="R1162">
        <f t="shared" si="351"/>
        <v>0</v>
      </c>
      <c r="S1162">
        <f t="shared" si="352"/>
        <v>0</v>
      </c>
      <c r="T1162">
        <f t="shared" si="353"/>
        <v>0</v>
      </c>
      <c r="U1162">
        <f t="shared" si="354"/>
        <v>0</v>
      </c>
      <c r="V1162">
        <f t="shared" si="355"/>
        <v>0</v>
      </c>
      <c r="W1162" t="s">
        <v>58</v>
      </c>
      <c r="X1162">
        <f t="shared" si="356"/>
        <v>0</v>
      </c>
      <c r="Y1162">
        <f t="shared" si="357"/>
        <v>1</v>
      </c>
      <c r="Z1162">
        <v>3</v>
      </c>
      <c r="AA1162">
        <f t="shared" si="358"/>
        <v>0.5</v>
      </c>
      <c r="AB1162" t="s">
        <v>40</v>
      </c>
      <c r="AC1162">
        <f t="shared" si="359"/>
        <v>0</v>
      </c>
      <c r="AD1162">
        <f t="shared" si="360"/>
        <v>0</v>
      </c>
      <c r="AE1162" t="s">
        <v>41</v>
      </c>
      <c r="AF1162">
        <f>IF(AE1162="website",1,0)</f>
        <v>1</v>
      </c>
    </row>
    <row r="1163" spans="1:32">
      <c r="A1163" t="s">
        <v>1810</v>
      </c>
      <c r="B1163" t="s">
        <v>33</v>
      </c>
      <c r="C1163" s="3">
        <f t="shared" si="342"/>
        <v>0</v>
      </c>
      <c r="D1163">
        <f t="shared" si="343"/>
        <v>1</v>
      </c>
      <c r="E1163" t="s">
        <v>527</v>
      </c>
      <c r="F1163" t="s">
        <v>112</v>
      </c>
      <c r="G1163" s="1">
        <v>22671</v>
      </c>
      <c r="H1163" s="2">
        <f t="shared" ca="1" si="344"/>
        <v>64</v>
      </c>
      <c r="I1163" s="2">
        <f t="shared" ca="1" si="345"/>
        <v>0.55714285714285716</v>
      </c>
      <c r="J1163" t="s">
        <v>45</v>
      </c>
      <c r="K1163" t="s">
        <v>37</v>
      </c>
      <c r="L1163">
        <f t="shared" si="346"/>
        <v>1</v>
      </c>
      <c r="M1163">
        <f t="shared" si="347"/>
        <v>0</v>
      </c>
      <c r="N1163">
        <f t="shared" si="348"/>
        <v>0</v>
      </c>
      <c r="O1163" t="s">
        <v>38</v>
      </c>
      <c r="P1163">
        <f t="shared" si="349"/>
        <v>1</v>
      </c>
      <c r="Q1163">
        <f t="shared" si="350"/>
        <v>0</v>
      </c>
      <c r="R1163">
        <f t="shared" si="351"/>
        <v>0</v>
      </c>
      <c r="S1163">
        <f t="shared" si="352"/>
        <v>0</v>
      </c>
      <c r="T1163">
        <f t="shared" si="353"/>
        <v>0</v>
      </c>
      <c r="U1163">
        <f t="shared" si="354"/>
        <v>0</v>
      </c>
      <c r="V1163">
        <f t="shared" si="355"/>
        <v>0</v>
      </c>
      <c r="W1163" t="s">
        <v>58</v>
      </c>
      <c r="X1163">
        <f t="shared" si="356"/>
        <v>0</v>
      </c>
      <c r="Y1163">
        <f t="shared" si="357"/>
        <v>1</v>
      </c>
      <c r="Z1163">
        <v>2</v>
      </c>
      <c r="AA1163">
        <f t="shared" si="358"/>
        <v>0.25</v>
      </c>
      <c r="AB1163" t="s">
        <v>46</v>
      </c>
      <c r="AC1163">
        <f t="shared" si="359"/>
        <v>0</v>
      </c>
      <c r="AD1163">
        <f t="shared" si="360"/>
        <v>0</v>
      </c>
      <c r="AE1163" t="s">
        <v>41</v>
      </c>
      <c r="AF1163">
        <f>IF(AE1163="website",1,0)</f>
        <v>1</v>
      </c>
    </row>
    <row r="1164" spans="1:32">
      <c r="A1164" t="s">
        <v>1811</v>
      </c>
      <c r="B1164" t="s">
        <v>33</v>
      </c>
      <c r="C1164" s="3">
        <f t="shared" si="342"/>
        <v>0</v>
      </c>
      <c r="D1164">
        <f t="shared" si="343"/>
        <v>1</v>
      </c>
      <c r="E1164" t="s">
        <v>815</v>
      </c>
      <c r="F1164" t="s">
        <v>730</v>
      </c>
      <c r="G1164" s="1">
        <v>36094</v>
      </c>
      <c r="H1164" s="2">
        <f t="shared" ca="1" si="344"/>
        <v>27</v>
      </c>
      <c r="I1164" s="2">
        <f t="shared" ca="1" si="345"/>
        <v>2.8571428571428571E-2</v>
      </c>
      <c r="J1164" t="s">
        <v>45</v>
      </c>
      <c r="K1164" t="s">
        <v>37</v>
      </c>
      <c r="L1164">
        <f t="shared" si="346"/>
        <v>1</v>
      </c>
      <c r="M1164">
        <f t="shared" si="347"/>
        <v>0</v>
      </c>
      <c r="N1164">
        <f t="shared" si="348"/>
        <v>0</v>
      </c>
      <c r="O1164" t="s">
        <v>38</v>
      </c>
      <c r="P1164">
        <f t="shared" si="349"/>
        <v>1</v>
      </c>
      <c r="Q1164">
        <f t="shared" si="350"/>
        <v>0</v>
      </c>
      <c r="R1164">
        <f t="shared" si="351"/>
        <v>0</v>
      </c>
      <c r="S1164">
        <f t="shared" si="352"/>
        <v>0</v>
      </c>
      <c r="T1164">
        <f t="shared" si="353"/>
        <v>0</v>
      </c>
      <c r="U1164">
        <f t="shared" si="354"/>
        <v>0</v>
      </c>
      <c r="V1164">
        <f t="shared" si="355"/>
        <v>0</v>
      </c>
      <c r="W1164" t="s">
        <v>39</v>
      </c>
      <c r="X1164">
        <f t="shared" si="356"/>
        <v>1</v>
      </c>
      <c r="Y1164">
        <f t="shared" si="357"/>
        <v>0</v>
      </c>
      <c r="Z1164">
        <v>3</v>
      </c>
      <c r="AA1164">
        <f t="shared" si="358"/>
        <v>0.5</v>
      </c>
      <c r="AB1164" t="s">
        <v>40</v>
      </c>
      <c r="AC1164">
        <f t="shared" si="359"/>
        <v>0</v>
      </c>
      <c r="AD1164">
        <f t="shared" si="360"/>
        <v>0</v>
      </c>
      <c r="AE1164" t="s">
        <v>41</v>
      </c>
      <c r="AF1164">
        <f>IF(AE1164="website",1,0)</f>
        <v>1</v>
      </c>
    </row>
    <row r="1165" spans="1:32">
      <c r="A1165" t="s">
        <v>1812</v>
      </c>
      <c r="B1165" t="s">
        <v>33</v>
      </c>
      <c r="C1165" s="3">
        <f t="shared" si="342"/>
        <v>0</v>
      </c>
      <c r="D1165">
        <f t="shared" si="343"/>
        <v>1</v>
      </c>
      <c r="E1165" t="s">
        <v>766</v>
      </c>
      <c r="F1165" t="s">
        <v>825</v>
      </c>
      <c r="G1165" s="1">
        <v>24939</v>
      </c>
      <c r="H1165" s="2">
        <f t="shared" ca="1" si="344"/>
        <v>58</v>
      </c>
      <c r="I1165" s="2">
        <f t="shared" ca="1" si="345"/>
        <v>0.47142857142857142</v>
      </c>
      <c r="J1165" t="s">
        <v>36</v>
      </c>
      <c r="K1165" t="s">
        <v>153</v>
      </c>
      <c r="L1165">
        <f t="shared" si="346"/>
        <v>0</v>
      </c>
      <c r="M1165">
        <f t="shared" si="347"/>
        <v>0</v>
      </c>
      <c r="N1165">
        <f t="shared" si="348"/>
        <v>0</v>
      </c>
      <c r="O1165" t="s">
        <v>945</v>
      </c>
      <c r="P1165">
        <f t="shared" si="349"/>
        <v>0</v>
      </c>
      <c r="Q1165">
        <f t="shared" si="350"/>
        <v>0</v>
      </c>
      <c r="R1165">
        <f t="shared" si="351"/>
        <v>0</v>
      </c>
      <c r="S1165">
        <f t="shared" si="352"/>
        <v>0</v>
      </c>
      <c r="T1165">
        <f t="shared" si="353"/>
        <v>0</v>
      </c>
      <c r="U1165">
        <f t="shared" si="354"/>
        <v>0</v>
      </c>
      <c r="V1165">
        <f t="shared" si="355"/>
        <v>0</v>
      </c>
      <c r="W1165" t="s">
        <v>39</v>
      </c>
      <c r="X1165">
        <f t="shared" si="356"/>
        <v>1</v>
      </c>
      <c r="Y1165">
        <f t="shared" si="357"/>
        <v>0</v>
      </c>
      <c r="Z1165">
        <v>3</v>
      </c>
      <c r="AA1165">
        <f t="shared" si="358"/>
        <v>0.5</v>
      </c>
      <c r="AB1165" t="s">
        <v>40</v>
      </c>
      <c r="AC1165">
        <f t="shared" si="359"/>
        <v>1</v>
      </c>
      <c r="AD1165">
        <f t="shared" si="360"/>
        <v>0</v>
      </c>
      <c r="AE1165" t="s">
        <v>50</v>
      </c>
      <c r="AF1165">
        <f>IF(AE1165="website",1,0)</f>
        <v>0</v>
      </c>
    </row>
    <row r="1166" spans="1:32">
      <c r="A1166" t="s">
        <v>1813</v>
      </c>
      <c r="B1166" t="s">
        <v>33</v>
      </c>
      <c r="C1166" s="3">
        <f t="shared" si="342"/>
        <v>0</v>
      </c>
      <c r="D1166">
        <f t="shared" si="343"/>
        <v>1</v>
      </c>
      <c r="E1166" t="s">
        <v>1061</v>
      </c>
      <c r="F1166" t="s">
        <v>576</v>
      </c>
      <c r="G1166" s="1">
        <v>34603</v>
      </c>
      <c r="H1166" s="2">
        <f t="shared" ca="1" si="344"/>
        <v>32</v>
      </c>
      <c r="I1166" s="2">
        <f t="shared" ca="1" si="345"/>
        <v>0.1</v>
      </c>
      <c r="J1166" t="s">
        <v>36</v>
      </c>
      <c r="K1166" t="s">
        <v>172</v>
      </c>
      <c r="L1166">
        <f t="shared" si="346"/>
        <v>0</v>
      </c>
      <c r="M1166">
        <f t="shared" si="347"/>
        <v>0</v>
      </c>
      <c r="N1166">
        <f t="shared" si="348"/>
        <v>0</v>
      </c>
      <c r="O1166" t="s">
        <v>1559</v>
      </c>
      <c r="P1166">
        <f t="shared" si="349"/>
        <v>0</v>
      </c>
      <c r="Q1166">
        <f t="shared" si="350"/>
        <v>0</v>
      </c>
      <c r="R1166">
        <f t="shared" si="351"/>
        <v>0</v>
      </c>
      <c r="S1166">
        <f t="shared" si="352"/>
        <v>0</v>
      </c>
      <c r="T1166">
        <f t="shared" si="353"/>
        <v>0</v>
      </c>
      <c r="U1166">
        <f t="shared" si="354"/>
        <v>0</v>
      </c>
      <c r="V1166">
        <f t="shared" si="355"/>
        <v>0</v>
      </c>
      <c r="W1166" t="s">
        <v>39</v>
      </c>
      <c r="X1166">
        <f t="shared" si="356"/>
        <v>1</v>
      </c>
      <c r="Y1166">
        <f t="shared" si="357"/>
        <v>0</v>
      </c>
      <c r="Z1166">
        <v>1</v>
      </c>
      <c r="AA1166">
        <f t="shared" si="358"/>
        <v>0</v>
      </c>
      <c r="AB1166" t="s">
        <v>46</v>
      </c>
      <c r="AC1166">
        <f t="shared" si="359"/>
        <v>0</v>
      </c>
      <c r="AD1166">
        <f t="shared" si="360"/>
        <v>0</v>
      </c>
      <c r="AE1166" t="s">
        <v>41</v>
      </c>
      <c r="AF1166">
        <f>IF(AE1166="website",1,0)</f>
        <v>1</v>
      </c>
    </row>
    <row r="1167" spans="1:32">
      <c r="A1167" t="s">
        <v>1814</v>
      </c>
      <c r="B1167" t="s">
        <v>33</v>
      </c>
      <c r="C1167" s="3">
        <f t="shared" si="342"/>
        <v>0</v>
      </c>
      <c r="D1167">
        <f t="shared" si="343"/>
        <v>1</v>
      </c>
      <c r="E1167" t="s">
        <v>941</v>
      </c>
      <c r="F1167" t="s">
        <v>549</v>
      </c>
      <c r="G1167" s="1">
        <v>33557</v>
      </c>
      <c r="H1167" s="2">
        <f t="shared" ca="1" si="344"/>
        <v>34</v>
      </c>
      <c r="I1167" s="2">
        <f t="shared" ca="1" si="345"/>
        <v>0.12857142857142856</v>
      </c>
      <c r="J1167" t="s">
        <v>45</v>
      </c>
      <c r="K1167" t="s">
        <v>37</v>
      </c>
      <c r="L1167">
        <f t="shared" si="346"/>
        <v>1</v>
      </c>
      <c r="M1167">
        <f t="shared" si="347"/>
        <v>0</v>
      </c>
      <c r="N1167">
        <f t="shared" si="348"/>
        <v>0</v>
      </c>
      <c r="O1167" t="s">
        <v>717</v>
      </c>
      <c r="P1167">
        <f t="shared" si="349"/>
        <v>0</v>
      </c>
      <c r="Q1167">
        <f t="shared" si="350"/>
        <v>0</v>
      </c>
      <c r="R1167">
        <f t="shared" si="351"/>
        <v>0</v>
      </c>
      <c r="S1167">
        <f t="shared" si="352"/>
        <v>0</v>
      </c>
      <c r="T1167">
        <f t="shared" si="353"/>
        <v>0</v>
      </c>
      <c r="U1167">
        <f t="shared" si="354"/>
        <v>0</v>
      </c>
      <c r="V1167">
        <f t="shared" si="355"/>
        <v>0</v>
      </c>
      <c r="W1167" t="s">
        <v>58</v>
      </c>
      <c r="X1167">
        <f t="shared" si="356"/>
        <v>0</v>
      </c>
      <c r="Y1167">
        <f t="shared" si="357"/>
        <v>1</v>
      </c>
      <c r="Z1167">
        <v>1</v>
      </c>
      <c r="AA1167">
        <f t="shared" si="358"/>
        <v>0</v>
      </c>
      <c r="AB1167" t="s">
        <v>46</v>
      </c>
      <c r="AC1167">
        <f t="shared" si="359"/>
        <v>0</v>
      </c>
      <c r="AD1167">
        <f t="shared" si="360"/>
        <v>0</v>
      </c>
      <c r="AE1167" t="s">
        <v>41</v>
      </c>
      <c r="AF1167">
        <f>IF(AE1167="website",1,0)</f>
        <v>1</v>
      </c>
    </row>
    <row r="1168" spans="1:32">
      <c r="A1168" t="s">
        <v>1815</v>
      </c>
      <c r="B1168" t="s">
        <v>33</v>
      </c>
      <c r="C1168" s="3">
        <f t="shared" si="342"/>
        <v>0</v>
      </c>
      <c r="D1168">
        <f t="shared" si="343"/>
        <v>1</v>
      </c>
      <c r="E1168" t="s">
        <v>191</v>
      </c>
      <c r="F1168" t="s">
        <v>576</v>
      </c>
      <c r="G1168" s="1">
        <v>24826</v>
      </c>
      <c r="H1168" s="2">
        <f t="shared" ca="1" si="344"/>
        <v>58</v>
      </c>
      <c r="I1168" s="2">
        <f t="shared" ca="1" si="345"/>
        <v>0.47142857142857142</v>
      </c>
      <c r="J1168" t="s">
        <v>45</v>
      </c>
      <c r="K1168" t="s">
        <v>248</v>
      </c>
      <c r="L1168">
        <f t="shared" si="346"/>
        <v>0</v>
      </c>
      <c r="M1168">
        <f t="shared" si="347"/>
        <v>0</v>
      </c>
      <c r="N1168">
        <f t="shared" si="348"/>
        <v>0</v>
      </c>
      <c r="O1168" t="s">
        <v>411</v>
      </c>
      <c r="P1168">
        <f t="shared" si="349"/>
        <v>0</v>
      </c>
      <c r="Q1168">
        <f t="shared" si="350"/>
        <v>0</v>
      </c>
      <c r="R1168">
        <f t="shared" si="351"/>
        <v>0</v>
      </c>
      <c r="S1168">
        <f t="shared" si="352"/>
        <v>0</v>
      </c>
      <c r="T1168">
        <f t="shared" si="353"/>
        <v>0</v>
      </c>
      <c r="U1168">
        <f t="shared" si="354"/>
        <v>0</v>
      </c>
      <c r="V1168">
        <f t="shared" si="355"/>
        <v>0</v>
      </c>
      <c r="W1168" t="s">
        <v>39</v>
      </c>
      <c r="X1168">
        <f t="shared" si="356"/>
        <v>1</v>
      </c>
      <c r="Y1168">
        <f t="shared" si="357"/>
        <v>0</v>
      </c>
      <c r="Z1168">
        <v>3</v>
      </c>
      <c r="AA1168">
        <f t="shared" si="358"/>
        <v>0.5</v>
      </c>
      <c r="AB1168" t="s">
        <v>46</v>
      </c>
      <c r="AC1168">
        <f t="shared" si="359"/>
        <v>0</v>
      </c>
      <c r="AD1168">
        <f t="shared" si="360"/>
        <v>0</v>
      </c>
      <c r="AE1168" t="s">
        <v>41</v>
      </c>
      <c r="AF1168">
        <f>IF(AE1168="website",1,0)</f>
        <v>1</v>
      </c>
    </row>
    <row r="1169" spans="1:32">
      <c r="A1169" t="s">
        <v>1816</v>
      </c>
      <c r="B1169" t="s">
        <v>33</v>
      </c>
      <c r="C1169" s="3">
        <f t="shared" si="342"/>
        <v>0</v>
      </c>
      <c r="D1169">
        <f t="shared" si="343"/>
        <v>1</v>
      </c>
      <c r="E1169" t="s">
        <v>1117</v>
      </c>
      <c r="F1169" t="s">
        <v>641</v>
      </c>
      <c r="G1169" s="1">
        <v>36154</v>
      </c>
      <c r="H1169" s="2">
        <f t="shared" ca="1" si="344"/>
        <v>27</v>
      </c>
      <c r="I1169" s="2">
        <f t="shared" ca="1" si="345"/>
        <v>2.8571428571428571E-2</v>
      </c>
      <c r="J1169" t="s">
        <v>36</v>
      </c>
      <c r="K1169" t="s">
        <v>113</v>
      </c>
      <c r="L1169">
        <f t="shared" si="346"/>
        <v>0</v>
      </c>
      <c r="M1169">
        <f t="shared" si="347"/>
        <v>0</v>
      </c>
      <c r="N1169">
        <f t="shared" si="348"/>
        <v>1</v>
      </c>
      <c r="O1169" t="s">
        <v>675</v>
      </c>
      <c r="P1169">
        <f t="shared" si="349"/>
        <v>0</v>
      </c>
      <c r="Q1169">
        <f t="shared" si="350"/>
        <v>0</v>
      </c>
      <c r="R1169">
        <f t="shared" si="351"/>
        <v>0</v>
      </c>
      <c r="S1169">
        <f t="shared" si="352"/>
        <v>0</v>
      </c>
      <c r="T1169">
        <f t="shared" si="353"/>
        <v>0</v>
      </c>
      <c r="U1169">
        <f t="shared" si="354"/>
        <v>0</v>
      </c>
      <c r="V1169">
        <f t="shared" si="355"/>
        <v>0</v>
      </c>
      <c r="W1169" t="s">
        <v>39</v>
      </c>
      <c r="X1169">
        <f t="shared" si="356"/>
        <v>1</v>
      </c>
      <c r="Y1169">
        <f t="shared" si="357"/>
        <v>0</v>
      </c>
      <c r="Z1169">
        <v>2</v>
      </c>
      <c r="AA1169">
        <f t="shared" si="358"/>
        <v>0.25</v>
      </c>
      <c r="AB1169" t="s">
        <v>40</v>
      </c>
      <c r="AC1169">
        <f t="shared" si="359"/>
        <v>1</v>
      </c>
      <c r="AD1169">
        <f t="shared" si="360"/>
        <v>0</v>
      </c>
      <c r="AE1169" t="s">
        <v>50</v>
      </c>
      <c r="AF1169">
        <f>IF(AE1169="website",1,0)</f>
        <v>0</v>
      </c>
    </row>
    <row r="1170" spans="1:32">
      <c r="A1170" t="s">
        <v>1817</v>
      </c>
      <c r="B1170" t="s">
        <v>33</v>
      </c>
      <c r="C1170" s="3">
        <f t="shared" si="342"/>
        <v>0</v>
      </c>
      <c r="D1170">
        <f t="shared" si="343"/>
        <v>1</v>
      </c>
      <c r="E1170" t="s">
        <v>815</v>
      </c>
      <c r="F1170" t="s">
        <v>773</v>
      </c>
      <c r="G1170" s="1">
        <v>34339</v>
      </c>
      <c r="H1170" s="2">
        <f t="shared" ca="1" si="344"/>
        <v>32</v>
      </c>
      <c r="I1170" s="2">
        <f t="shared" ca="1" si="345"/>
        <v>0.1</v>
      </c>
      <c r="J1170" t="s">
        <v>45</v>
      </c>
      <c r="K1170" t="s">
        <v>172</v>
      </c>
      <c r="L1170">
        <f t="shared" si="346"/>
        <v>0</v>
      </c>
      <c r="M1170">
        <f t="shared" si="347"/>
        <v>0</v>
      </c>
      <c r="N1170">
        <f t="shared" si="348"/>
        <v>0</v>
      </c>
      <c r="O1170" t="s">
        <v>355</v>
      </c>
      <c r="P1170">
        <f t="shared" si="349"/>
        <v>0</v>
      </c>
      <c r="Q1170">
        <f t="shared" si="350"/>
        <v>0</v>
      </c>
      <c r="R1170">
        <f t="shared" si="351"/>
        <v>0</v>
      </c>
      <c r="S1170">
        <f t="shared" si="352"/>
        <v>0</v>
      </c>
      <c r="T1170">
        <f t="shared" si="353"/>
        <v>0</v>
      </c>
      <c r="U1170">
        <f t="shared" si="354"/>
        <v>0</v>
      </c>
      <c r="V1170">
        <f t="shared" si="355"/>
        <v>0</v>
      </c>
      <c r="W1170" t="s">
        <v>39</v>
      </c>
      <c r="X1170">
        <f t="shared" si="356"/>
        <v>1</v>
      </c>
      <c r="Y1170">
        <f t="shared" si="357"/>
        <v>0</v>
      </c>
      <c r="Z1170">
        <v>5</v>
      </c>
      <c r="AA1170">
        <f t="shared" si="358"/>
        <v>1</v>
      </c>
      <c r="AB1170" t="s">
        <v>40</v>
      </c>
      <c r="AC1170">
        <f t="shared" si="359"/>
        <v>1</v>
      </c>
      <c r="AD1170">
        <f t="shared" si="360"/>
        <v>0</v>
      </c>
      <c r="AE1170" t="s">
        <v>50</v>
      </c>
      <c r="AF1170">
        <f>IF(AE1170="website",1,0)</f>
        <v>0</v>
      </c>
    </row>
    <row r="1171" spans="1:32">
      <c r="A1171" t="s">
        <v>1818</v>
      </c>
      <c r="B1171" t="s">
        <v>33</v>
      </c>
      <c r="C1171" s="3">
        <f t="shared" si="342"/>
        <v>0</v>
      </c>
      <c r="D1171">
        <f t="shared" si="343"/>
        <v>1</v>
      </c>
      <c r="E1171" t="s">
        <v>404</v>
      </c>
      <c r="F1171" t="s">
        <v>745</v>
      </c>
      <c r="G1171" s="1">
        <v>32913</v>
      </c>
      <c r="H1171" s="2">
        <f t="shared" ca="1" si="344"/>
        <v>36</v>
      </c>
      <c r="I1171" s="2">
        <f t="shared" ca="1" si="345"/>
        <v>0.15714285714285714</v>
      </c>
      <c r="J1171" t="s">
        <v>36</v>
      </c>
      <c r="K1171" t="s">
        <v>37</v>
      </c>
      <c r="L1171">
        <f t="shared" si="346"/>
        <v>1</v>
      </c>
      <c r="M1171">
        <f t="shared" si="347"/>
        <v>0</v>
      </c>
      <c r="N1171">
        <f t="shared" si="348"/>
        <v>0</v>
      </c>
      <c r="O1171" t="s">
        <v>124</v>
      </c>
      <c r="P1171">
        <f t="shared" si="349"/>
        <v>0</v>
      </c>
      <c r="Q1171">
        <f t="shared" si="350"/>
        <v>0</v>
      </c>
      <c r="R1171">
        <f t="shared" si="351"/>
        <v>0</v>
      </c>
      <c r="S1171">
        <f t="shared" si="352"/>
        <v>0</v>
      </c>
      <c r="T1171">
        <f t="shared" si="353"/>
        <v>0</v>
      </c>
      <c r="U1171">
        <f t="shared" si="354"/>
        <v>1</v>
      </c>
      <c r="V1171">
        <f t="shared" si="355"/>
        <v>0</v>
      </c>
      <c r="W1171" t="s">
        <v>39</v>
      </c>
      <c r="X1171">
        <f t="shared" si="356"/>
        <v>1</v>
      </c>
      <c r="Y1171">
        <f t="shared" si="357"/>
        <v>0</v>
      </c>
      <c r="Z1171">
        <v>1</v>
      </c>
      <c r="AA1171">
        <f t="shared" si="358"/>
        <v>0</v>
      </c>
      <c r="AB1171" t="s">
        <v>40</v>
      </c>
      <c r="AC1171">
        <f t="shared" si="359"/>
        <v>0</v>
      </c>
      <c r="AD1171">
        <f t="shared" si="360"/>
        <v>0</v>
      </c>
      <c r="AE1171" t="s">
        <v>41</v>
      </c>
      <c r="AF1171">
        <f>IF(AE1171="website",1,0)</f>
        <v>1</v>
      </c>
    </row>
    <row r="1172" spans="1:32">
      <c r="A1172" t="s">
        <v>1819</v>
      </c>
      <c r="B1172" t="s">
        <v>33</v>
      </c>
      <c r="C1172" s="3">
        <f t="shared" si="342"/>
        <v>0</v>
      </c>
      <c r="D1172">
        <f t="shared" si="343"/>
        <v>1</v>
      </c>
      <c r="E1172" t="s">
        <v>612</v>
      </c>
      <c r="F1172" t="s">
        <v>726</v>
      </c>
      <c r="G1172" s="1">
        <v>30915</v>
      </c>
      <c r="H1172" s="2">
        <f t="shared" ca="1" si="344"/>
        <v>42</v>
      </c>
      <c r="I1172" s="2">
        <f t="shared" ca="1" si="345"/>
        <v>0.24285714285714285</v>
      </c>
      <c r="J1172" t="s">
        <v>36</v>
      </c>
      <c r="K1172" t="s">
        <v>37</v>
      </c>
      <c r="L1172">
        <f t="shared" si="346"/>
        <v>1</v>
      </c>
      <c r="M1172">
        <f t="shared" si="347"/>
        <v>0</v>
      </c>
      <c r="N1172">
        <f t="shared" si="348"/>
        <v>0</v>
      </c>
      <c r="O1172" t="s">
        <v>38</v>
      </c>
      <c r="P1172">
        <f t="shared" si="349"/>
        <v>1</v>
      </c>
      <c r="Q1172">
        <f t="shared" si="350"/>
        <v>0</v>
      </c>
      <c r="R1172">
        <f t="shared" si="351"/>
        <v>0</v>
      </c>
      <c r="S1172">
        <f t="shared" si="352"/>
        <v>0</v>
      </c>
      <c r="T1172">
        <f t="shared" si="353"/>
        <v>0</v>
      </c>
      <c r="U1172">
        <f t="shared" si="354"/>
        <v>0</v>
      </c>
      <c r="V1172">
        <f t="shared" si="355"/>
        <v>0</v>
      </c>
      <c r="W1172" t="s">
        <v>58</v>
      </c>
      <c r="X1172">
        <f t="shared" si="356"/>
        <v>0</v>
      </c>
      <c r="Y1172">
        <f t="shared" si="357"/>
        <v>1</v>
      </c>
      <c r="Z1172">
        <v>4</v>
      </c>
      <c r="AA1172">
        <f t="shared" si="358"/>
        <v>0.75</v>
      </c>
      <c r="AB1172" t="s">
        <v>40</v>
      </c>
      <c r="AC1172">
        <f t="shared" si="359"/>
        <v>0</v>
      </c>
      <c r="AD1172">
        <f t="shared" si="360"/>
        <v>0</v>
      </c>
      <c r="AE1172" t="s">
        <v>41</v>
      </c>
      <c r="AF1172">
        <f>IF(AE1172="website",1,0)</f>
        <v>1</v>
      </c>
    </row>
    <row r="1173" spans="1:32">
      <c r="A1173" t="s">
        <v>1820</v>
      </c>
      <c r="B1173" t="s">
        <v>33</v>
      </c>
      <c r="C1173" s="3">
        <f t="shared" si="342"/>
        <v>0</v>
      </c>
      <c r="D1173">
        <f t="shared" si="343"/>
        <v>1</v>
      </c>
      <c r="E1173" t="s">
        <v>1061</v>
      </c>
      <c r="F1173" t="s">
        <v>757</v>
      </c>
      <c r="G1173" s="1">
        <v>15650</v>
      </c>
      <c r="H1173" s="2">
        <f t="shared" ca="1" si="344"/>
        <v>83</v>
      </c>
      <c r="I1173" s="2">
        <f t="shared" ca="1" si="345"/>
        <v>0.82857142857142863</v>
      </c>
      <c r="J1173" t="s">
        <v>36</v>
      </c>
      <c r="K1173" t="s">
        <v>37</v>
      </c>
      <c r="L1173">
        <f t="shared" si="346"/>
        <v>1</v>
      </c>
      <c r="M1173">
        <f t="shared" si="347"/>
        <v>0</v>
      </c>
      <c r="N1173">
        <f t="shared" si="348"/>
        <v>0</v>
      </c>
      <c r="O1173" t="s">
        <v>124</v>
      </c>
      <c r="P1173">
        <f t="shared" si="349"/>
        <v>0</v>
      </c>
      <c r="Q1173">
        <f t="shared" si="350"/>
        <v>0</v>
      </c>
      <c r="R1173">
        <f t="shared" si="351"/>
        <v>0</v>
      </c>
      <c r="S1173">
        <f t="shared" si="352"/>
        <v>0</v>
      </c>
      <c r="T1173">
        <f t="shared" si="353"/>
        <v>0</v>
      </c>
      <c r="U1173">
        <f t="shared" si="354"/>
        <v>1</v>
      </c>
      <c r="V1173">
        <f t="shared" si="355"/>
        <v>0</v>
      </c>
      <c r="W1173" t="s">
        <v>39</v>
      </c>
      <c r="X1173">
        <f t="shared" si="356"/>
        <v>1</v>
      </c>
      <c r="Y1173">
        <f t="shared" si="357"/>
        <v>0</v>
      </c>
      <c r="Z1173">
        <v>5</v>
      </c>
      <c r="AA1173">
        <f t="shared" si="358"/>
        <v>1</v>
      </c>
      <c r="AB1173" t="s">
        <v>46</v>
      </c>
      <c r="AC1173">
        <f t="shared" si="359"/>
        <v>0</v>
      </c>
      <c r="AD1173">
        <f t="shared" si="360"/>
        <v>0</v>
      </c>
      <c r="AE1173" t="s">
        <v>41</v>
      </c>
      <c r="AF1173">
        <f>IF(AE1173="website",1,0)</f>
        <v>1</v>
      </c>
    </row>
    <row r="1174" spans="1:32">
      <c r="A1174" t="s">
        <v>1821</v>
      </c>
      <c r="B1174" t="s">
        <v>33</v>
      </c>
      <c r="C1174" s="3">
        <f t="shared" si="342"/>
        <v>0</v>
      </c>
      <c r="D1174">
        <f t="shared" si="343"/>
        <v>1</v>
      </c>
      <c r="E1174" t="s">
        <v>606</v>
      </c>
      <c r="F1174" t="s">
        <v>664</v>
      </c>
      <c r="G1174" s="1">
        <v>30988</v>
      </c>
      <c r="H1174" s="2">
        <f t="shared" ca="1" si="344"/>
        <v>41</v>
      </c>
      <c r="I1174" s="2">
        <f t="shared" ca="1" si="345"/>
        <v>0.22857142857142856</v>
      </c>
      <c r="J1174" t="s">
        <v>36</v>
      </c>
      <c r="K1174" t="s">
        <v>65</v>
      </c>
      <c r="L1174">
        <f t="shared" si="346"/>
        <v>0</v>
      </c>
      <c r="M1174">
        <f t="shared" si="347"/>
        <v>1</v>
      </c>
      <c r="N1174">
        <f t="shared" si="348"/>
        <v>0</v>
      </c>
      <c r="O1174" t="s">
        <v>723</v>
      </c>
      <c r="P1174">
        <f t="shared" si="349"/>
        <v>0</v>
      </c>
      <c r="Q1174">
        <f t="shared" si="350"/>
        <v>0</v>
      </c>
      <c r="R1174">
        <f t="shared" si="351"/>
        <v>0</v>
      </c>
      <c r="S1174">
        <f t="shared" si="352"/>
        <v>0</v>
      </c>
      <c r="T1174">
        <f t="shared" si="353"/>
        <v>0</v>
      </c>
      <c r="U1174">
        <f t="shared" si="354"/>
        <v>0</v>
      </c>
      <c r="V1174">
        <f t="shared" si="355"/>
        <v>0</v>
      </c>
      <c r="W1174" t="s">
        <v>58</v>
      </c>
      <c r="X1174">
        <f t="shared" si="356"/>
        <v>0</v>
      </c>
      <c r="Y1174">
        <f t="shared" si="357"/>
        <v>1</v>
      </c>
      <c r="Z1174">
        <v>1</v>
      </c>
      <c r="AA1174">
        <f t="shared" si="358"/>
        <v>0</v>
      </c>
      <c r="AB1174" t="s">
        <v>46</v>
      </c>
      <c r="AC1174">
        <f t="shared" si="359"/>
        <v>0</v>
      </c>
      <c r="AD1174">
        <f t="shared" si="360"/>
        <v>0</v>
      </c>
      <c r="AE1174" t="s">
        <v>41</v>
      </c>
      <c r="AF1174">
        <f>IF(AE1174="website",1,0)</f>
        <v>1</v>
      </c>
    </row>
    <row r="1175" spans="1:32">
      <c r="A1175" t="s">
        <v>1822</v>
      </c>
      <c r="B1175" t="s">
        <v>33</v>
      </c>
      <c r="C1175" s="3">
        <f t="shared" si="342"/>
        <v>0</v>
      </c>
      <c r="D1175">
        <f t="shared" si="343"/>
        <v>1</v>
      </c>
      <c r="E1175" t="s">
        <v>719</v>
      </c>
      <c r="F1175" t="s">
        <v>633</v>
      </c>
      <c r="G1175" s="1">
        <v>30138</v>
      </c>
      <c r="H1175" s="2">
        <f t="shared" ca="1" si="344"/>
        <v>44</v>
      </c>
      <c r="I1175" s="2">
        <f t="shared" ca="1" si="345"/>
        <v>0.27142857142857141</v>
      </c>
      <c r="J1175" t="s">
        <v>45</v>
      </c>
      <c r="K1175" t="s">
        <v>37</v>
      </c>
      <c r="L1175">
        <f t="shared" si="346"/>
        <v>1</v>
      </c>
      <c r="M1175">
        <f t="shared" si="347"/>
        <v>0</v>
      </c>
      <c r="N1175">
        <f t="shared" si="348"/>
        <v>0</v>
      </c>
      <c r="O1175" t="s">
        <v>124</v>
      </c>
      <c r="P1175">
        <f t="shared" si="349"/>
        <v>0</v>
      </c>
      <c r="Q1175">
        <f t="shared" si="350"/>
        <v>0</v>
      </c>
      <c r="R1175">
        <f t="shared" si="351"/>
        <v>0</v>
      </c>
      <c r="S1175">
        <f t="shared" si="352"/>
        <v>0</v>
      </c>
      <c r="T1175">
        <f t="shared" si="353"/>
        <v>0</v>
      </c>
      <c r="U1175">
        <f t="shared" si="354"/>
        <v>1</v>
      </c>
      <c r="V1175">
        <f t="shared" si="355"/>
        <v>0</v>
      </c>
      <c r="W1175" t="s">
        <v>39</v>
      </c>
      <c r="X1175">
        <f t="shared" si="356"/>
        <v>1</v>
      </c>
      <c r="Y1175">
        <f t="shared" si="357"/>
        <v>0</v>
      </c>
      <c r="Z1175">
        <v>2</v>
      </c>
      <c r="AA1175">
        <f t="shared" si="358"/>
        <v>0.25</v>
      </c>
      <c r="AB1175" t="s">
        <v>46</v>
      </c>
      <c r="AC1175">
        <f t="shared" si="359"/>
        <v>1</v>
      </c>
      <c r="AD1175">
        <f t="shared" si="360"/>
        <v>0</v>
      </c>
      <c r="AE1175" t="s">
        <v>50</v>
      </c>
      <c r="AF1175">
        <f>IF(AE1175="website",1,0)</f>
        <v>0</v>
      </c>
    </row>
    <row r="1176" spans="1:32">
      <c r="A1176" t="s">
        <v>1823</v>
      </c>
      <c r="B1176" t="s">
        <v>33</v>
      </c>
      <c r="C1176" s="3">
        <f t="shared" si="342"/>
        <v>0</v>
      </c>
      <c r="D1176">
        <f t="shared" si="343"/>
        <v>1</v>
      </c>
      <c r="E1176" t="s">
        <v>697</v>
      </c>
      <c r="F1176" t="s">
        <v>738</v>
      </c>
      <c r="G1176" s="1">
        <v>21820</v>
      </c>
      <c r="H1176" s="2">
        <f t="shared" ca="1" si="344"/>
        <v>67</v>
      </c>
      <c r="I1176" s="2">
        <f t="shared" ca="1" si="345"/>
        <v>0.6</v>
      </c>
      <c r="J1176" t="s">
        <v>36</v>
      </c>
      <c r="K1176" t="s">
        <v>37</v>
      </c>
      <c r="L1176">
        <f t="shared" si="346"/>
        <v>1</v>
      </c>
      <c r="M1176">
        <f t="shared" si="347"/>
        <v>0</v>
      </c>
      <c r="N1176">
        <f t="shared" si="348"/>
        <v>0</v>
      </c>
      <c r="O1176" t="s">
        <v>38</v>
      </c>
      <c r="P1176">
        <f t="shared" si="349"/>
        <v>1</v>
      </c>
      <c r="Q1176">
        <f t="shared" si="350"/>
        <v>0</v>
      </c>
      <c r="R1176">
        <f t="shared" si="351"/>
        <v>0</v>
      </c>
      <c r="S1176">
        <f t="shared" si="352"/>
        <v>0</v>
      </c>
      <c r="T1176">
        <f t="shared" si="353"/>
        <v>0</v>
      </c>
      <c r="U1176">
        <f t="shared" si="354"/>
        <v>0</v>
      </c>
      <c r="V1176">
        <f t="shared" si="355"/>
        <v>0</v>
      </c>
      <c r="W1176" t="s">
        <v>39</v>
      </c>
      <c r="X1176">
        <f t="shared" si="356"/>
        <v>1</v>
      </c>
      <c r="Y1176">
        <f t="shared" si="357"/>
        <v>0</v>
      </c>
      <c r="Z1176">
        <v>2</v>
      </c>
      <c r="AA1176">
        <f t="shared" si="358"/>
        <v>0.25</v>
      </c>
      <c r="AB1176" t="s">
        <v>46</v>
      </c>
      <c r="AC1176">
        <f t="shared" si="359"/>
        <v>0</v>
      </c>
      <c r="AD1176">
        <f t="shared" si="360"/>
        <v>0</v>
      </c>
      <c r="AE1176" t="s">
        <v>41</v>
      </c>
      <c r="AF1176">
        <f>IF(AE1176="website",1,0)</f>
        <v>1</v>
      </c>
    </row>
    <row r="1177" spans="1:32">
      <c r="A1177" t="s">
        <v>1824</v>
      </c>
      <c r="B1177" t="s">
        <v>33</v>
      </c>
      <c r="C1177" s="3">
        <f t="shared" si="342"/>
        <v>0</v>
      </c>
      <c r="D1177">
        <f t="shared" si="343"/>
        <v>1</v>
      </c>
      <c r="E1177" t="s">
        <v>639</v>
      </c>
      <c r="F1177" t="s">
        <v>728</v>
      </c>
      <c r="G1177" s="1">
        <v>27548</v>
      </c>
      <c r="H1177" s="2">
        <f t="shared" ca="1" si="344"/>
        <v>51</v>
      </c>
      <c r="I1177" s="2">
        <f t="shared" ca="1" si="345"/>
        <v>0.37142857142857144</v>
      </c>
      <c r="J1177" t="s">
        <v>36</v>
      </c>
      <c r="K1177" t="s">
        <v>37</v>
      </c>
      <c r="L1177">
        <f t="shared" si="346"/>
        <v>1</v>
      </c>
      <c r="M1177">
        <f t="shared" si="347"/>
        <v>0</v>
      </c>
      <c r="N1177">
        <f t="shared" si="348"/>
        <v>0</v>
      </c>
      <c r="O1177" t="s">
        <v>38</v>
      </c>
      <c r="P1177">
        <f t="shared" si="349"/>
        <v>1</v>
      </c>
      <c r="Q1177">
        <f t="shared" si="350"/>
        <v>0</v>
      </c>
      <c r="R1177">
        <f t="shared" si="351"/>
        <v>0</v>
      </c>
      <c r="S1177">
        <f t="shared" si="352"/>
        <v>0</v>
      </c>
      <c r="T1177">
        <f t="shared" si="353"/>
        <v>0</v>
      </c>
      <c r="U1177">
        <f t="shared" si="354"/>
        <v>0</v>
      </c>
      <c r="V1177">
        <f t="shared" si="355"/>
        <v>0</v>
      </c>
      <c r="W1177" t="s">
        <v>58</v>
      </c>
      <c r="X1177">
        <f t="shared" si="356"/>
        <v>0</v>
      </c>
      <c r="Y1177">
        <f t="shared" si="357"/>
        <v>1</v>
      </c>
      <c r="Z1177">
        <v>4</v>
      </c>
      <c r="AA1177">
        <f t="shared" si="358"/>
        <v>0.75</v>
      </c>
      <c r="AB1177" t="s">
        <v>40</v>
      </c>
      <c r="AC1177">
        <f t="shared" si="359"/>
        <v>1</v>
      </c>
      <c r="AD1177">
        <f t="shared" si="360"/>
        <v>0</v>
      </c>
      <c r="AE1177" t="s">
        <v>50</v>
      </c>
      <c r="AF1177">
        <f>IF(AE1177="website",1,0)</f>
        <v>0</v>
      </c>
    </row>
    <row r="1178" spans="1:32">
      <c r="A1178" t="s">
        <v>1825</v>
      </c>
      <c r="B1178" t="s">
        <v>33</v>
      </c>
      <c r="C1178" s="3">
        <f t="shared" si="342"/>
        <v>0</v>
      </c>
      <c r="D1178">
        <f t="shared" si="343"/>
        <v>1</v>
      </c>
      <c r="E1178" t="s">
        <v>544</v>
      </c>
      <c r="F1178" t="s">
        <v>557</v>
      </c>
      <c r="G1178" s="1">
        <v>36043</v>
      </c>
      <c r="H1178" s="2">
        <f t="shared" ca="1" si="344"/>
        <v>28</v>
      </c>
      <c r="I1178" s="2">
        <f t="shared" ca="1" si="345"/>
        <v>4.2857142857142858E-2</v>
      </c>
      <c r="J1178" t="s">
        <v>45</v>
      </c>
      <c r="K1178" t="s">
        <v>37</v>
      </c>
      <c r="L1178">
        <f t="shared" si="346"/>
        <v>1</v>
      </c>
      <c r="M1178">
        <f t="shared" si="347"/>
        <v>0</v>
      </c>
      <c r="N1178">
        <f t="shared" si="348"/>
        <v>0</v>
      </c>
      <c r="O1178" t="s">
        <v>38</v>
      </c>
      <c r="P1178">
        <f t="shared" si="349"/>
        <v>1</v>
      </c>
      <c r="Q1178">
        <f t="shared" si="350"/>
        <v>0</v>
      </c>
      <c r="R1178">
        <f t="shared" si="351"/>
        <v>0</v>
      </c>
      <c r="S1178">
        <f t="shared" si="352"/>
        <v>0</v>
      </c>
      <c r="T1178">
        <f t="shared" si="353"/>
        <v>0</v>
      </c>
      <c r="U1178">
        <f t="shared" si="354"/>
        <v>0</v>
      </c>
      <c r="V1178">
        <f t="shared" si="355"/>
        <v>0</v>
      </c>
      <c r="W1178" t="s">
        <v>58</v>
      </c>
      <c r="X1178">
        <f t="shared" si="356"/>
        <v>0</v>
      </c>
      <c r="Y1178">
        <f t="shared" si="357"/>
        <v>1</v>
      </c>
      <c r="Z1178">
        <v>2</v>
      </c>
      <c r="AA1178">
        <f t="shared" si="358"/>
        <v>0.25</v>
      </c>
      <c r="AB1178" t="s">
        <v>46</v>
      </c>
      <c r="AC1178">
        <f t="shared" si="359"/>
        <v>1</v>
      </c>
      <c r="AD1178">
        <f t="shared" si="360"/>
        <v>0</v>
      </c>
      <c r="AE1178" t="s">
        <v>50</v>
      </c>
      <c r="AF1178">
        <f>IF(AE1178="website",1,0)</f>
        <v>0</v>
      </c>
    </row>
    <row r="1179" spans="1:32">
      <c r="A1179" t="s">
        <v>1826</v>
      </c>
      <c r="B1179" t="s">
        <v>33</v>
      </c>
      <c r="C1179" s="3">
        <f t="shared" si="342"/>
        <v>0</v>
      </c>
      <c r="D1179">
        <f t="shared" si="343"/>
        <v>1</v>
      </c>
      <c r="E1179" t="s">
        <v>968</v>
      </c>
      <c r="F1179" t="s">
        <v>695</v>
      </c>
      <c r="G1179" s="1">
        <v>18460</v>
      </c>
      <c r="H1179" s="2">
        <f t="shared" ca="1" si="344"/>
        <v>76</v>
      </c>
      <c r="I1179" s="2">
        <f t="shared" ca="1" si="345"/>
        <v>0.72857142857142854</v>
      </c>
      <c r="J1179" t="s">
        <v>36</v>
      </c>
      <c r="K1179" t="s">
        <v>37</v>
      </c>
      <c r="L1179">
        <f t="shared" si="346"/>
        <v>1</v>
      </c>
      <c r="M1179">
        <f t="shared" si="347"/>
        <v>0</v>
      </c>
      <c r="N1179">
        <f t="shared" si="348"/>
        <v>0</v>
      </c>
      <c r="O1179" t="s">
        <v>38</v>
      </c>
      <c r="P1179">
        <f t="shared" si="349"/>
        <v>1</v>
      </c>
      <c r="Q1179">
        <f t="shared" si="350"/>
        <v>0</v>
      </c>
      <c r="R1179">
        <f t="shared" si="351"/>
        <v>0</v>
      </c>
      <c r="S1179">
        <f t="shared" si="352"/>
        <v>0</v>
      </c>
      <c r="T1179">
        <f t="shared" si="353"/>
        <v>0</v>
      </c>
      <c r="U1179">
        <f t="shared" si="354"/>
        <v>0</v>
      </c>
      <c r="V1179">
        <f t="shared" si="355"/>
        <v>0</v>
      </c>
      <c r="W1179" t="s">
        <v>39</v>
      </c>
      <c r="X1179">
        <f t="shared" si="356"/>
        <v>1</v>
      </c>
      <c r="Y1179">
        <f t="shared" si="357"/>
        <v>0</v>
      </c>
      <c r="Z1179">
        <v>1</v>
      </c>
      <c r="AA1179">
        <f t="shared" si="358"/>
        <v>0</v>
      </c>
      <c r="AB1179" t="s">
        <v>46</v>
      </c>
      <c r="AC1179">
        <f t="shared" si="359"/>
        <v>1</v>
      </c>
      <c r="AD1179">
        <f t="shared" si="360"/>
        <v>0</v>
      </c>
      <c r="AE1179" t="s">
        <v>50</v>
      </c>
      <c r="AF1179">
        <f>IF(AE1179="website",1,0)</f>
        <v>0</v>
      </c>
    </row>
    <row r="1180" spans="1:32">
      <c r="A1180" t="s">
        <v>1827</v>
      </c>
      <c r="B1180" t="s">
        <v>33</v>
      </c>
      <c r="C1180" s="3">
        <f t="shared" si="342"/>
        <v>0</v>
      </c>
      <c r="D1180">
        <f t="shared" si="343"/>
        <v>1</v>
      </c>
      <c r="E1180" t="s">
        <v>776</v>
      </c>
      <c r="F1180" t="s">
        <v>366</v>
      </c>
      <c r="G1180" s="1">
        <v>33278</v>
      </c>
      <c r="H1180" s="2">
        <f t="shared" ca="1" si="344"/>
        <v>35</v>
      </c>
      <c r="I1180" s="2">
        <f t="shared" ca="1" si="345"/>
        <v>0.14285714285714285</v>
      </c>
      <c r="J1180" t="s">
        <v>36</v>
      </c>
      <c r="K1180" t="s">
        <v>37</v>
      </c>
      <c r="L1180">
        <f t="shared" si="346"/>
        <v>1</v>
      </c>
      <c r="M1180">
        <f t="shared" si="347"/>
        <v>0</v>
      </c>
      <c r="N1180">
        <f t="shared" si="348"/>
        <v>0</v>
      </c>
      <c r="O1180" t="s">
        <v>38</v>
      </c>
      <c r="P1180">
        <f t="shared" si="349"/>
        <v>1</v>
      </c>
      <c r="Q1180">
        <f t="shared" si="350"/>
        <v>0</v>
      </c>
      <c r="R1180">
        <f t="shared" si="351"/>
        <v>0</v>
      </c>
      <c r="S1180">
        <f t="shared" si="352"/>
        <v>0</v>
      </c>
      <c r="T1180">
        <f t="shared" si="353"/>
        <v>0</v>
      </c>
      <c r="U1180">
        <f t="shared" si="354"/>
        <v>0</v>
      </c>
      <c r="V1180">
        <f t="shared" si="355"/>
        <v>0</v>
      </c>
      <c r="W1180" t="s">
        <v>39</v>
      </c>
      <c r="X1180">
        <f t="shared" si="356"/>
        <v>1</v>
      </c>
      <c r="Y1180">
        <f t="shared" si="357"/>
        <v>0</v>
      </c>
      <c r="Z1180">
        <v>4</v>
      </c>
      <c r="AA1180">
        <f t="shared" si="358"/>
        <v>0.75</v>
      </c>
      <c r="AB1180" t="s">
        <v>46</v>
      </c>
      <c r="AC1180">
        <f t="shared" si="359"/>
        <v>1</v>
      </c>
      <c r="AD1180">
        <f t="shared" si="360"/>
        <v>0</v>
      </c>
      <c r="AE1180" t="s">
        <v>50</v>
      </c>
      <c r="AF1180">
        <f>IF(AE1180="website",1,0)</f>
        <v>0</v>
      </c>
    </row>
    <row r="1181" spans="1:32">
      <c r="A1181" t="s">
        <v>1828</v>
      </c>
      <c r="B1181" t="s">
        <v>33</v>
      </c>
      <c r="C1181" s="3">
        <f t="shared" si="342"/>
        <v>0</v>
      </c>
      <c r="D1181">
        <f t="shared" si="343"/>
        <v>1</v>
      </c>
      <c r="E1181" t="s">
        <v>679</v>
      </c>
      <c r="F1181" t="s">
        <v>364</v>
      </c>
      <c r="G1181" s="1">
        <v>34891</v>
      </c>
      <c r="H1181" s="2">
        <f t="shared" ca="1" si="344"/>
        <v>31</v>
      </c>
      <c r="I1181" s="2">
        <f t="shared" ca="1" si="345"/>
        <v>8.5714285714285715E-2</v>
      </c>
      <c r="J1181" t="s">
        <v>36</v>
      </c>
      <c r="K1181" t="s">
        <v>153</v>
      </c>
      <c r="L1181">
        <f t="shared" si="346"/>
        <v>0</v>
      </c>
      <c r="M1181">
        <f t="shared" si="347"/>
        <v>0</v>
      </c>
      <c r="N1181">
        <f t="shared" si="348"/>
        <v>0</v>
      </c>
      <c r="O1181" t="s">
        <v>154</v>
      </c>
      <c r="P1181">
        <f t="shared" si="349"/>
        <v>0</v>
      </c>
      <c r="Q1181">
        <f t="shared" si="350"/>
        <v>0</v>
      </c>
      <c r="R1181">
        <f t="shared" si="351"/>
        <v>0</v>
      </c>
      <c r="S1181">
        <f t="shared" si="352"/>
        <v>0</v>
      </c>
      <c r="T1181">
        <f t="shared" si="353"/>
        <v>0</v>
      </c>
      <c r="U1181">
        <f t="shared" si="354"/>
        <v>0</v>
      </c>
      <c r="V1181">
        <f t="shared" si="355"/>
        <v>0</v>
      </c>
      <c r="W1181" t="s">
        <v>39</v>
      </c>
      <c r="X1181">
        <f t="shared" si="356"/>
        <v>1</v>
      </c>
      <c r="Y1181">
        <f t="shared" si="357"/>
        <v>0</v>
      </c>
      <c r="Z1181">
        <v>2</v>
      </c>
      <c r="AA1181">
        <f t="shared" si="358"/>
        <v>0.25</v>
      </c>
      <c r="AB1181" t="s">
        <v>40</v>
      </c>
      <c r="AC1181">
        <f t="shared" si="359"/>
        <v>0</v>
      </c>
      <c r="AD1181">
        <f t="shared" si="360"/>
        <v>0</v>
      </c>
      <c r="AE1181" t="s">
        <v>41</v>
      </c>
      <c r="AF1181">
        <f>IF(AE1181="website",1,0)</f>
        <v>1</v>
      </c>
    </row>
    <row r="1182" spans="1:32">
      <c r="A1182" t="s">
        <v>1829</v>
      </c>
      <c r="B1182" t="s">
        <v>33</v>
      </c>
      <c r="C1182" s="3">
        <f t="shared" si="342"/>
        <v>0</v>
      </c>
      <c r="D1182">
        <f t="shared" si="343"/>
        <v>1</v>
      </c>
      <c r="E1182" t="s">
        <v>921</v>
      </c>
      <c r="F1182" t="s">
        <v>513</v>
      </c>
      <c r="G1182" s="1">
        <v>20537</v>
      </c>
      <c r="H1182" s="2">
        <f t="shared" ca="1" si="344"/>
        <v>70</v>
      </c>
      <c r="I1182" s="2">
        <f t="shared" ca="1" si="345"/>
        <v>0.6428571428571429</v>
      </c>
      <c r="J1182" t="s">
        <v>36</v>
      </c>
      <c r="K1182" t="s">
        <v>37</v>
      </c>
      <c r="L1182">
        <f t="shared" si="346"/>
        <v>1</v>
      </c>
      <c r="M1182">
        <f t="shared" si="347"/>
        <v>0</v>
      </c>
      <c r="N1182">
        <f t="shared" si="348"/>
        <v>0</v>
      </c>
      <c r="O1182" t="s">
        <v>124</v>
      </c>
      <c r="P1182">
        <f t="shared" si="349"/>
        <v>0</v>
      </c>
      <c r="Q1182">
        <f t="shared" si="350"/>
        <v>0</v>
      </c>
      <c r="R1182">
        <f t="shared" si="351"/>
        <v>0</v>
      </c>
      <c r="S1182">
        <f t="shared" si="352"/>
        <v>0</v>
      </c>
      <c r="T1182">
        <f t="shared" si="353"/>
        <v>0</v>
      </c>
      <c r="U1182">
        <f t="shared" si="354"/>
        <v>1</v>
      </c>
      <c r="V1182">
        <f t="shared" si="355"/>
        <v>0</v>
      </c>
      <c r="W1182" t="s">
        <v>58</v>
      </c>
      <c r="X1182">
        <f t="shared" si="356"/>
        <v>0</v>
      </c>
      <c r="Y1182">
        <f t="shared" si="357"/>
        <v>1</v>
      </c>
      <c r="Z1182">
        <v>5</v>
      </c>
      <c r="AA1182">
        <f t="shared" si="358"/>
        <v>1</v>
      </c>
      <c r="AB1182" t="s">
        <v>46</v>
      </c>
      <c r="AC1182">
        <f t="shared" si="359"/>
        <v>0</v>
      </c>
      <c r="AD1182">
        <f t="shared" si="360"/>
        <v>0</v>
      </c>
      <c r="AE1182" t="s">
        <v>41</v>
      </c>
      <c r="AF1182">
        <f>IF(AE1182="website",1,0)</f>
        <v>1</v>
      </c>
    </row>
    <row r="1183" spans="1:32">
      <c r="A1183" t="s">
        <v>1830</v>
      </c>
      <c r="B1183" t="s">
        <v>33</v>
      </c>
      <c r="C1183" s="3">
        <f t="shared" si="342"/>
        <v>0</v>
      </c>
      <c r="D1183">
        <f t="shared" si="343"/>
        <v>1</v>
      </c>
      <c r="E1183" t="s">
        <v>690</v>
      </c>
      <c r="F1183" t="s">
        <v>764</v>
      </c>
      <c r="G1183" s="1">
        <v>22351</v>
      </c>
      <c r="H1183" s="2">
        <f t="shared" ca="1" si="344"/>
        <v>65</v>
      </c>
      <c r="I1183" s="2">
        <f t="shared" ca="1" si="345"/>
        <v>0.5714285714285714</v>
      </c>
      <c r="J1183" t="s">
        <v>45</v>
      </c>
      <c r="K1183" t="s">
        <v>113</v>
      </c>
      <c r="L1183">
        <f t="shared" si="346"/>
        <v>0</v>
      </c>
      <c r="M1183">
        <f t="shared" si="347"/>
        <v>0</v>
      </c>
      <c r="N1183">
        <f t="shared" si="348"/>
        <v>1</v>
      </c>
      <c r="O1183" t="s">
        <v>1137</v>
      </c>
      <c r="P1183">
        <f t="shared" si="349"/>
        <v>0</v>
      </c>
      <c r="Q1183">
        <f t="shared" si="350"/>
        <v>0</v>
      </c>
      <c r="R1183">
        <f t="shared" si="351"/>
        <v>0</v>
      </c>
      <c r="S1183">
        <f t="shared" si="352"/>
        <v>0</v>
      </c>
      <c r="T1183">
        <f t="shared" si="353"/>
        <v>0</v>
      </c>
      <c r="U1183">
        <f t="shared" si="354"/>
        <v>0</v>
      </c>
      <c r="V1183">
        <f t="shared" si="355"/>
        <v>0</v>
      </c>
      <c r="W1183" t="s">
        <v>58</v>
      </c>
      <c r="X1183">
        <f t="shared" si="356"/>
        <v>0</v>
      </c>
      <c r="Y1183">
        <f t="shared" si="357"/>
        <v>1</v>
      </c>
      <c r="Z1183">
        <v>3</v>
      </c>
      <c r="AA1183">
        <f t="shared" si="358"/>
        <v>0.5</v>
      </c>
      <c r="AB1183" t="s">
        <v>40</v>
      </c>
      <c r="AC1183">
        <f t="shared" si="359"/>
        <v>0</v>
      </c>
      <c r="AD1183">
        <f t="shared" si="360"/>
        <v>0</v>
      </c>
      <c r="AE1183" t="s">
        <v>41</v>
      </c>
      <c r="AF1183">
        <f>IF(AE1183="website",1,0)</f>
        <v>1</v>
      </c>
    </row>
    <row r="1184" spans="1:32">
      <c r="A1184" t="s">
        <v>1831</v>
      </c>
      <c r="B1184" t="s">
        <v>33</v>
      </c>
      <c r="C1184" s="3">
        <f t="shared" si="342"/>
        <v>0</v>
      </c>
      <c r="D1184">
        <f t="shared" si="343"/>
        <v>1</v>
      </c>
      <c r="E1184" t="s">
        <v>744</v>
      </c>
      <c r="F1184" t="s">
        <v>709</v>
      </c>
      <c r="G1184" s="1">
        <v>34287</v>
      </c>
      <c r="H1184" s="2">
        <f t="shared" ca="1" si="344"/>
        <v>32</v>
      </c>
      <c r="I1184" s="2">
        <f t="shared" ca="1" si="345"/>
        <v>0.1</v>
      </c>
      <c r="J1184" t="s">
        <v>45</v>
      </c>
      <c r="K1184" t="s">
        <v>37</v>
      </c>
      <c r="L1184">
        <f t="shared" si="346"/>
        <v>1</v>
      </c>
      <c r="M1184">
        <f t="shared" si="347"/>
        <v>0</v>
      </c>
      <c r="N1184">
        <f t="shared" si="348"/>
        <v>0</v>
      </c>
      <c r="O1184" t="s">
        <v>97</v>
      </c>
      <c r="P1184">
        <f t="shared" si="349"/>
        <v>0</v>
      </c>
      <c r="Q1184">
        <f t="shared" si="350"/>
        <v>0</v>
      </c>
      <c r="R1184">
        <f t="shared" si="351"/>
        <v>0</v>
      </c>
      <c r="S1184">
        <f t="shared" si="352"/>
        <v>0</v>
      </c>
      <c r="T1184">
        <f t="shared" si="353"/>
        <v>1</v>
      </c>
      <c r="U1184">
        <f t="shared" si="354"/>
        <v>0</v>
      </c>
      <c r="V1184">
        <f t="shared" si="355"/>
        <v>0</v>
      </c>
      <c r="W1184" t="s">
        <v>58</v>
      </c>
      <c r="X1184">
        <f t="shared" si="356"/>
        <v>0</v>
      </c>
      <c r="Y1184">
        <f t="shared" si="357"/>
        <v>1</v>
      </c>
      <c r="Z1184">
        <v>1</v>
      </c>
      <c r="AA1184">
        <f t="shared" si="358"/>
        <v>0</v>
      </c>
      <c r="AB1184" t="s">
        <v>46</v>
      </c>
      <c r="AC1184">
        <f t="shared" si="359"/>
        <v>0</v>
      </c>
      <c r="AD1184">
        <f t="shared" si="360"/>
        <v>0</v>
      </c>
      <c r="AE1184" t="s">
        <v>41</v>
      </c>
      <c r="AF1184">
        <f>IF(AE1184="website",1,0)</f>
        <v>1</v>
      </c>
    </row>
    <row r="1185" spans="1:32">
      <c r="A1185" t="s">
        <v>1832</v>
      </c>
      <c r="B1185" t="s">
        <v>33</v>
      </c>
      <c r="C1185" s="3">
        <f t="shared" si="342"/>
        <v>0</v>
      </c>
      <c r="D1185">
        <f t="shared" si="343"/>
        <v>1</v>
      </c>
      <c r="E1185" t="s">
        <v>787</v>
      </c>
      <c r="F1185" t="s">
        <v>112</v>
      </c>
      <c r="G1185" s="1">
        <v>19463</v>
      </c>
      <c r="H1185" s="2">
        <f t="shared" ca="1" si="344"/>
        <v>73</v>
      </c>
      <c r="I1185" s="2">
        <f t="shared" ca="1" si="345"/>
        <v>0.68571428571428572</v>
      </c>
      <c r="J1185" t="s">
        <v>45</v>
      </c>
      <c r="K1185" t="s">
        <v>626</v>
      </c>
      <c r="L1185">
        <f t="shared" si="346"/>
        <v>0</v>
      </c>
      <c r="M1185">
        <f t="shared" si="347"/>
        <v>0</v>
      </c>
      <c r="N1185">
        <f t="shared" si="348"/>
        <v>0</v>
      </c>
      <c r="O1185" t="s">
        <v>627</v>
      </c>
      <c r="P1185">
        <f t="shared" si="349"/>
        <v>0</v>
      </c>
      <c r="Q1185">
        <f t="shared" si="350"/>
        <v>0</v>
      </c>
      <c r="R1185">
        <f t="shared" si="351"/>
        <v>0</v>
      </c>
      <c r="S1185">
        <f t="shared" si="352"/>
        <v>0</v>
      </c>
      <c r="T1185">
        <f t="shared" si="353"/>
        <v>0</v>
      </c>
      <c r="U1185">
        <f t="shared" si="354"/>
        <v>0</v>
      </c>
      <c r="V1185">
        <f t="shared" si="355"/>
        <v>0</v>
      </c>
      <c r="W1185" t="s">
        <v>39</v>
      </c>
      <c r="X1185">
        <f t="shared" si="356"/>
        <v>1</v>
      </c>
      <c r="Y1185">
        <f t="shared" si="357"/>
        <v>0</v>
      </c>
      <c r="Z1185">
        <v>2</v>
      </c>
      <c r="AA1185">
        <f t="shared" si="358"/>
        <v>0.25</v>
      </c>
      <c r="AB1185" t="s">
        <v>46</v>
      </c>
      <c r="AC1185">
        <f t="shared" si="359"/>
        <v>0</v>
      </c>
      <c r="AD1185">
        <f t="shared" si="360"/>
        <v>0</v>
      </c>
      <c r="AE1185" t="s">
        <v>41</v>
      </c>
      <c r="AF1185">
        <f>IF(AE1185="website",1,0)</f>
        <v>1</v>
      </c>
    </row>
    <row r="1186" spans="1:32">
      <c r="A1186" t="s">
        <v>1833</v>
      </c>
      <c r="B1186" t="s">
        <v>33</v>
      </c>
      <c r="C1186" s="3">
        <f t="shared" si="342"/>
        <v>0</v>
      </c>
      <c r="D1186">
        <f t="shared" si="343"/>
        <v>1</v>
      </c>
      <c r="E1186" t="s">
        <v>708</v>
      </c>
      <c r="F1186" t="s">
        <v>591</v>
      </c>
      <c r="G1186" s="1">
        <v>36704</v>
      </c>
      <c r="H1186" s="2">
        <f t="shared" ca="1" si="344"/>
        <v>26</v>
      </c>
      <c r="I1186" s="2">
        <f t="shared" ca="1" si="345"/>
        <v>1.4285714285714285E-2</v>
      </c>
      <c r="J1186" t="s">
        <v>45</v>
      </c>
      <c r="K1186" t="s">
        <v>37</v>
      </c>
      <c r="L1186">
        <f t="shared" si="346"/>
        <v>1</v>
      </c>
      <c r="M1186">
        <f t="shared" si="347"/>
        <v>0</v>
      </c>
      <c r="N1186">
        <f t="shared" si="348"/>
        <v>0</v>
      </c>
      <c r="O1186" t="s">
        <v>38</v>
      </c>
      <c r="P1186">
        <f t="shared" si="349"/>
        <v>1</v>
      </c>
      <c r="Q1186">
        <f t="shared" si="350"/>
        <v>0</v>
      </c>
      <c r="R1186">
        <f t="shared" si="351"/>
        <v>0</v>
      </c>
      <c r="S1186">
        <f t="shared" si="352"/>
        <v>0</v>
      </c>
      <c r="T1186">
        <f t="shared" si="353"/>
        <v>0</v>
      </c>
      <c r="U1186">
        <f t="shared" si="354"/>
        <v>0</v>
      </c>
      <c r="V1186">
        <f t="shared" si="355"/>
        <v>0</v>
      </c>
      <c r="W1186" t="s">
        <v>39</v>
      </c>
      <c r="X1186">
        <f t="shared" si="356"/>
        <v>1</v>
      </c>
      <c r="Y1186">
        <f t="shared" si="357"/>
        <v>0</v>
      </c>
      <c r="Z1186">
        <v>3</v>
      </c>
      <c r="AA1186">
        <f t="shared" si="358"/>
        <v>0.5</v>
      </c>
      <c r="AB1186" t="s">
        <v>46</v>
      </c>
      <c r="AC1186">
        <f t="shared" si="359"/>
        <v>0</v>
      </c>
      <c r="AD1186">
        <f t="shared" si="360"/>
        <v>0</v>
      </c>
      <c r="AE1186" t="s">
        <v>41</v>
      </c>
      <c r="AF1186">
        <f>IF(AE1186="website",1,0)</f>
        <v>1</v>
      </c>
    </row>
    <row r="1187" spans="1:32">
      <c r="A1187" t="s">
        <v>1834</v>
      </c>
      <c r="B1187" t="s">
        <v>33</v>
      </c>
      <c r="C1187" s="3">
        <f t="shared" si="342"/>
        <v>0</v>
      </c>
      <c r="D1187">
        <f t="shared" si="343"/>
        <v>1</v>
      </c>
      <c r="E1187" t="s">
        <v>1061</v>
      </c>
      <c r="F1187" t="s">
        <v>378</v>
      </c>
      <c r="G1187" s="1">
        <v>28668</v>
      </c>
      <c r="H1187" s="2">
        <f t="shared" ca="1" si="344"/>
        <v>48</v>
      </c>
      <c r="I1187" s="2">
        <f t="shared" ca="1" si="345"/>
        <v>0.32857142857142857</v>
      </c>
      <c r="J1187" t="s">
        <v>36</v>
      </c>
      <c r="K1187" t="s">
        <v>37</v>
      </c>
      <c r="L1187">
        <f t="shared" si="346"/>
        <v>1</v>
      </c>
      <c r="M1187">
        <f t="shared" si="347"/>
        <v>0</v>
      </c>
      <c r="N1187">
        <f t="shared" si="348"/>
        <v>0</v>
      </c>
      <c r="O1187" t="s">
        <v>124</v>
      </c>
      <c r="P1187">
        <f t="shared" si="349"/>
        <v>0</v>
      </c>
      <c r="Q1187">
        <f t="shared" si="350"/>
        <v>0</v>
      </c>
      <c r="R1187">
        <f t="shared" si="351"/>
        <v>0</v>
      </c>
      <c r="S1187">
        <f t="shared" si="352"/>
        <v>0</v>
      </c>
      <c r="T1187">
        <f t="shared" si="353"/>
        <v>0</v>
      </c>
      <c r="U1187">
        <f t="shared" si="354"/>
        <v>1</v>
      </c>
      <c r="V1187">
        <f t="shared" si="355"/>
        <v>0</v>
      </c>
      <c r="W1187" t="s">
        <v>39</v>
      </c>
      <c r="X1187">
        <f t="shared" si="356"/>
        <v>1</v>
      </c>
      <c r="Y1187">
        <f t="shared" si="357"/>
        <v>0</v>
      </c>
      <c r="Z1187">
        <v>3</v>
      </c>
      <c r="AA1187">
        <f t="shared" si="358"/>
        <v>0.5</v>
      </c>
      <c r="AB1187" t="s">
        <v>40</v>
      </c>
      <c r="AC1187">
        <f t="shared" si="359"/>
        <v>0</v>
      </c>
      <c r="AD1187">
        <f t="shared" si="360"/>
        <v>0</v>
      </c>
      <c r="AE1187" t="s">
        <v>41</v>
      </c>
      <c r="AF1187">
        <f>IF(AE1187="website",1,0)</f>
        <v>1</v>
      </c>
    </row>
    <row r="1188" spans="1:32">
      <c r="A1188" t="s">
        <v>1835</v>
      </c>
      <c r="B1188" t="s">
        <v>33</v>
      </c>
      <c r="C1188" s="3">
        <f t="shared" si="342"/>
        <v>0</v>
      </c>
      <c r="D1188">
        <f t="shared" si="343"/>
        <v>1</v>
      </c>
      <c r="E1188" t="s">
        <v>776</v>
      </c>
      <c r="F1188" t="s">
        <v>599</v>
      </c>
      <c r="G1188" s="1">
        <v>22723</v>
      </c>
      <c r="H1188" s="2">
        <f t="shared" ca="1" si="344"/>
        <v>64</v>
      </c>
      <c r="I1188" s="2">
        <f t="shared" ca="1" si="345"/>
        <v>0.55714285714285716</v>
      </c>
      <c r="J1188" t="s">
        <v>36</v>
      </c>
      <c r="K1188" t="s">
        <v>37</v>
      </c>
      <c r="L1188">
        <f t="shared" si="346"/>
        <v>1</v>
      </c>
      <c r="M1188">
        <f t="shared" si="347"/>
        <v>0</v>
      </c>
      <c r="N1188">
        <f t="shared" si="348"/>
        <v>0</v>
      </c>
      <c r="O1188" t="s">
        <v>124</v>
      </c>
      <c r="P1188">
        <f t="shared" si="349"/>
        <v>0</v>
      </c>
      <c r="Q1188">
        <f t="shared" si="350"/>
        <v>0</v>
      </c>
      <c r="R1188">
        <f t="shared" si="351"/>
        <v>0</v>
      </c>
      <c r="S1188">
        <f t="shared" si="352"/>
        <v>0</v>
      </c>
      <c r="T1188">
        <f t="shared" si="353"/>
        <v>0</v>
      </c>
      <c r="U1188">
        <f t="shared" si="354"/>
        <v>1</v>
      </c>
      <c r="V1188">
        <f t="shared" si="355"/>
        <v>0</v>
      </c>
      <c r="W1188" t="s">
        <v>39</v>
      </c>
      <c r="X1188">
        <f t="shared" si="356"/>
        <v>1</v>
      </c>
      <c r="Y1188">
        <f t="shared" si="357"/>
        <v>0</v>
      </c>
      <c r="Z1188">
        <v>4</v>
      </c>
      <c r="AA1188">
        <f t="shared" si="358"/>
        <v>0.75</v>
      </c>
      <c r="AB1188" t="s">
        <v>46</v>
      </c>
      <c r="AC1188">
        <f t="shared" si="359"/>
        <v>0</v>
      </c>
      <c r="AD1188">
        <f t="shared" si="360"/>
        <v>0</v>
      </c>
      <c r="AE1188" t="s">
        <v>41</v>
      </c>
      <c r="AF1188">
        <f>IF(AE1188="website",1,0)</f>
        <v>1</v>
      </c>
    </row>
    <row r="1189" spans="1:32">
      <c r="A1189" t="s">
        <v>1836</v>
      </c>
      <c r="B1189" t="s">
        <v>33</v>
      </c>
      <c r="C1189" s="3">
        <f t="shared" si="342"/>
        <v>0</v>
      </c>
      <c r="D1189">
        <f t="shared" si="343"/>
        <v>1</v>
      </c>
      <c r="E1189" t="s">
        <v>546</v>
      </c>
      <c r="F1189" t="s">
        <v>633</v>
      </c>
      <c r="G1189" s="1">
        <v>35004</v>
      </c>
      <c r="H1189" s="2">
        <f t="shared" ca="1" si="344"/>
        <v>30</v>
      </c>
      <c r="I1189" s="2">
        <f t="shared" ca="1" si="345"/>
        <v>7.1428571428571425E-2</v>
      </c>
      <c r="J1189" t="s">
        <v>45</v>
      </c>
      <c r="K1189" t="s">
        <v>65</v>
      </c>
      <c r="L1189">
        <f t="shared" si="346"/>
        <v>0</v>
      </c>
      <c r="M1189">
        <f t="shared" si="347"/>
        <v>1</v>
      </c>
      <c r="N1189">
        <f t="shared" si="348"/>
        <v>0</v>
      </c>
      <c r="O1189" t="s">
        <v>843</v>
      </c>
      <c r="P1189">
        <f t="shared" si="349"/>
        <v>0</v>
      </c>
      <c r="Q1189">
        <f t="shared" si="350"/>
        <v>0</v>
      </c>
      <c r="R1189">
        <f t="shared" si="351"/>
        <v>0</v>
      </c>
      <c r="S1189">
        <f t="shared" si="352"/>
        <v>0</v>
      </c>
      <c r="T1189">
        <f t="shared" si="353"/>
        <v>0</v>
      </c>
      <c r="U1189">
        <f t="shared" si="354"/>
        <v>0</v>
      </c>
      <c r="V1189">
        <f t="shared" si="355"/>
        <v>0</v>
      </c>
      <c r="W1189" t="s">
        <v>39</v>
      </c>
      <c r="X1189">
        <f t="shared" si="356"/>
        <v>1</v>
      </c>
      <c r="Y1189">
        <f t="shared" si="357"/>
        <v>0</v>
      </c>
      <c r="Z1189">
        <v>1</v>
      </c>
      <c r="AA1189">
        <f t="shared" si="358"/>
        <v>0</v>
      </c>
      <c r="AB1189" t="s">
        <v>46</v>
      </c>
      <c r="AC1189">
        <f t="shared" si="359"/>
        <v>0</v>
      </c>
      <c r="AD1189">
        <f t="shared" si="360"/>
        <v>1</v>
      </c>
      <c r="AE1189" t="s">
        <v>90</v>
      </c>
      <c r="AF1189">
        <f>IF(AE1189="website",1,0)</f>
        <v>0</v>
      </c>
    </row>
    <row r="1190" spans="1:32">
      <c r="A1190" t="s">
        <v>1837</v>
      </c>
      <c r="B1190" t="s">
        <v>33</v>
      </c>
      <c r="C1190" s="3">
        <f t="shared" si="342"/>
        <v>0</v>
      </c>
      <c r="D1190">
        <f t="shared" si="343"/>
        <v>1</v>
      </c>
      <c r="E1190" t="s">
        <v>598</v>
      </c>
      <c r="F1190" t="s">
        <v>576</v>
      </c>
      <c r="G1190" s="1">
        <v>23033</v>
      </c>
      <c r="H1190" s="2">
        <f t="shared" ca="1" si="344"/>
        <v>63</v>
      </c>
      <c r="I1190" s="2">
        <f t="shared" ca="1" si="345"/>
        <v>0.54285714285714282</v>
      </c>
      <c r="J1190" t="s">
        <v>45</v>
      </c>
      <c r="K1190" t="s">
        <v>37</v>
      </c>
      <c r="L1190">
        <f t="shared" si="346"/>
        <v>1</v>
      </c>
      <c r="M1190">
        <f t="shared" si="347"/>
        <v>0</v>
      </c>
      <c r="N1190">
        <f t="shared" si="348"/>
        <v>0</v>
      </c>
      <c r="O1190" t="s">
        <v>600</v>
      </c>
      <c r="P1190">
        <f t="shared" si="349"/>
        <v>0</v>
      </c>
      <c r="Q1190">
        <f t="shared" si="350"/>
        <v>0</v>
      </c>
      <c r="R1190">
        <f t="shared" si="351"/>
        <v>0</v>
      </c>
      <c r="S1190">
        <f t="shared" si="352"/>
        <v>0</v>
      </c>
      <c r="T1190">
        <f t="shared" si="353"/>
        <v>0</v>
      </c>
      <c r="U1190">
        <f t="shared" si="354"/>
        <v>0</v>
      </c>
      <c r="V1190">
        <f t="shared" si="355"/>
        <v>0</v>
      </c>
      <c r="W1190" t="s">
        <v>39</v>
      </c>
      <c r="X1190">
        <f t="shared" si="356"/>
        <v>1</v>
      </c>
      <c r="Y1190">
        <f t="shared" si="357"/>
        <v>0</v>
      </c>
      <c r="Z1190">
        <v>2</v>
      </c>
      <c r="AA1190">
        <f t="shared" si="358"/>
        <v>0.25</v>
      </c>
      <c r="AB1190" t="s">
        <v>40</v>
      </c>
      <c r="AC1190">
        <f t="shared" si="359"/>
        <v>0</v>
      </c>
      <c r="AD1190">
        <f t="shared" si="360"/>
        <v>1</v>
      </c>
      <c r="AE1190" t="s">
        <v>90</v>
      </c>
      <c r="AF1190">
        <f>IF(AE1190="website",1,0)</f>
        <v>0</v>
      </c>
    </row>
    <row r="1191" spans="1:32">
      <c r="A1191" t="s">
        <v>1838</v>
      </c>
      <c r="B1191" t="s">
        <v>33</v>
      </c>
      <c r="C1191" s="3">
        <f t="shared" si="342"/>
        <v>0</v>
      </c>
      <c r="D1191">
        <f t="shared" si="343"/>
        <v>1</v>
      </c>
      <c r="E1191" t="s">
        <v>1370</v>
      </c>
      <c r="F1191" t="s">
        <v>728</v>
      </c>
      <c r="G1191" s="1">
        <v>17018</v>
      </c>
      <c r="H1191" s="2">
        <f t="shared" ca="1" si="344"/>
        <v>80</v>
      </c>
      <c r="I1191" s="2">
        <f t="shared" ca="1" si="345"/>
        <v>0.7857142857142857</v>
      </c>
      <c r="J1191" t="s">
        <v>36</v>
      </c>
      <c r="K1191" t="s">
        <v>37</v>
      </c>
      <c r="L1191">
        <f t="shared" si="346"/>
        <v>1</v>
      </c>
      <c r="M1191">
        <f t="shared" si="347"/>
        <v>0</v>
      </c>
      <c r="N1191">
        <f t="shared" si="348"/>
        <v>0</v>
      </c>
      <c r="O1191" t="s">
        <v>592</v>
      </c>
      <c r="P1191">
        <f t="shared" si="349"/>
        <v>0</v>
      </c>
      <c r="Q1191">
        <f t="shared" si="350"/>
        <v>0</v>
      </c>
      <c r="R1191">
        <f t="shared" si="351"/>
        <v>0</v>
      </c>
      <c r="S1191">
        <f t="shared" si="352"/>
        <v>0</v>
      </c>
      <c r="T1191">
        <f t="shared" si="353"/>
        <v>0</v>
      </c>
      <c r="U1191">
        <f t="shared" si="354"/>
        <v>0</v>
      </c>
      <c r="V1191">
        <f t="shared" si="355"/>
        <v>0</v>
      </c>
      <c r="W1191" t="s">
        <v>39</v>
      </c>
      <c r="X1191">
        <f t="shared" si="356"/>
        <v>1</v>
      </c>
      <c r="Y1191">
        <f t="shared" si="357"/>
        <v>0</v>
      </c>
      <c r="Z1191">
        <v>4</v>
      </c>
      <c r="AA1191">
        <f t="shared" si="358"/>
        <v>0.75</v>
      </c>
      <c r="AB1191" t="s">
        <v>46</v>
      </c>
      <c r="AC1191">
        <f t="shared" si="359"/>
        <v>0</v>
      </c>
      <c r="AD1191">
        <f t="shared" si="360"/>
        <v>1</v>
      </c>
      <c r="AE1191" t="s">
        <v>90</v>
      </c>
      <c r="AF1191">
        <f>IF(AE1191="website",1,0)</f>
        <v>0</v>
      </c>
    </row>
    <row r="1192" spans="1:32">
      <c r="A1192" t="s">
        <v>1839</v>
      </c>
      <c r="B1192" t="s">
        <v>33</v>
      </c>
      <c r="C1192" s="3">
        <f t="shared" si="342"/>
        <v>0</v>
      </c>
      <c r="D1192">
        <f t="shared" si="343"/>
        <v>1</v>
      </c>
      <c r="E1192" t="s">
        <v>548</v>
      </c>
      <c r="F1192" t="s">
        <v>856</v>
      </c>
      <c r="G1192" s="1">
        <v>18370</v>
      </c>
      <c r="H1192" s="2">
        <f t="shared" ca="1" si="344"/>
        <v>76</v>
      </c>
      <c r="I1192" s="2">
        <f t="shared" ca="1" si="345"/>
        <v>0.72857142857142854</v>
      </c>
      <c r="J1192" t="s">
        <v>36</v>
      </c>
      <c r="K1192" t="s">
        <v>37</v>
      </c>
      <c r="L1192">
        <f t="shared" si="346"/>
        <v>1</v>
      </c>
      <c r="M1192">
        <f t="shared" si="347"/>
        <v>0</v>
      </c>
      <c r="N1192">
        <f t="shared" si="348"/>
        <v>0</v>
      </c>
      <c r="O1192" t="s">
        <v>38</v>
      </c>
      <c r="P1192">
        <f t="shared" si="349"/>
        <v>1</v>
      </c>
      <c r="Q1192">
        <f t="shared" si="350"/>
        <v>0</v>
      </c>
      <c r="R1192">
        <f t="shared" si="351"/>
        <v>0</v>
      </c>
      <c r="S1192">
        <f t="shared" si="352"/>
        <v>0</v>
      </c>
      <c r="T1192">
        <f t="shared" si="353"/>
        <v>0</v>
      </c>
      <c r="U1192">
        <f t="shared" si="354"/>
        <v>0</v>
      </c>
      <c r="V1192">
        <f t="shared" si="355"/>
        <v>0</v>
      </c>
      <c r="W1192" t="s">
        <v>58</v>
      </c>
      <c r="X1192">
        <f t="shared" si="356"/>
        <v>0</v>
      </c>
      <c r="Y1192">
        <f t="shared" si="357"/>
        <v>1</v>
      </c>
      <c r="Z1192">
        <v>3</v>
      </c>
      <c r="AA1192">
        <f t="shared" si="358"/>
        <v>0.5</v>
      </c>
      <c r="AB1192" t="s">
        <v>46</v>
      </c>
      <c r="AC1192">
        <f t="shared" si="359"/>
        <v>0</v>
      </c>
      <c r="AD1192">
        <f t="shared" si="360"/>
        <v>0</v>
      </c>
      <c r="AE1192" t="s">
        <v>41</v>
      </c>
      <c r="AF1192">
        <f>IF(AE1192="website",1,0)</f>
        <v>1</v>
      </c>
    </row>
    <row r="1193" spans="1:32">
      <c r="A1193" t="s">
        <v>1840</v>
      </c>
      <c r="B1193" t="s">
        <v>33</v>
      </c>
      <c r="C1193" s="3">
        <f t="shared" si="342"/>
        <v>0</v>
      </c>
      <c r="D1193">
        <f t="shared" si="343"/>
        <v>1</v>
      </c>
      <c r="E1193" t="s">
        <v>1070</v>
      </c>
      <c r="F1193" t="s">
        <v>562</v>
      </c>
      <c r="G1193" s="1">
        <v>36530</v>
      </c>
      <c r="H1193" s="2">
        <f t="shared" ca="1" si="344"/>
        <v>26</v>
      </c>
      <c r="I1193" s="2">
        <f t="shared" ca="1" si="345"/>
        <v>1.4285714285714285E-2</v>
      </c>
      <c r="J1193" t="s">
        <v>45</v>
      </c>
      <c r="K1193" t="s">
        <v>37</v>
      </c>
      <c r="L1193">
        <f t="shared" si="346"/>
        <v>1</v>
      </c>
      <c r="M1193">
        <f t="shared" si="347"/>
        <v>0</v>
      </c>
      <c r="N1193">
        <f t="shared" si="348"/>
        <v>0</v>
      </c>
      <c r="O1193" t="s">
        <v>600</v>
      </c>
      <c r="P1193">
        <f t="shared" si="349"/>
        <v>0</v>
      </c>
      <c r="Q1193">
        <f t="shared" si="350"/>
        <v>0</v>
      </c>
      <c r="R1193">
        <f t="shared" si="351"/>
        <v>0</v>
      </c>
      <c r="S1193">
        <f t="shared" si="352"/>
        <v>0</v>
      </c>
      <c r="T1193">
        <f t="shared" si="353"/>
        <v>0</v>
      </c>
      <c r="U1193">
        <f t="shared" si="354"/>
        <v>0</v>
      </c>
      <c r="V1193">
        <f t="shared" si="355"/>
        <v>0</v>
      </c>
      <c r="W1193" t="s">
        <v>39</v>
      </c>
      <c r="X1193">
        <f t="shared" si="356"/>
        <v>1</v>
      </c>
      <c r="Y1193">
        <f t="shared" si="357"/>
        <v>0</v>
      </c>
      <c r="Z1193">
        <v>5</v>
      </c>
      <c r="AA1193">
        <f t="shared" si="358"/>
        <v>1</v>
      </c>
      <c r="AB1193" t="s">
        <v>46</v>
      </c>
      <c r="AC1193">
        <f t="shared" si="359"/>
        <v>0</v>
      </c>
      <c r="AD1193">
        <f t="shared" si="360"/>
        <v>0</v>
      </c>
      <c r="AE1193" t="s">
        <v>41</v>
      </c>
      <c r="AF1193">
        <f>IF(AE1193="website",1,0)</f>
        <v>1</v>
      </c>
    </row>
    <row r="1194" spans="1:32">
      <c r="A1194" t="s">
        <v>1841</v>
      </c>
      <c r="B1194" t="s">
        <v>33</v>
      </c>
      <c r="C1194" s="3">
        <f t="shared" si="342"/>
        <v>0</v>
      </c>
      <c r="D1194">
        <f t="shared" si="343"/>
        <v>1</v>
      </c>
      <c r="E1194" t="s">
        <v>666</v>
      </c>
      <c r="F1194" t="s">
        <v>703</v>
      </c>
      <c r="G1194" s="1">
        <v>27504</v>
      </c>
      <c r="H1194" s="2">
        <f t="shared" ca="1" si="344"/>
        <v>51</v>
      </c>
      <c r="I1194" s="2">
        <f t="shared" ca="1" si="345"/>
        <v>0.37142857142857144</v>
      </c>
      <c r="J1194" t="s">
        <v>36</v>
      </c>
      <c r="K1194" t="s">
        <v>248</v>
      </c>
      <c r="L1194">
        <f t="shared" si="346"/>
        <v>0</v>
      </c>
      <c r="M1194">
        <f t="shared" si="347"/>
        <v>0</v>
      </c>
      <c r="N1194">
        <f t="shared" si="348"/>
        <v>0</v>
      </c>
      <c r="O1194" t="s">
        <v>582</v>
      </c>
      <c r="P1194">
        <f t="shared" si="349"/>
        <v>0</v>
      </c>
      <c r="Q1194">
        <f t="shared" si="350"/>
        <v>0</v>
      </c>
      <c r="R1194">
        <f t="shared" si="351"/>
        <v>0</v>
      </c>
      <c r="S1194">
        <f t="shared" si="352"/>
        <v>0</v>
      </c>
      <c r="T1194">
        <f t="shared" si="353"/>
        <v>0</v>
      </c>
      <c r="U1194">
        <f t="shared" si="354"/>
        <v>0</v>
      </c>
      <c r="V1194">
        <f t="shared" si="355"/>
        <v>0</v>
      </c>
      <c r="W1194" t="s">
        <v>39</v>
      </c>
      <c r="X1194">
        <f t="shared" si="356"/>
        <v>1</v>
      </c>
      <c r="Y1194">
        <f t="shared" si="357"/>
        <v>0</v>
      </c>
      <c r="Z1194">
        <v>1</v>
      </c>
      <c r="AA1194">
        <f t="shared" si="358"/>
        <v>0</v>
      </c>
      <c r="AB1194" t="s">
        <v>46</v>
      </c>
      <c r="AC1194">
        <f t="shared" si="359"/>
        <v>0</v>
      </c>
      <c r="AD1194">
        <f t="shared" si="360"/>
        <v>0</v>
      </c>
      <c r="AE1194" t="s">
        <v>41</v>
      </c>
      <c r="AF1194">
        <f>IF(AE1194="website",1,0)</f>
        <v>1</v>
      </c>
    </row>
    <row r="1195" spans="1:32">
      <c r="A1195" t="s">
        <v>1842</v>
      </c>
      <c r="B1195" t="s">
        <v>33</v>
      </c>
      <c r="C1195" s="3">
        <f t="shared" si="342"/>
        <v>0</v>
      </c>
      <c r="D1195">
        <f t="shared" si="343"/>
        <v>1</v>
      </c>
      <c r="E1195" t="s">
        <v>776</v>
      </c>
      <c r="F1195" t="s">
        <v>645</v>
      </c>
      <c r="G1195" s="1">
        <v>15874</v>
      </c>
      <c r="H1195" s="2">
        <f t="shared" ca="1" si="344"/>
        <v>83</v>
      </c>
      <c r="I1195" s="2">
        <f t="shared" ca="1" si="345"/>
        <v>0.82857142857142863</v>
      </c>
      <c r="J1195" t="s">
        <v>36</v>
      </c>
      <c r="K1195" t="s">
        <v>37</v>
      </c>
      <c r="L1195">
        <f t="shared" si="346"/>
        <v>1</v>
      </c>
      <c r="M1195">
        <f t="shared" si="347"/>
        <v>0</v>
      </c>
      <c r="N1195">
        <f t="shared" si="348"/>
        <v>0</v>
      </c>
      <c r="O1195" t="s">
        <v>137</v>
      </c>
      <c r="P1195">
        <f t="shared" si="349"/>
        <v>0</v>
      </c>
      <c r="Q1195">
        <f t="shared" si="350"/>
        <v>0</v>
      </c>
      <c r="R1195">
        <f t="shared" si="351"/>
        <v>0</v>
      </c>
      <c r="S1195">
        <f t="shared" si="352"/>
        <v>0</v>
      </c>
      <c r="T1195">
        <f t="shared" si="353"/>
        <v>0</v>
      </c>
      <c r="U1195">
        <f t="shared" si="354"/>
        <v>0</v>
      </c>
      <c r="V1195">
        <f t="shared" si="355"/>
        <v>0</v>
      </c>
      <c r="W1195" t="s">
        <v>39</v>
      </c>
      <c r="X1195">
        <f t="shared" si="356"/>
        <v>1</v>
      </c>
      <c r="Y1195">
        <f t="shared" si="357"/>
        <v>0</v>
      </c>
      <c r="Z1195">
        <v>1</v>
      </c>
      <c r="AA1195">
        <f t="shared" si="358"/>
        <v>0</v>
      </c>
      <c r="AB1195" t="s">
        <v>46</v>
      </c>
      <c r="AC1195">
        <f t="shared" si="359"/>
        <v>0</v>
      </c>
      <c r="AD1195">
        <f t="shared" si="360"/>
        <v>0</v>
      </c>
      <c r="AE1195" t="s">
        <v>41</v>
      </c>
      <c r="AF1195">
        <f>IF(AE1195="website",1,0)</f>
        <v>1</v>
      </c>
    </row>
    <row r="1196" spans="1:32">
      <c r="A1196" t="s">
        <v>1843</v>
      </c>
      <c r="B1196" t="s">
        <v>33</v>
      </c>
      <c r="C1196" s="3">
        <f t="shared" si="342"/>
        <v>0</v>
      </c>
      <c r="D1196">
        <f t="shared" si="343"/>
        <v>1</v>
      </c>
      <c r="E1196" t="s">
        <v>612</v>
      </c>
      <c r="F1196" t="s">
        <v>599</v>
      </c>
      <c r="G1196" s="1">
        <v>33031</v>
      </c>
      <c r="H1196" s="2">
        <f t="shared" ca="1" si="344"/>
        <v>36</v>
      </c>
      <c r="I1196" s="2">
        <f t="shared" ca="1" si="345"/>
        <v>0.15714285714285714</v>
      </c>
      <c r="J1196" t="s">
        <v>36</v>
      </c>
      <c r="K1196" t="s">
        <v>37</v>
      </c>
      <c r="L1196">
        <f t="shared" si="346"/>
        <v>1</v>
      </c>
      <c r="M1196">
        <f t="shared" si="347"/>
        <v>0</v>
      </c>
      <c r="N1196">
        <f t="shared" si="348"/>
        <v>0</v>
      </c>
      <c r="O1196" t="s">
        <v>38</v>
      </c>
      <c r="P1196">
        <f t="shared" si="349"/>
        <v>1</v>
      </c>
      <c r="Q1196">
        <f t="shared" si="350"/>
        <v>0</v>
      </c>
      <c r="R1196">
        <f t="shared" si="351"/>
        <v>0</v>
      </c>
      <c r="S1196">
        <f t="shared" si="352"/>
        <v>0</v>
      </c>
      <c r="T1196">
        <f t="shared" si="353"/>
        <v>0</v>
      </c>
      <c r="U1196">
        <f t="shared" si="354"/>
        <v>0</v>
      </c>
      <c r="V1196">
        <f t="shared" si="355"/>
        <v>0</v>
      </c>
      <c r="W1196" t="s">
        <v>39</v>
      </c>
      <c r="X1196">
        <f t="shared" si="356"/>
        <v>1</v>
      </c>
      <c r="Y1196">
        <f t="shared" si="357"/>
        <v>0</v>
      </c>
      <c r="Z1196">
        <v>4</v>
      </c>
      <c r="AA1196">
        <f t="shared" si="358"/>
        <v>0.75</v>
      </c>
      <c r="AB1196" t="s">
        <v>40</v>
      </c>
      <c r="AC1196">
        <f t="shared" si="359"/>
        <v>1</v>
      </c>
      <c r="AD1196">
        <f t="shared" si="360"/>
        <v>0</v>
      </c>
      <c r="AE1196" t="s">
        <v>50</v>
      </c>
      <c r="AF1196">
        <f>IF(AE1196="website",1,0)</f>
        <v>0</v>
      </c>
    </row>
    <row r="1197" spans="1:32">
      <c r="A1197" t="s">
        <v>1844</v>
      </c>
      <c r="B1197" t="s">
        <v>33</v>
      </c>
      <c r="C1197" s="3">
        <f t="shared" si="342"/>
        <v>0</v>
      </c>
      <c r="D1197">
        <f t="shared" si="343"/>
        <v>1</v>
      </c>
      <c r="E1197" t="s">
        <v>683</v>
      </c>
      <c r="F1197" t="s">
        <v>757</v>
      </c>
      <c r="G1197" s="1">
        <v>20335</v>
      </c>
      <c r="H1197" s="2">
        <f t="shared" ca="1" si="344"/>
        <v>71</v>
      </c>
      <c r="I1197" s="2">
        <f t="shared" ca="1" si="345"/>
        <v>0.65714285714285714</v>
      </c>
      <c r="J1197" t="s">
        <v>45</v>
      </c>
      <c r="K1197" t="s">
        <v>37</v>
      </c>
      <c r="L1197">
        <f t="shared" si="346"/>
        <v>1</v>
      </c>
      <c r="M1197">
        <f t="shared" si="347"/>
        <v>0</v>
      </c>
      <c r="N1197">
        <f t="shared" si="348"/>
        <v>0</v>
      </c>
      <c r="O1197" t="s">
        <v>124</v>
      </c>
      <c r="P1197">
        <f t="shared" si="349"/>
        <v>0</v>
      </c>
      <c r="Q1197">
        <f t="shared" si="350"/>
        <v>0</v>
      </c>
      <c r="R1197">
        <f t="shared" si="351"/>
        <v>0</v>
      </c>
      <c r="S1197">
        <f t="shared" si="352"/>
        <v>0</v>
      </c>
      <c r="T1197">
        <f t="shared" si="353"/>
        <v>0</v>
      </c>
      <c r="U1197">
        <f t="shared" si="354"/>
        <v>1</v>
      </c>
      <c r="V1197">
        <f t="shared" si="355"/>
        <v>0</v>
      </c>
      <c r="W1197" t="s">
        <v>39</v>
      </c>
      <c r="X1197">
        <f t="shared" si="356"/>
        <v>1</v>
      </c>
      <c r="Y1197">
        <f t="shared" si="357"/>
        <v>0</v>
      </c>
      <c r="Z1197">
        <v>2</v>
      </c>
      <c r="AA1197">
        <f t="shared" si="358"/>
        <v>0.25</v>
      </c>
      <c r="AB1197" t="s">
        <v>46</v>
      </c>
      <c r="AC1197">
        <f t="shared" si="359"/>
        <v>1</v>
      </c>
      <c r="AD1197">
        <f t="shared" si="360"/>
        <v>0</v>
      </c>
      <c r="AE1197" t="s">
        <v>50</v>
      </c>
      <c r="AF1197">
        <f>IF(AE1197="website",1,0)</f>
        <v>0</v>
      </c>
    </row>
    <row r="1198" spans="1:32">
      <c r="A1198" t="s">
        <v>1845</v>
      </c>
      <c r="B1198" t="s">
        <v>33</v>
      </c>
      <c r="C1198" s="3">
        <f t="shared" si="342"/>
        <v>0</v>
      </c>
      <c r="D1198">
        <f t="shared" si="343"/>
        <v>1</v>
      </c>
      <c r="E1198" t="s">
        <v>679</v>
      </c>
      <c r="F1198" t="s">
        <v>653</v>
      </c>
      <c r="G1198" s="1">
        <v>21650</v>
      </c>
      <c r="H1198" s="2">
        <f t="shared" ca="1" si="344"/>
        <v>67</v>
      </c>
      <c r="I1198" s="2">
        <f t="shared" ca="1" si="345"/>
        <v>0.6</v>
      </c>
      <c r="J1198" t="s">
        <v>36</v>
      </c>
      <c r="K1198" t="s">
        <v>37</v>
      </c>
      <c r="L1198">
        <f t="shared" si="346"/>
        <v>1</v>
      </c>
      <c r="M1198">
        <f t="shared" si="347"/>
        <v>0</v>
      </c>
      <c r="N1198">
        <f t="shared" si="348"/>
        <v>0</v>
      </c>
      <c r="O1198" t="s">
        <v>97</v>
      </c>
      <c r="P1198">
        <f t="shared" si="349"/>
        <v>0</v>
      </c>
      <c r="Q1198">
        <f t="shared" si="350"/>
        <v>0</v>
      </c>
      <c r="R1198">
        <f t="shared" si="351"/>
        <v>0</v>
      </c>
      <c r="S1198">
        <f t="shared" si="352"/>
        <v>0</v>
      </c>
      <c r="T1198">
        <f t="shared" si="353"/>
        <v>1</v>
      </c>
      <c r="U1198">
        <f t="shared" si="354"/>
        <v>0</v>
      </c>
      <c r="V1198">
        <f t="shared" si="355"/>
        <v>0</v>
      </c>
      <c r="W1198" t="s">
        <v>39</v>
      </c>
      <c r="X1198">
        <f t="shared" si="356"/>
        <v>1</v>
      </c>
      <c r="Y1198">
        <f t="shared" si="357"/>
        <v>0</v>
      </c>
      <c r="Z1198">
        <v>4</v>
      </c>
      <c r="AA1198">
        <f t="shared" si="358"/>
        <v>0.75</v>
      </c>
      <c r="AB1198" t="s">
        <v>46</v>
      </c>
      <c r="AC1198">
        <f t="shared" si="359"/>
        <v>0</v>
      </c>
      <c r="AD1198">
        <f t="shared" si="360"/>
        <v>0</v>
      </c>
      <c r="AE1198" t="s">
        <v>41</v>
      </c>
      <c r="AF1198">
        <f>IF(AE1198="website",1,0)</f>
        <v>1</v>
      </c>
    </row>
    <row r="1199" spans="1:32">
      <c r="A1199" t="s">
        <v>1846</v>
      </c>
      <c r="B1199" t="s">
        <v>33</v>
      </c>
      <c r="C1199" s="3">
        <f t="shared" si="342"/>
        <v>0</v>
      </c>
      <c r="D1199">
        <f t="shared" si="343"/>
        <v>1</v>
      </c>
      <c r="E1199" t="s">
        <v>845</v>
      </c>
      <c r="F1199" t="s">
        <v>796</v>
      </c>
      <c r="G1199" s="1">
        <v>21936</v>
      </c>
      <c r="H1199" s="2">
        <f t="shared" ca="1" si="344"/>
        <v>66</v>
      </c>
      <c r="I1199" s="2">
        <f t="shared" ca="1" si="345"/>
        <v>0.58571428571428574</v>
      </c>
      <c r="J1199" t="s">
        <v>36</v>
      </c>
      <c r="K1199" t="s">
        <v>37</v>
      </c>
      <c r="L1199">
        <f t="shared" si="346"/>
        <v>1</v>
      </c>
      <c r="M1199">
        <f t="shared" si="347"/>
        <v>0</v>
      </c>
      <c r="N1199">
        <f t="shared" si="348"/>
        <v>0</v>
      </c>
      <c r="O1199" t="s">
        <v>717</v>
      </c>
      <c r="P1199">
        <f t="shared" si="349"/>
        <v>0</v>
      </c>
      <c r="Q1199">
        <f t="shared" si="350"/>
        <v>0</v>
      </c>
      <c r="R1199">
        <f t="shared" si="351"/>
        <v>0</v>
      </c>
      <c r="S1199">
        <f t="shared" si="352"/>
        <v>0</v>
      </c>
      <c r="T1199">
        <f t="shared" si="353"/>
        <v>0</v>
      </c>
      <c r="U1199">
        <f t="shared" si="354"/>
        <v>0</v>
      </c>
      <c r="V1199">
        <f t="shared" si="355"/>
        <v>0</v>
      </c>
      <c r="W1199" t="s">
        <v>39</v>
      </c>
      <c r="X1199">
        <f t="shared" si="356"/>
        <v>1</v>
      </c>
      <c r="Y1199">
        <f t="shared" si="357"/>
        <v>0</v>
      </c>
      <c r="Z1199">
        <v>1</v>
      </c>
      <c r="AA1199">
        <f t="shared" si="358"/>
        <v>0</v>
      </c>
      <c r="AB1199" t="s">
        <v>46</v>
      </c>
      <c r="AC1199">
        <f t="shared" si="359"/>
        <v>1</v>
      </c>
      <c r="AD1199">
        <f t="shared" si="360"/>
        <v>0</v>
      </c>
      <c r="AE1199" t="s">
        <v>50</v>
      </c>
      <c r="AF1199">
        <f>IF(AE1199="website",1,0)</f>
        <v>0</v>
      </c>
    </row>
    <row r="1200" spans="1:32">
      <c r="A1200" t="s">
        <v>1847</v>
      </c>
      <c r="B1200" t="s">
        <v>33</v>
      </c>
      <c r="C1200" s="3">
        <f t="shared" si="342"/>
        <v>0</v>
      </c>
      <c r="D1200">
        <f t="shared" si="343"/>
        <v>1</v>
      </c>
      <c r="E1200" t="s">
        <v>750</v>
      </c>
      <c r="F1200" t="s">
        <v>623</v>
      </c>
      <c r="G1200" s="1">
        <v>15768</v>
      </c>
      <c r="H1200" s="2">
        <f t="shared" ca="1" si="344"/>
        <v>83</v>
      </c>
      <c r="I1200" s="2">
        <f t="shared" ca="1" si="345"/>
        <v>0.82857142857142863</v>
      </c>
      <c r="J1200" t="s">
        <v>45</v>
      </c>
      <c r="K1200" t="s">
        <v>37</v>
      </c>
      <c r="L1200">
        <f t="shared" si="346"/>
        <v>1</v>
      </c>
      <c r="M1200">
        <f t="shared" si="347"/>
        <v>0</v>
      </c>
      <c r="N1200">
        <f t="shared" si="348"/>
        <v>0</v>
      </c>
      <c r="O1200" t="s">
        <v>137</v>
      </c>
      <c r="P1200">
        <f t="shared" si="349"/>
        <v>0</v>
      </c>
      <c r="Q1200">
        <f t="shared" si="350"/>
        <v>0</v>
      </c>
      <c r="R1200">
        <f t="shared" si="351"/>
        <v>0</v>
      </c>
      <c r="S1200">
        <f t="shared" si="352"/>
        <v>0</v>
      </c>
      <c r="T1200">
        <f t="shared" si="353"/>
        <v>0</v>
      </c>
      <c r="U1200">
        <f t="shared" si="354"/>
        <v>0</v>
      </c>
      <c r="V1200">
        <f t="shared" si="355"/>
        <v>0</v>
      </c>
      <c r="W1200" t="s">
        <v>39</v>
      </c>
      <c r="X1200">
        <f t="shared" si="356"/>
        <v>1</v>
      </c>
      <c r="Y1200">
        <f t="shared" si="357"/>
        <v>0</v>
      </c>
      <c r="Z1200">
        <v>2</v>
      </c>
      <c r="AA1200">
        <f t="shared" si="358"/>
        <v>0.25</v>
      </c>
      <c r="AB1200" t="s">
        <v>46</v>
      </c>
      <c r="AC1200">
        <f t="shared" si="359"/>
        <v>0</v>
      </c>
      <c r="AD1200">
        <f t="shared" si="360"/>
        <v>0</v>
      </c>
      <c r="AE1200" t="s">
        <v>41</v>
      </c>
      <c r="AF1200">
        <f>IF(AE1200="website",1,0)</f>
        <v>1</v>
      </c>
    </row>
    <row r="1201" spans="1:32">
      <c r="A1201" t="s">
        <v>1848</v>
      </c>
      <c r="B1201" t="s">
        <v>33</v>
      </c>
      <c r="C1201" s="3">
        <f t="shared" si="342"/>
        <v>0</v>
      </c>
      <c r="D1201">
        <f t="shared" si="343"/>
        <v>1</v>
      </c>
      <c r="E1201" t="s">
        <v>226</v>
      </c>
      <c r="F1201" t="s">
        <v>117</v>
      </c>
      <c r="G1201" s="1">
        <v>25510</v>
      </c>
      <c r="H1201" s="2">
        <f t="shared" ca="1" si="344"/>
        <v>56</v>
      </c>
      <c r="I1201" s="2">
        <f t="shared" ca="1" si="345"/>
        <v>0.44285714285714284</v>
      </c>
      <c r="J1201" t="s">
        <v>45</v>
      </c>
      <c r="K1201" t="s">
        <v>37</v>
      </c>
      <c r="L1201">
        <f t="shared" si="346"/>
        <v>1</v>
      </c>
      <c r="M1201">
        <f t="shared" si="347"/>
        <v>0</v>
      </c>
      <c r="N1201">
        <f t="shared" si="348"/>
        <v>0</v>
      </c>
      <c r="O1201" t="s">
        <v>183</v>
      </c>
      <c r="P1201">
        <f t="shared" si="349"/>
        <v>0</v>
      </c>
      <c r="Q1201">
        <f t="shared" si="350"/>
        <v>0</v>
      </c>
      <c r="R1201">
        <f t="shared" si="351"/>
        <v>0</v>
      </c>
      <c r="S1201">
        <f t="shared" si="352"/>
        <v>0</v>
      </c>
      <c r="T1201">
        <f t="shared" si="353"/>
        <v>0</v>
      </c>
      <c r="U1201">
        <f t="shared" si="354"/>
        <v>0</v>
      </c>
      <c r="V1201">
        <f t="shared" si="355"/>
        <v>0</v>
      </c>
      <c r="W1201" t="s">
        <v>39</v>
      </c>
      <c r="X1201">
        <f t="shared" si="356"/>
        <v>1</v>
      </c>
      <c r="Y1201">
        <f t="shared" si="357"/>
        <v>0</v>
      </c>
      <c r="Z1201">
        <v>4</v>
      </c>
      <c r="AA1201">
        <f t="shared" si="358"/>
        <v>0.75</v>
      </c>
      <c r="AB1201" t="s">
        <v>46</v>
      </c>
      <c r="AC1201">
        <f t="shared" si="359"/>
        <v>1</v>
      </c>
      <c r="AD1201">
        <f t="shared" si="360"/>
        <v>0</v>
      </c>
      <c r="AE1201" t="s">
        <v>50</v>
      </c>
      <c r="AF1201">
        <f>IF(AE1201="website",1,0)</f>
        <v>0</v>
      </c>
    </row>
    <row r="1202" spans="1:32">
      <c r="A1202" t="s">
        <v>1849</v>
      </c>
      <c r="B1202" t="s">
        <v>33</v>
      </c>
      <c r="C1202" s="3">
        <f t="shared" si="342"/>
        <v>0</v>
      </c>
      <c r="D1202">
        <f t="shared" si="343"/>
        <v>1</v>
      </c>
      <c r="E1202" t="s">
        <v>997</v>
      </c>
      <c r="F1202" t="s">
        <v>372</v>
      </c>
      <c r="G1202" s="1">
        <v>36607</v>
      </c>
      <c r="H1202" s="2">
        <f t="shared" ca="1" si="344"/>
        <v>26</v>
      </c>
      <c r="I1202" s="2">
        <f t="shared" ca="1" si="345"/>
        <v>1.4285714285714285E-2</v>
      </c>
      <c r="J1202" t="s">
        <v>45</v>
      </c>
      <c r="K1202" t="s">
        <v>37</v>
      </c>
      <c r="L1202">
        <f t="shared" si="346"/>
        <v>1</v>
      </c>
      <c r="M1202">
        <f t="shared" si="347"/>
        <v>0</v>
      </c>
      <c r="N1202">
        <f t="shared" si="348"/>
        <v>0</v>
      </c>
      <c r="O1202" t="s">
        <v>76</v>
      </c>
      <c r="P1202">
        <f t="shared" si="349"/>
        <v>0</v>
      </c>
      <c r="Q1202">
        <f t="shared" si="350"/>
        <v>1</v>
      </c>
      <c r="R1202">
        <f t="shared" si="351"/>
        <v>0</v>
      </c>
      <c r="S1202">
        <f t="shared" si="352"/>
        <v>0</v>
      </c>
      <c r="T1202">
        <f t="shared" si="353"/>
        <v>0</v>
      </c>
      <c r="U1202">
        <f t="shared" si="354"/>
        <v>0</v>
      </c>
      <c r="V1202">
        <f t="shared" si="355"/>
        <v>0</v>
      </c>
      <c r="W1202" t="s">
        <v>58</v>
      </c>
      <c r="X1202">
        <f t="shared" si="356"/>
        <v>0</v>
      </c>
      <c r="Y1202">
        <f t="shared" si="357"/>
        <v>1</v>
      </c>
      <c r="Z1202">
        <v>1</v>
      </c>
      <c r="AA1202">
        <f t="shared" si="358"/>
        <v>0</v>
      </c>
      <c r="AB1202" t="s">
        <v>40</v>
      </c>
      <c r="AC1202">
        <f t="shared" si="359"/>
        <v>0</v>
      </c>
      <c r="AD1202">
        <f t="shared" si="360"/>
        <v>0</v>
      </c>
      <c r="AE1202" t="s">
        <v>41</v>
      </c>
      <c r="AF1202">
        <f>IF(AE1202="website",1,0)</f>
        <v>1</v>
      </c>
    </row>
    <row r="1203" spans="1:32">
      <c r="A1203" t="s">
        <v>1850</v>
      </c>
      <c r="B1203" t="s">
        <v>55</v>
      </c>
      <c r="C1203" s="3">
        <f t="shared" si="342"/>
        <v>1</v>
      </c>
      <c r="D1203">
        <f t="shared" si="343"/>
        <v>0</v>
      </c>
      <c r="E1203" t="s">
        <v>1013</v>
      </c>
      <c r="F1203" t="s">
        <v>57</v>
      </c>
      <c r="G1203" s="1">
        <v>31176</v>
      </c>
      <c r="H1203" s="2">
        <f t="shared" ca="1" si="344"/>
        <v>41</v>
      </c>
      <c r="I1203" s="2">
        <f t="shared" ca="1" si="345"/>
        <v>0.22857142857142856</v>
      </c>
      <c r="J1203" t="s">
        <v>45</v>
      </c>
      <c r="K1203" t="s">
        <v>65</v>
      </c>
      <c r="L1203">
        <f t="shared" si="346"/>
        <v>0</v>
      </c>
      <c r="M1203">
        <f t="shared" si="347"/>
        <v>1</v>
      </c>
      <c r="N1203">
        <f t="shared" si="348"/>
        <v>0</v>
      </c>
      <c r="O1203" t="s">
        <v>66</v>
      </c>
      <c r="P1203">
        <f t="shared" si="349"/>
        <v>0</v>
      </c>
      <c r="Q1203">
        <f t="shared" si="350"/>
        <v>0</v>
      </c>
      <c r="R1203">
        <f t="shared" si="351"/>
        <v>1</v>
      </c>
      <c r="S1203">
        <f t="shared" si="352"/>
        <v>0</v>
      </c>
      <c r="T1203">
        <f t="shared" si="353"/>
        <v>0</v>
      </c>
      <c r="U1203">
        <f t="shared" si="354"/>
        <v>0</v>
      </c>
      <c r="V1203">
        <f t="shared" si="355"/>
        <v>0</v>
      </c>
      <c r="W1203" t="s">
        <v>58</v>
      </c>
      <c r="X1203">
        <f t="shared" si="356"/>
        <v>0</v>
      </c>
      <c r="Y1203">
        <f t="shared" si="357"/>
        <v>1</v>
      </c>
      <c r="Z1203">
        <v>5</v>
      </c>
      <c r="AA1203">
        <f t="shared" si="358"/>
        <v>1</v>
      </c>
      <c r="AB1203" t="s">
        <v>40</v>
      </c>
      <c r="AC1203">
        <f t="shared" si="359"/>
        <v>0</v>
      </c>
      <c r="AD1203">
        <f t="shared" si="360"/>
        <v>0</v>
      </c>
      <c r="AE1203" t="s">
        <v>41</v>
      </c>
      <c r="AF1203">
        <f>IF(AE1203="website",1,0)</f>
        <v>1</v>
      </c>
    </row>
    <row r="1204" spans="1:32">
      <c r="A1204" t="s">
        <v>1851</v>
      </c>
      <c r="B1204" t="s">
        <v>33</v>
      </c>
      <c r="C1204" s="3">
        <f t="shared" si="342"/>
        <v>0</v>
      </c>
      <c r="D1204">
        <f t="shared" si="343"/>
        <v>1</v>
      </c>
      <c r="E1204" t="s">
        <v>587</v>
      </c>
      <c r="F1204" t="s">
        <v>554</v>
      </c>
      <c r="G1204" s="1">
        <v>22664</v>
      </c>
      <c r="H1204" s="2">
        <f t="shared" ca="1" si="344"/>
        <v>64</v>
      </c>
      <c r="I1204" s="2">
        <f t="shared" ca="1" si="345"/>
        <v>0.55714285714285716</v>
      </c>
      <c r="J1204" t="s">
        <v>36</v>
      </c>
      <c r="K1204" t="s">
        <v>37</v>
      </c>
      <c r="L1204">
        <f t="shared" si="346"/>
        <v>1</v>
      </c>
      <c r="M1204">
        <f t="shared" si="347"/>
        <v>0</v>
      </c>
      <c r="N1204">
        <f t="shared" si="348"/>
        <v>0</v>
      </c>
      <c r="O1204" t="s">
        <v>97</v>
      </c>
      <c r="P1204">
        <f t="shared" si="349"/>
        <v>0</v>
      </c>
      <c r="Q1204">
        <f t="shared" si="350"/>
        <v>0</v>
      </c>
      <c r="R1204">
        <f t="shared" si="351"/>
        <v>0</v>
      </c>
      <c r="S1204">
        <f t="shared" si="352"/>
        <v>0</v>
      </c>
      <c r="T1204">
        <f t="shared" si="353"/>
        <v>1</v>
      </c>
      <c r="U1204">
        <f t="shared" si="354"/>
        <v>0</v>
      </c>
      <c r="V1204">
        <f t="shared" si="355"/>
        <v>0</v>
      </c>
      <c r="W1204" t="s">
        <v>39</v>
      </c>
      <c r="X1204">
        <f t="shared" si="356"/>
        <v>1</v>
      </c>
      <c r="Y1204">
        <f t="shared" si="357"/>
        <v>0</v>
      </c>
      <c r="Z1204">
        <v>2</v>
      </c>
      <c r="AA1204">
        <f t="shared" si="358"/>
        <v>0.25</v>
      </c>
      <c r="AB1204" t="s">
        <v>40</v>
      </c>
      <c r="AC1204">
        <f t="shared" si="359"/>
        <v>0</v>
      </c>
      <c r="AD1204">
        <f t="shared" si="360"/>
        <v>0</v>
      </c>
      <c r="AE1204" t="s">
        <v>41</v>
      </c>
      <c r="AF1204">
        <f>IF(AE1204="website",1,0)</f>
        <v>1</v>
      </c>
    </row>
    <row r="1205" spans="1:32">
      <c r="A1205" t="s">
        <v>1852</v>
      </c>
      <c r="B1205" t="s">
        <v>33</v>
      </c>
      <c r="C1205" s="3">
        <f t="shared" si="342"/>
        <v>0</v>
      </c>
      <c r="D1205">
        <f t="shared" si="343"/>
        <v>1</v>
      </c>
      <c r="E1205" t="s">
        <v>683</v>
      </c>
      <c r="F1205" t="s">
        <v>885</v>
      </c>
      <c r="G1205" s="1">
        <v>33697</v>
      </c>
      <c r="H1205" s="2">
        <f t="shared" ca="1" si="344"/>
        <v>34</v>
      </c>
      <c r="I1205" s="2">
        <f t="shared" ca="1" si="345"/>
        <v>0.12857142857142856</v>
      </c>
      <c r="J1205" t="s">
        <v>45</v>
      </c>
      <c r="K1205" t="s">
        <v>158</v>
      </c>
      <c r="L1205">
        <f t="shared" si="346"/>
        <v>0</v>
      </c>
      <c r="M1205">
        <f t="shared" si="347"/>
        <v>0</v>
      </c>
      <c r="N1205">
        <f t="shared" si="348"/>
        <v>0</v>
      </c>
      <c r="O1205" t="s">
        <v>650</v>
      </c>
      <c r="P1205">
        <f t="shared" si="349"/>
        <v>0</v>
      </c>
      <c r="Q1205">
        <f t="shared" si="350"/>
        <v>0</v>
      </c>
      <c r="R1205">
        <f t="shared" si="351"/>
        <v>0</v>
      </c>
      <c r="S1205">
        <f t="shared" si="352"/>
        <v>0</v>
      </c>
      <c r="T1205">
        <f t="shared" si="353"/>
        <v>0</v>
      </c>
      <c r="U1205">
        <f t="shared" si="354"/>
        <v>0</v>
      </c>
      <c r="V1205">
        <f t="shared" si="355"/>
        <v>0</v>
      </c>
      <c r="W1205" t="s">
        <v>58</v>
      </c>
      <c r="X1205">
        <f t="shared" si="356"/>
        <v>0</v>
      </c>
      <c r="Y1205">
        <f t="shared" si="357"/>
        <v>1</v>
      </c>
      <c r="Z1205">
        <v>2</v>
      </c>
      <c r="AA1205">
        <f t="shared" si="358"/>
        <v>0.25</v>
      </c>
      <c r="AB1205" t="s">
        <v>40</v>
      </c>
      <c r="AC1205">
        <f t="shared" si="359"/>
        <v>0</v>
      </c>
      <c r="AD1205">
        <f t="shared" si="360"/>
        <v>0</v>
      </c>
      <c r="AE1205" t="s">
        <v>41</v>
      </c>
      <c r="AF1205">
        <f>IF(AE1205="website",1,0)</f>
        <v>1</v>
      </c>
    </row>
    <row r="1206" spans="1:32">
      <c r="A1206" t="s">
        <v>1853</v>
      </c>
      <c r="B1206" t="s">
        <v>33</v>
      </c>
      <c r="C1206" s="3">
        <f t="shared" si="342"/>
        <v>0</v>
      </c>
      <c r="D1206">
        <f t="shared" si="343"/>
        <v>1</v>
      </c>
      <c r="E1206" t="s">
        <v>152</v>
      </c>
      <c r="F1206" t="s">
        <v>599</v>
      </c>
      <c r="G1206" s="1">
        <v>21685</v>
      </c>
      <c r="H1206" s="2">
        <f t="shared" ca="1" si="344"/>
        <v>67</v>
      </c>
      <c r="I1206" s="2">
        <f t="shared" ca="1" si="345"/>
        <v>0.6</v>
      </c>
      <c r="J1206" t="s">
        <v>45</v>
      </c>
      <c r="K1206" t="s">
        <v>153</v>
      </c>
      <c r="L1206">
        <f t="shared" si="346"/>
        <v>0</v>
      </c>
      <c r="M1206">
        <f t="shared" si="347"/>
        <v>0</v>
      </c>
      <c r="N1206">
        <f t="shared" si="348"/>
        <v>0</v>
      </c>
      <c r="O1206" t="s">
        <v>778</v>
      </c>
      <c r="P1206">
        <f t="shared" si="349"/>
        <v>0</v>
      </c>
      <c r="Q1206">
        <f t="shared" si="350"/>
        <v>0</v>
      </c>
      <c r="R1206">
        <f t="shared" si="351"/>
        <v>0</v>
      </c>
      <c r="S1206">
        <f t="shared" si="352"/>
        <v>0</v>
      </c>
      <c r="T1206">
        <f t="shared" si="353"/>
        <v>0</v>
      </c>
      <c r="U1206">
        <f t="shared" si="354"/>
        <v>0</v>
      </c>
      <c r="V1206">
        <f t="shared" si="355"/>
        <v>0</v>
      </c>
      <c r="W1206" t="s">
        <v>39</v>
      </c>
      <c r="X1206">
        <f t="shared" si="356"/>
        <v>1</v>
      </c>
      <c r="Y1206">
        <f t="shared" si="357"/>
        <v>0</v>
      </c>
      <c r="Z1206">
        <v>4</v>
      </c>
      <c r="AA1206">
        <f t="shared" si="358"/>
        <v>0.75</v>
      </c>
      <c r="AB1206" t="s">
        <v>46</v>
      </c>
      <c r="AC1206">
        <f t="shared" si="359"/>
        <v>0</v>
      </c>
      <c r="AD1206">
        <f t="shared" si="360"/>
        <v>0</v>
      </c>
      <c r="AE1206" t="s">
        <v>41</v>
      </c>
      <c r="AF1206">
        <f>IF(AE1206="website",1,0)</f>
        <v>1</v>
      </c>
    </row>
    <row r="1207" spans="1:32">
      <c r="A1207" t="s">
        <v>1854</v>
      </c>
      <c r="B1207" t="s">
        <v>33</v>
      </c>
      <c r="C1207" s="3">
        <f t="shared" si="342"/>
        <v>0</v>
      </c>
      <c r="D1207">
        <f t="shared" si="343"/>
        <v>1</v>
      </c>
      <c r="E1207" t="s">
        <v>776</v>
      </c>
      <c r="F1207" t="s">
        <v>728</v>
      </c>
      <c r="G1207" s="1">
        <v>21163</v>
      </c>
      <c r="H1207" s="2">
        <f t="shared" ca="1" si="344"/>
        <v>68</v>
      </c>
      <c r="I1207" s="2">
        <f t="shared" ca="1" si="345"/>
        <v>0.61428571428571432</v>
      </c>
      <c r="J1207" t="s">
        <v>36</v>
      </c>
      <c r="K1207" t="s">
        <v>37</v>
      </c>
      <c r="L1207">
        <f t="shared" si="346"/>
        <v>1</v>
      </c>
      <c r="M1207">
        <f t="shared" si="347"/>
        <v>0</v>
      </c>
      <c r="N1207">
        <f t="shared" si="348"/>
        <v>0</v>
      </c>
      <c r="O1207" t="s">
        <v>38</v>
      </c>
      <c r="P1207">
        <f t="shared" si="349"/>
        <v>1</v>
      </c>
      <c r="Q1207">
        <f t="shared" si="350"/>
        <v>0</v>
      </c>
      <c r="R1207">
        <f t="shared" si="351"/>
        <v>0</v>
      </c>
      <c r="S1207">
        <f t="shared" si="352"/>
        <v>0</v>
      </c>
      <c r="T1207">
        <f t="shared" si="353"/>
        <v>0</v>
      </c>
      <c r="U1207">
        <f t="shared" si="354"/>
        <v>0</v>
      </c>
      <c r="V1207">
        <f t="shared" si="355"/>
        <v>0</v>
      </c>
      <c r="W1207" t="s">
        <v>58</v>
      </c>
      <c r="X1207">
        <f t="shared" si="356"/>
        <v>0</v>
      </c>
      <c r="Y1207">
        <f t="shared" si="357"/>
        <v>1</v>
      </c>
      <c r="Z1207">
        <v>5</v>
      </c>
      <c r="AA1207">
        <f t="shared" si="358"/>
        <v>1</v>
      </c>
      <c r="AB1207" t="s">
        <v>46</v>
      </c>
      <c r="AC1207">
        <f t="shared" si="359"/>
        <v>0</v>
      </c>
      <c r="AD1207">
        <f t="shared" si="360"/>
        <v>0</v>
      </c>
      <c r="AE1207" t="s">
        <v>41</v>
      </c>
      <c r="AF1207">
        <f>IF(AE1207="website",1,0)</f>
        <v>1</v>
      </c>
    </row>
    <row r="1208" spans="1:32">
      <c r="A1208" t="s">
        <v>1855</v>
      </c>
      <c r="B1208" t="s">
        <v>33</v>
      </c>
      <c r="C1208" s="3">
        <f t="shared" si="342"/>
        <v>0</v>
      </c>
      <c r="D1208">
        <f t="shared" si="343"/>
        <v>1</v>
      </c>
      <c r="E1208" t="s">
        <v>639</v>
      </c>
      <c r="F1208" t="s">
        <v>664</v>
      </c>
      <c r="G1208" s="1">
        <v>26961</v>
      </c>
      <c r="H1208" s="2">
        <f t="shared" ca="1" si="344"/>
        <v>52</v>
      </c>
      <c r="I1208" s="2">
        <f t="shared" ca="1" si="345"/>
        <v>0.38571428571428573</v>
      </c>
      <c r="J1208" t="s">
        <v>36</v>
      </c>
      <c r="K1208" t="s">
        <v>37</v>
      </c>
      <c r="L1208">
        <f t="shared" si="346"/>
        <v>1</v>
      </c>
      <c r="M1208">
        <f t="shared" si="347"/>
        <v>0</v>
      </c>
      <c r="N1208">
        <f t="shared" si="348"/>
        <v>0</v>
      </c>
      <c r="O1208" t="s">
        <v>592</v>
      </c>
      <c r="P1208">
        <f t="shared" si="349"/>
        <v>0</v>
      </c>
      <c r="Q1208">
        <f t="shared" si="350"/>
        <v>0</v>
      </c>
      <c r="R1208">
        <f t="shared" si="351"/>
        <v>0</v>
      </c>
      <c r="S1208">
        <f t="shared" si="352"/>
        <v>0</v>
      </c>
      <c r="T1208">
        <f t="shared" si="353"/>
        <v>0</v>
      </c>
      <c r="U1208">
        <f t="shared" si="354"/>
        <v>0</v>
      </c>
      <c r="V1208">
        <f t="shared" si="355"/>
        <v>0</v>
      </c>
      <c r="W1208" t="s">
        <v>39</v>
      </c>
      <c r="X1208">
        <f t="shared" si="356"/>
        <v>1</v>
      </c>
      <c r="Y1208">
        <f t="shared" si="357"/>
        <v>0</v>
      </c>
      <c r="Z1208">
        <v>5</v>
      </c>
      <c r="AA1208">
        <f t="shared" si="358"/>
        <v>1</v>
      </c>
      <c r="AB1208" t="s">
        <v>40</v>
      </c>
      <c r="AC1208">
        <f t="shared" si="359"/>
        <v>1</v>
      </c>
      <c r="AD1208">
        <f t="shared" si="360"/>
        <v>0</v>
      </c>
      <c r="AE1208" t="s">
        <v>50</v>
      </c>
      <c r="AF1208">
        <f>IF(AE1208="website",1,0)</f>
        <v>0</v>
      </c>
    </row>
    <row r="1209" spans="1:32">
      <c r="A1209" t="s">
        <v>1856</v>
      </c>
      <c r="B1209" t="s">
        <v>33</v>
      </c>
      <c r="C1209" s="3">
        <f t="shared" si="342"/>
        <v>0</v>
      </c>
      <c r="D1209">
        <f t="shared" si="343"/>
        <v>1</v>
      </c>
      <c r="E1209" t="s">
        <v>815</v>
      </c>
      <c r="F1209" t="s">
        <v>887</v>
      </c>
      <c r="G1209" s="1">
        <v>28456</v>
      </c>
      <c r="H1209" s="2">
        <f t="shared" ca="1" si="344"/>
        <v>48</v>
      </c>
      <c r="I1209" s="2">
        <f t="shared" ca="1" si="345"/>
        <v>0.32857142857142857</v>
      </c>
      <c r="J1209" t="s">
        <v>45</v>
      </c>
      <c r="K1209" t="s">
        <v>37</v>
      </c>
      <c r="L1209">
        <f t="shared" si="346"/>
        <v>1</v>
      </c>
      <c r="M1209">
        <f t="shared" si="347"/>
        <v>0</v>
      </c>
      <c r="N1209">
        <f t="shared" si="348"/>
        <v>0</v>
      </c>
      <c r="O1209" t="s">
        <v>137</v>
      </c>
      <c r="P1209">
        <f t="shared" si="349"/>
        <v>0</v>
      </c>
      <c r="Q1209">
        <f t="shared" si="350"/>
        <v>0</v>
      </c>
      <c r="R1209">
        <f t="shared" si="351"/>
        <v>0</v>
      </c>
      <c r="S1209">
        <f t="shared" si="352"/>
        <v>0</v>
      </c>
      <c r="T1209">
        <f t="shared" si="353"/>
        <v>0</v>
      </c>
      <c r="U1209">
        <f t="shared" si="354"/>
        <v>0</v>
      </c>
      <c r="V1209">
        <f t="shared" si="355"/>
        <v>0</v>
      </c>
      <c r="W1209" t="s">
        <v>39</v>
      </c>
      <c r="X1209">
        <f t="shared" si="356"/>
        <v>1</v>
      </c>
      <c r="Y1209">
        <f t="shared" si="357"/>
        <v>0</v>
      </c>
      <c r="Z1209">
        <v>1</v>
      </c>
      <c r="AA1209">
        <f t="shared" si="358"/>
        <v>0</v>
      </c>
      <c r="AB1209" t="s">
        <v>46</v>
      </c>
      <c r="AC1209">
        <f t="shared" si="359"/>
        <v>0</v>
      </c>
      <c r="AD1209">
        <f t="shared" si="360"/>
        <v>0</v>
      </c>
      <c r="AE1209" t="s">
        <v>41</v>
      </c>
      <c r="AF1209">
        <f>IF(AE1209="website",1,0)</f>
        <v>1</v>
      </c>
    </row>
    <row r="1210" spans="1:32">
      <c r="A1210" t="s">
        <v>1857</v>
      </c>
      <c r="B1210" t="s">
        <v>33</v>
      </c>
      <c r="C1210" s="3">
        <f t="shared" si="342"/>
        <v>0</v>
      </c>
      <c r="D1210">
        <f t="shared" si="343"/>
        <v>1</v>
      </c>
      <c r="E1210" t="s">
        <v>1664</v>
      </c>
      <c r="F1210" t="s">
        <v>607</v>
      </c>
      <c r="G1210" s="1">
        <v>28672</v>
      </c>
      <c r="H1210" s="2">
        <f t="shared" ca="1" si="344"/>
        <v>48</v>
      </c>
      <c r="I1210" s="2">
        <f t="shared" ca="1" si="345"/>
        <v>0.32857142857142857</v>
      </c>
      <c r="J1210" t="s">
        <v>36</v>
      </c>
      <c r="K1210" t="s">
        <v>37</v>
      </c>
      <c r="L1210">
        <f t="shared" si="346"/>
        <v>1</v>
      </c>
      <c r="M1210">
        <f t="shared" si="347"/>
        <v>0</v>
      </c>
      <c r="N1210">
        <f t="shared" si="348"/>
        <v>0</v>
      </c>
      <c r="O1210" t="s">
        <v>38</v>
      </c>
      <c r="P1210">
        <f t="shared" si="349"/>
        <v>1</v>
      </c>
      <c r="Q1210">
        <f t="shared" si="350"/>
        <v>0</v>
      </c>
      <c r="R1210">
        <f t="shared" si="351"/>
        <v>0</v>
      </c>
      <c r="S1210">
        <f t="shared" si="352"/>
        <v>0</v>
      </c>
      <c r="T1210">
        <f t="shared" si="353"/>
        <v>0</v>
      </c>
      <c r="U1210">
        <f t="shared" si="354"/>
        <v>0</v>
      </c>
      <c r="V1210">
        <f t="shared" si="355"/>
        <v>0</v>
      </c>
      <c r="W1210" t="s">
        <v>39</v>
      </c>
      <c r="X1210">
        <f t="shared" si="356"/>
        <v>1</v>
      </c>
      <c r="Y1210">
        <f t="shared" si="357"/>
        <v>0</v>
      </c>
      <c r="Z1210">
        <v>4</v>
      </c>
      <c r="AA1210">
        <f t="shared" si="358"/>
        <v>0.75</v>
      </c>
      <c r="AB1210" t="s">
        <v>40</v>
      </c>
      <c r="AC1210">
        <f t="shared" si="359"/>
        <v>0</v>
      </c>
      <c r="AD1210">
        <f t="shared" si="360"/>
        <v>0</v>
      </c>
      <c r="AE1210" t="s">
        <v>41</v>
      </c>
      <c r="AF1210">
        <f>IF(AE1210="website",1,0)</f>
        <v>1</v>
      </c>
    </row>
    <row r="1211" spans="1:32">
      <c r="A1211" t="s">
        <v>1858</v>
      </c>
      <c r="B1211" t="s">
        <v>33</v>
      </c>
      <c r="C1211" s="3">
        <f t="shared" si="342"/>
        <v>0</v>
      </c>
      <c r="D1211">
        <f t="shared" si="343"/>
        <v>1</v>
      </c>
      <c r="E1211" t="s">
        <v>1105</v>
      </c>
      <c r="F1211" t="s">
        <v>856</v>
      </c>
      <c r="G1211" s="1">
        <v>33393</v>
      </c>
      <c r="H1211" s="2">
        <f t="shared" ca="1" si="344"/>
        <v>35</v>
      </c>
      <c r="I1211" s="2">
        <f t="shared" ca="1" si="345"/>
        <v>0.14285714285714285</v>
      </c>
      <c r="J1211" t="s">
        <v>45</v>
      </c>
      <c r="K1211" t="s">
        <v>37</v>
      </c>
      <c r="L1211">
        <f t="shared" si="346"/>
        <v>1</v>
      </c>
      <c r="M1211">
        <f t="shared" si="347"/>
        <v>0</v>
      </c>
      <c r="N1211">
        <f t="shared" si="348"/>
        <v>0</v>
      </c>
      <c r="O1211" t="s">
        <v>38</v>
      </c>
      <c r="P1211">
        <f t="shared" si="349"/>
        <v>1</v>
      </c>
      <c r="Q1211">
        <f t="shared" si="350"/>
        <v>0</v>
      </c>
      <c r="R1211">
        <f t="shared" si="351"/>
        <v>0</v>
      </c>
      <c r="S1211">
        <f t="shared" si="352"/>
        <v>0</v>
      </c>
      <c r="T1211">
        <f t="shared" si="353"/>
        <v>0</v>
      </c>
      <c r="U1211">
        <f t="shared" si="354"/>
        <v>0</v>
      </c>
      <c r="V1211">
        <f t="shared" si="355"/>
        <v>0</v>
      </c>
      <c r="W1211" t="s">
        <v>58</v>
      </c>
      <c r="X1211">
        <f t="shared" si="356"/>
        <v>0</v>
      </c>
      <c r="Y1211">
        <f t="shared" si="357"/>
        <v>1</v>
      </c>
      <c r="Z1211">
        <v>1</v>
      </c>
      <c r="AA1211">
        <f t="shared" si="358"/>
        <v>0</v>
      </c>
      <c r="AB1211" t="s">
        <v>46</v>
      </c>
      <c r="AC1211">
        <f t="shared" si="359"/>
        <v>0</v>
      </c>
      <c r="AD1211">
        <f t="shared" si="360"/>
        <v>0</v>
      </c>
      <c r="AE1211" t="s">
        <v>41</v>
      </c>
      <c r="AF1211">
        <f>IF(AE1211="website",1,0)</f>
        <v>1</v>
      </c>
    </row>
    <row r="1212" spans="1:32">
      <c r="A1212" t="s">
        <v>1859</v>
      </c>
      <c r="B1212" t="s">
        <v>33</v>
      </c>
      <c r="C1212" s="3">
        <f t="shared" si="342"/>
        <v>0</v>
      </c>
      <c r="D1212">
        <f t="shared" si="343"/>
        <v>1</v>
      </c>
      <c r="E1212" t="s">
        <v>1256</v>
      </c>
      <c r="F1212" t="s">
        <v>703</v>
      </c>
      <c r="G1212" s="1">
        <v>35256</v>
      </c>
      <c r="H1212" s="2">
        <f t="shared" ca="1" si="344"/>
        <v>30</v>
      </c>
      <c r="I1212" s="2">
        <f t="shared" ca="1" si="345"/>
        <v>7.1428571428571425E-2</v>
      </c>
      <c r="J1212" t="s">
        <v>36</v>
      </c>
      <c r="K1212" t="s">
        <v>65</v>
      </c>
      <c r="L1212">
        <f t="shared" si="346"/>
        <v>0</v>
      </c>
      <c r="M1212">
        <f t="shared" si="347"/>
        <v>1</v>
      </c>
      <c r="N1212">
        <f t="shared" si="348"/>
        <v>0</v>
      </c>
      <c r="O1212" t="s">
        <v>642</v>
      </c>
      <c r="P1212">
        <f t="shared" si="349"/>
        <v>0</v>
      </c>
      <c r="Q1212">
        <f t="shared" si="350"/>
        <v>0</v>
      </c>
      <c r="R1212">
        <f t="shared" si="351"/>
        <v>0</v>
      </c>
      <c r="S1212">
        <f t="shared" si="352"/>
        <v>0</v>
      </c>
      <c r="T1212">
        <f t="shared" si="353"/>
        <v>0</v>
      </c>
      <c r="U1212">
        <f t="shared" si="354"/>
        <v>0</v>
      </c>
      <c r="V1212">
        <f t="shared" si="355"/>
        <v>0</v>
      </c>
      <c r="W1212" t="s">
        <v>39</v>
      </c>
      <c r="X1212">
        <f t="shared" si="356"/>
        <v>1</v>
      </c>
      <c r="Y1212">
        <f t="shared" si="357"/>
        <v>0</v>
      </c>
      <c r="Z1212">
        <v>5</v>
      </c>
      <c r="AA1212">
        <f t="shared" si="358"/>
        <v>1</v>
      </c>
      <c r="AB1212" t="s">
        <v>40</v>
      </c>
      <c r="AC1212">
        <f t="shared" si="359"/>
        <v>0</v>
      </c>
      <c r="AD1212">
        <f t="shared" si="360"/>
        <v>0</v>
      </c>
      <c r="AE1212" t="s">
        <v>41</v>
      </c>
      <c r="AF1212">
        <f>IF(AE1212="website",1,0)</f>
        <v>1</v>
      </c>
    </row>
    <row r="1213" spans="1:32">
      <c r="A1213" t="s">
        <v>1860</v>
      </c>
      <c r="B1213" t="s">
        <v>33</v>
      </c>
      <c r="C1213" s="3">
        <f t="shared" si="342"/>
        <v>0</v>
      </c>
      <c r="D1213">
        <f t="shared" si="343"/>
        <v>1</v>
      </c>
      <c r="E1213" t="s">
        <v>590</v>
      </c>
      <c r="F1213" t="s">
        <v>656</v>
      </c>
      <c r="G1213" s="1">
        <v>21012</v>
      </c>
      <c r="H1213" s="2">
        <f t="shared" ca="1" si="344"/>
        <v>69</v>
      </c>
      <c r="I1213" s="2">
        <f t="shared" ca="1" si="345"/>
        <v>0.62857142857142856</v>
      </c>
      <c r="J1213" t="s">
        <v>45</v>
      </c>
      <c r="K1213" t="s">
        <v>37</v>
      </c>
      <c r="L1213">
        <f t="shared" si="346"/>
        <v>1</v>
      </c>
      <c r="M1213">
        <f t="shared" si="347"/>
        <v>0</v>
      </c>
      <c r="N1213">
        <f t="shared" si="348"/>
        <v>0</v>
      </c>
      <c r="O1213" t="s">
        <v>38</v>
      </c>
      <c r="P1213">
        <f t="shared" si="349"/>
        <v>1</v>
      </c>
      <c r="Q1213">
        <f t="shared" si="350"/>
        <v>0</v>
      </c>
      <c r="R1213">
        <f t="shared" si="351"/>
        <v>0</v>
      </c>
      <c r="S1213">
        <f t="shared" si="352"/>
        <v>0</v>
      </c>
      <c r="T1213">
        <f t="shared" si="353"/>
        <v>0</v>
      </c>
      <c r="U1213">
        <f t="shared" si="354"/>
        <v>0</v>
      </c>
      <c r="V1213">
        <f t="shared" si="355"/>
        <v>0</v>
      </c>
      <c r="W1213" t="s">
        <v>39</v>
      </c>
      <c r="X1213">
        <f t="shared" si="356"/>
        <v>1</v>
      </c>
      <c r="Y1213">
        <f t="shared" si="357"/>
        <v>0</v>
      </c>
      <c r="Z1213">
        <v>1</v>
      </c>
      <c r="AA1213">
        <f t="shared" si="358"/>
        <v>0</v>
      </c>
      <c r="AB1213" t="s">
        <v>46</v>
      </c>
      <c r="AC1213">
        <f t="shared" si="359"/>
        <v>1</v>
      </c>
      <c r="AD1213">
        <f t="shared" si="360"/>
        <v>0</v>
      </c>
      <c r="AE1213" t="s">
        <v>50</v>
      </c>
      <c r="AF1213">
        <f>IF(AE1213="website",1,0)</f>
        <v>0</v>
      </c>
    </row>
    <row r="1214" spans="1:32">
      <c r="A1214" t="s">
        <v>1861</v>
      </c>
      <c r="B1214" t="s">
        <v>33</v>
      </c>
      <c r="C1214" s="3">
        <f t="shared" si="342"/>
        <v>0</v>
      </c>
      <c r="D1214">
        <f t="shared" si="343"/>
        <v>1</v>
      </c>
      <c r="E1214" t="s">
        <v>829</v>
      </c>
      <c r="F1214" t="s">
        <v>610</v>
      </c>
      <c r="G1214" s="1">
        <v>34187</v>
      </c>
      <c r="H1214" s="2">
        <f t="shared" ca="1" si="344"/>
        <v>33</v>
      </c>
      <c r="I1214" s="2">
        <f t="shared" ca="1" si="345"/>
        <v>0.11428571428571428</v>
      </c>
      <c r="J1214" t="s">
        <v>36</v>
      </c>
      <c r="K1214" t="s">
        <v>65</v>
      </c>
      <c r="L1214">
        <f t="shared" si="346"/>
        <v>0</v>
      </c>
      <c r="M1214">
        <f t="shared" si="347"/>
        <v>1</v>
      </c>
      <c r="N1214">
        <f t="shared" si="348"/>
        <v>0</v>
      </c>
      <c r="O1214" t="s">
        <v>723</v>
      </c>
      <c r="P1214">
        <f t="shared" si="349"/>
        <v>0</v>
      </c>
      <c r="Q1214">
        <f t="shared" si="350"/>
        <v>0</v>
      </c>
      <c r="R1214">
        <f t="shared" si="351"/>
        <v>0</v>
      </c>
      <c r="S1214">
        <f t="shared" si="352"/>
        <v>0</v>
      </c>
      <c r="T1214">
        <f t="shared" si="353"/>
        <v>0</v>
      </c>
      <c r="U1214">
        <f t="shared" si="354"/>
        <v>0</v>
      </c>
      <c r="V1214">
        <f t="shared" si="355"/>
        <v>0</v>
      </c>
      <c r="W1214" t="s">
        <v>39</v>
      </c>
      <c r="X1214">
        <f t="shared" si="356"/>
        <v>1</v>
      </c>
      <c r="Y1214">
        <f t="shared" si="357"/>
        <v>0</v>
      </c>
      <c r="Z1214">
        <v>5</v>
      </c>
      <c r="AA1214">
        <f t="shared" si="358"/>
        <v>1</v>
      </c>
      <c r="AB1214" t="s">
        <v>46</v>
      </c>
      <c r="AC1214">
        <f t="shared" si="359"/>
        <v>0</v>
      </c>
      <c r="AD1214">
        <f t="shared" si="360"/>
        <v>0</v>
      </c>
      <c r="AE1214" t="s">
        <v>41</v>
      </c>
      <c r="AF1214">
        <f>IF(AE1214="website",1,0)</f>
        <v>1</v>
      </c>
    </row>
    <row r="1215" spans="1:32">
      <c r="A1215" t="s">
        <v>1862</v>
      </c>
      <c r="B1215" t="s">
        <v>33</v>
      </c>
      <c r="C1215" s="3">
        <f t="shared" si="342"/>
        <v>0</v>
      </c>
      <c r="D1215">
        <f t="shared" si="343"/>
        <v>1</v>
      </c>
      <c r="E1215" t="s">
        <v>982</v>
      </c>
      <c r="F1215" t="s">
        <v>591</v>
      </c>
      <c r="G1215" s="1">
        <v>36748</v>
      </c>
      <c r="H1215" s="2">
        <f t="shared" ca="1" si="344"/>
        <v>26</v>
      </c>
      <c r="I1215" s="2">
        <f t="shared" ca="1" si="345"/>
        <v>1.4285714285714285E-2</v>
      </c>
      <c r="J1215" t="s">
        <v>36</v>
      </c>
      <c r="K1215" t="s">
        <v>37</v>
      </c>
      <c r="L1215">
        <f t="shared" si="346"/>
        <v>1</v>
      </c>
      <c r="M1215">
        <f t="shared" si="347"/>
        <v>0</v>
      </c>
      <c r="N1215">
        <f t="shared" si="348"/>
        <v>0</v>
      </c>
      <c r="O1215" t="s">
        <v>600</v>
      </c>
      <c r="P1215">
        <f t="shared" si="349"/>
        <v>0</v>
      </c>
      <c r="Q1215">
        <f t="shared" si="350"/>
        <v>0</v>
      </c>
      <c r="R1215">
        <f t="shared" si="351"/>
        <v>0</v>
      </c>
      <c r="S1215">
        <f t="shared" si="352"/>
        <v>0</v>
      </c>
      <c r="T1215">
        <f t="shared" si="353"/>
        <v>0</v>
      </c>
      <c r="U1215">
        <f t="shared" si="354"/>
        <v>0</v>
      </c>
      <c r="V1215">
        <f t="shared" si="355"/>
        <v>0</v>
      </c>
      <c r="W1215" t="s">
        <v>39</v>
      </c>
      <c r="X1215">
        <f t="shared" si="356"/>
        <v>1</v>
      </c>
      <c r="Y1215">
        <f t="shared" si="357"/>
        <v>0</v>
      </c>
      <c r="Z1215">
        <v>1</v>
      </c>
      <c r="AA1215">
        <f t="shared" si="358"/>
        <v>0</v>
      </c>
      <c r="AB1215" t="s">
        <v>46</v>
      </c>
      <c r="AC1215">
        <f t="shared" si="359"/>
        <v>1</v>
      </c>
      <c r="AD1215">
        <f t="shared" si="360"/>
        <v>0</v>
      </c>
      <c r="AE1215" t="s">
        <v>50</v>
      </c>
      <c r="AF1215">
        <f>IF(AE1215="website",1,0)</f>
        <v>0</v>
      </c>
    </row>
    <row r="1216" spans="1:32">
      <c r="A1216" t="s">
        <v>1863</v>
      </c>
      <c r="B1216" t="s">
        <v>33</v>
      </c>
      <c r="C1216" s="3">
        <f t="shared" si="342"/>
        <v>0</v>
      </c>
      <c r="D1216">
        <f t="shared" si="343"/>
        <v>1</v>
      </c>
      <c r="E1216" t="s">
        <v>527</v>
      </c>
      <c r="F1216" t="s">
        <v>726</v>
      </c>
      <c r="G1216" s="1">
        <v>34539</v>
      </c>
      <c r="H1216" s="2">
        <f t="shared" ca="1" si="344"/>
        <v>32</v>
      </c>
      <c r="I1216" s="2">
        <f t="shared" ca="1" si="345"/>
        <v>0.1</v>
      </c>
      <c r="J1216" t="s">
        <v>45</v>
      </c>
      <c r="K1216" t="s">
        <v>37</v>
      </c>
      <c r="L1216">
        <f t="shared" si="346"/>
        <v>1</v>
      </c>
      <c r="M1216">
        <f t="shared" si="347"/>
        <v>0</v>
      </c>
      <c r="N1216">
        <f t="shared" si="348"/>
        <v>0</v>
      </c>
      <c r="O1216" t="s">
        <v>38</v>
      </c>
      <c r="P1216">
        <f t="shared" si="349"/>
        <v>1</v>
      </c>
      <c r="Q1216">
        <f t="shared" si="350"/>
        <v>0</v>
      </c>
      <c r="R1216">
        <f t="shared" si="351"/>
        <v>0</v>
      </c>
      <c r="S1216">
        <f t="shared" si="352"/>
        <v>0</v>
      </c>
      <c r="T1216">
        <f t="shared" si="353"/>
        <v>0</v>
      </c>
      <c r="U1216">
        <f t="shared" si="354"/>
        <v>0</v>
      </c>
      <c r="V1216">
        <f t="shared" si="355"/>
        <v>0</v>
      </c>
      <c r="W1216" t="s">
        <v>39</v>
      </c>
      <c r="X1216">
        <f t="shared" si="356"/>
        <v>1</v>
      </c>
      <c r="Y1216">
        <f t="shared" si="357"/>
        <v>0</v>
      </c>
      <c r="Z1216">
        <v>3</v>
      </c>
      <c r="AA1216">
        <f t="shared" si="358"/>
        <v>0.5</v>
      </c>
      <c r="AB1216" t="s">
        <v>46</v>
      </c>
      <c r="AC1216">
        <f t="shared" si="359"/>
        <v>0</v>
      </c>
      <c r="AD1216">
        <f t="shared" si="360"/>
        <v>0</v>
      </c>
      <c r="AE1216" t="s">
        <v>41</v>
      </c>
      <c r="AF1216">
        <f>IF(AE1216="website",1,0)</f>
        <v>1</v>
      </c>
    </row>
    <row r="1217" spans="1:32">
      <c r="A1217" t="s">
        <v>1864</v>
      </c>
      <c r="B1217" t="s">
        <v>33</v>
      </c>
      <c r="C1217" s="3">
        <f t="shared" si="342"/>
        <v>0</v>
      </c>
      <c r="D1217">
        <f t="shared" si="343"/>
        <v>1</v>
      </c>
      <c r="E1217" t="s">
        <v>1346</v>
      </c>
      <c r="F1217" t="s">
        <v>700</v>
      </c>
      <c r="G1217" s="1">
        <v>35621</v>
      </c>
      <c r="H1217" s="2">
        <f t="shared" ca="1" si="344"/>
        <v>29</v>
      </c>
      <c r="I1217" s="2">
        <f t="shared" ca="1" si="345"/>
        <v>5.7142857142857141E-2</v>
      </c>
      <c r="J1217" t="s">
        <v>36</v>
      </c>
      <c r="K1217" t="s">
        <v>626</v>
      </c>
      <c r="L1217">
        <f t="shared" si="346"/>
        <v>0</v>
      </c>
      <c r="M1217">
        <f t="shared" si="347"/>
        <v>0</v>
      </c>
      <c r="N1217">
        <f t="shared" si="348"/>
        <v>0</v>
      </c>
      <c r="O1217" t="s">
        <v>740</v>
      </c>
      <c r="P1217">
        <f t="shared" si="349"/>
        <v>0</v>
      </c>
      <c r="Q1217">
        <f t="shared" si="350"/>
        <v>0</v>
      </c>
      <c r="R1217">
        <f t="shared" si="351"/>
        <v>0</v>
      </c>
      <c r="S1217">
        <f t="shared" si="352"/>
        <v>0</v>
      </c>
      <c r="T1217">
        <f t="shared" si="353"/>
        <v>0</v>
      </c>
      <c r="U1217">
        <f t="shared" si="354"/>
        <v>0</v>
      </c>
      <c r="V1217">
        <f t="shared" si="355"/>
        <v>0</v>
      </c>
      <c r="W1217" t="s">
        <v>39</v>
      </c>
      <c r="X1217">
        <f t="shared" si="356"/>
        <v>1</v>
      </c>
      <c r="Y1217">
        <f t="shared" si="357"/>
        <v>0</v>
      </c>
      <c r="Z1217">
        <v>4</v>
      </c>
      <c r="AA1217">
        <f t="shared" si="358"/>
        <v>0.75</v>
      </c>
      <c r="AB1217" t="s">
        <v>46</v>
      </c>
      <c r="AC1217">
        <f t="shared" si="359"/>
        <v>0</v>
      </c>
      <c r="AD1217">
        <f t="shared" si="360"/>
        <v>0</v>
      </c>
      <c r="AE1217" t="s">
        <v>41</v>
      </c>
      <c r="AF1217">
        <f>IF(AE1217="website",1,0)</f>
        <v>1</v>
      </c>
    </row>
    <row r="1218" spans="1:32">
      <c r="A1218" t="s">
        <v>1865</v>
      </c>
      <c r="B1218" t="s">
        <v>33</v>
      </c>
      <c r="C1218" s="3">
        <f t="shared" ref="C1218:C1281" si="361">IF(B1218="company",1,0)</f>
        <v>0</v>
      </c>
      <c r="D1218">
        <f t="shared" ref="D1218:D1281" si="362">IF(B1218="individual",1,0)</f>
        <v>1</v>
      </c>
      <c r="E1218" t="s">
        <v>683</v>
      </c>
      <c r="F1218" t="s">
        <v>568</v>
      </c>
      <c r="G1218" s="1">
        <v>35435</v>
      </c>
      <c r="H1218" s="2">
        <f t="shared" ref="H1218:H1281" ca="1" si="363">DATEDIF(G1218,TODAY(),"Y")</f>
        <v>29</v>
      </c>
      <c r="I1218" s="2">
        <f t="shared" ref="I1218:I1281" ca="1" si="364">(H1218-MIN(H:H))/(MAX(H:H)-MIN(H:H))</f>
        <v>5.7142857142857141E-2</v>
      </c>
      <c r="J1218" t="s">
        <v>45</v>
      </c>
      <c r="K1218" t="s">
        <v>37</v>
      </c>
      <c r="L1218">
        <f t="shared" ref="L1218:L1281" si="365">IF(K1218="usa",1,0)</f>
        <v>1</v>
      </c>
      <c r="M1218">
        <f t="shared" ref="M1218:M1281" si="366">IF(K1218="canada",1,0)</f>
        <v>0</v>
      </c>
      <c r="N1218">
        <f t="shared" ref="N1218:N1281" si="367">IF(K1218="germany",1,0)</f>
        <v>0</v>
      </c>
      <c r="O1218" t="s">
        <v>38</v>
      </c>
      <c r="P1218">
        <f t="shared" ref="P1218:P1281" si="368">IF(O1218="california",1,0)</f>
        <v>1</v>
      </c>
      <c r="Q1218">
        <f t="shared" ref="Q1218:Q1281" si="369">IF(O1218="oregon",1,0)</f>
        <v>0</v>
      </c>
      <c r="R1218">
        <f t="shared" ref="R1218:R1281" si="370">IF(O1218="quebec",1,0)</f>
        <v>0</v>
      </c>
      <c r="S1218">
        <f t="shared" ref="S1218:S1281" si="371">IF(O1218="berlin",1,0)</f>
        <v>0</v>
      </c>
      <c r="T1218">
        <f t="shared" ref="T1218:T1281" si="372">IF(O1218="arizona",1,0)</f>
        <v>0</v>
      </c>
      <c r="U1218">
        <f t="shared" ref="U1218:U1281" si="373">IF(O1218="nevada",1,0)</f>
        <v>0</v>
      </c>
      <c r="V1218">
        <f t="shared" ref="V1218:V1281" si="374">IF(O1218="colardo",1,0)</f>
        <v>0</v>
      </c>
      <c r="W1218" t="s">
        <v>58</v>
      </c>
      <c r="X1218">
        <f t="shared" ref="X1218:X1281" si="375">IF(W1218="home",1,0)</f>
        <v>0</v>
      </c>
      <c r="Y1218">
        <f t="shared" ref="Y1218:Y1281" si="376">IF(W1218="investment",1,0)</f>
        <v>1</v>
      </c>
      <c r="Z1218">
        <v>4</v>
      </c>
      <c r="AA1218">
        <f t="shared" ref="AA1218:AA1281" si="377">(Z1218-1)/4</f>
        <v>0.75</v>
      </c>
      <c r="AB1218" t="s">
        <v>40</v>
      </c>
      <c r="AC1218">
        <f t="shared" ref="AC1218:AC1281" si="378">IF(AE1218="agency",1,0)</f>
        <v>0</v>
      </c>
      <c r="AD1218">
        <f t="shared" ref="AD1218:AD1281" si="379">IF(AE1218="client",1,0)</f>
        <v>0</v>
      </c>
      <c r="AE1218" t="s">
        <v>41</v>
      </c>
      <c r="AF1218">
        <f>IF(AE1218="website",1,0)</f>
        <v>1</v>
      </c>
    </row>
    <row r="1219" spans="1:32">
      <c r="A1219" t="s">
        <v>1866</v>
      </c>
      <c r="B1219" t="s">
        <v>33</v>
      </c>
      <c r="C1219" s="3">
        <f t="shared" si="361"/>
        <v>0</v>
      </c>
      <c r="D1219">
        <f t="shared" si="362"/>
        <v>1</v>
      </c>
      <c r="E1219" t="s">
        <v>947</v>
      </c>
      <c r="F1219" t="s">
        <v>953</v>
      </c>
      <c r="G1219" s="1">
        <v>15338</v>
      </c>
      <c r="H1219" s="2">
        <f t="shared" ca="1" si="363"/>
        <v>84</v>
      </c>
      <c r="I1219" s="2">
        <f t="shared" ca="1" si="364"/>
        <v>0.84285714285714286</v>
      </c>
      <c r="J1219" t="s">
        <v>36</v>
      </c>
      <c r="K1219" t="s">
        <v>37</v>
      </c>
      <c r="L1219">
        <f t="shared" si="365"/>
        <v>1</v>
      </c>
      <c r="M1219">
        <f t="shared" si="366"/>
        <v>0</v>
      </c>
      <c r="N1219">
        <f t="shared" si="367"/>
        <v>0</v>
      </c>
      <c r="O1219" t="s">
        <v>38</v>
      </c>
      <c r="P1219">
        <f t="shared" si="368"/>
        <v>1</v>
      </c>
      <c r="Q1219">
        <f t="shared" si="369"/>
        <v>0</v>
      </c>
      <c r="R1219">
        <f t="shared" si="370"/>
        <v>0</v>
      </c>
      <c r="S1219">
        <f t="shared" si="371"/>
        <v>0</v>
      </c>
      <c r="T1219">
        <f t="shared" si="372"/>
        <v>0</v>
      </c>
      <c r="U1219">
        <f t="shared" si="373"/>
        <v>0</v>
      </c>
      <c r="V1219">
        <f t="shared" si="374"/>
        <v>0</v>
      </c>
      <c r="W1219" t="s">
        <v>39</v>
      </c>
      <c r="X1219">
        <f t="shared" si="375"/>
        <v>1</v>
      </c>
      <c r="Y1219">
        <f t="shared" si="376"/>
        <v>0</v>
      </c>
      <c r="Z1219">
        <v>1</v>
      </c>
      <c r="AA1219">
        <f t="shared" si="377"/>
        <v>0</v>
      </c>
      <c r="AB1219" t="s">
        <v>40</v>
      </c>
      <c r="AC1219">
        <f t="shared" si="378"/>
        <v>0</v>
      </c>
      <c r="AD1219">
        <f t="shared" si="379"/>
        <v>0</v>
      </c>
      <c r="AE1219" t="s">
        <v>41</v>
      </c>
      <c r="AF1219">
        <f>IF(AE1219="website",1,0)</f>
        <v>1</v>
      </c>
    </row>
    <row r="1220" spans="1:32">
      <c r="A1220" t="s">
        <v>1867</v>
      </c>
      <c r="B1220" t="s">
        <v>33</v>
      </c>
      <c r="C1220" s="3">
        <f t="shared" si="361"/>
        <v>0</v>
      </c>
      <c r="D1220">
        <f t="shared" si="362"/>
        <v>1</v>
      </c>
      <c r="E1220" t="s">
        <v>784</v>
      </c>
      <c r="F1220" t="s">
        <v>339</v>
      </c>
      <c r="G1220" s="1">
        <v>30656</v>
      </c>
      <c r="H1220" s="2">
        <f t="shared" ca="1" si="363"/>
        <v>42</v>
      </c>
      <c r="I1220" s="2">
        <f t="shared" ca="1" si="364"/>
        <v>0.24285714285714285</v>
      </c>
      <c r="J1220" t="s">
        <v>36</v>
      </c>
      <c r="K1220" t="s">
        <v>37</v>
      </c>
      <c r="L1220">
        <f t="shared" si="365"/>
        <v>1</v>
      </c>
      <c r="M1220">
        <f t="shared" si="366"/>
        <v>0</v>
      </c>
      <c r="N1220">
        <f t="shared" si="367"/>
        <v>0</v>
      </c>
      <c r="O1220" t="s">
        <v>97</v>
      </c>
      <c r="P1220">
        <f t="shared" si="368"/>
        <v>0</v>
      </c>
      <c r="Q1220">
        <f t="shared" si="369"/>
        <v>0</v>
      </c>
      <c r="R1220">
        <f t="shared" si="370"/>
        <v>0</v>
      </c>
      <c r="S1220">
        <f t="shared" si="371"/>
        <v>0</v>
      </c>
      <c r="T1220">
        <f t="shared" si="372"/>
        <v>1</v>
      </c>
      <c r="U1220">
        <f t="shared" si="373"/>
        <v>0</v>
      </c>
      <c r="V1220">
        <f t="shared" si="374"/>
        <v>0</v>
      </c>
      <c r="W1220" t="s">
        <v>39</v>
      </c>
      <c r="X1220">
        <f t="shared" si="375"/>
        <v>1</v>
      </c>
      <c r="Y1220">
        <f t="shared" si="376"/>
        <v>0</v>
      </c>
      <c r="Z1220">
        <v>1</v>
      </c>
      <c r="AA1220">
        <f t="shared" si="377"/>
        <v>0</v>
      </c>
      <c r="AB1220" t="s">
        <v>40</v>
      </c>
      <c r="AC1220">
        <f t="shared" si="378"/>
        <v>0</v>
      </c>
      <c r="AD1220">
        <f t="shared" si="379"/>
        <v>0</v>
      </c>
      <c r="AE1220" t="s">
        <v>41</v>
      </c>
      <c r="AF1220">
        <f>IF(AE1220="website",1,0)</f>
        <v>1</v>
      </c>
    </row>
    <row r="1221" spans="1:32">
      <c r="A1221" t="s">
        <v>1868</v>
      </c>
      <c r="B1221" t="s">
        <v>33</v>
      </c>
      <c r="C1221" s="3">
        <f t="shared" si="361"/>
        <v>0</v>
      </c>
      <c r="D1221">
        <f t="shared" si="362"/>
        <v>1</v>
      </c>
      <c r="E1221" t="s">
        <v>1554</v>
      </c>
      <c r="F1221" t="s">
        <v>610</v>
      </c>
      <c r="G1221" s="1">
        <v>24723</v>
      </c>
      <c r="H1221" s="2">
        <f t="shared" ca="1" si="363"/>
        <v>59</v>
      </c>
      <c r="I1221" s="2">
        <f t="shared" ca="1" si="364"/>
        <v>0.48571428571428571</v>
      </c>
      <c r="J1221" t="s">
        <v>36</v>
      </c>
      <c r="K1221" t="s">
        <v>37</v>
      </c>
      <c r="L1221">
        <f t="shared" si="365"/>
        <v>1</v>
      </c>
      <c r="M1221">
        <f t="shared" si="366"/>
        <v>0</v>
      </c>
      <c r="N1221">
        <f t="shared" si="367"/>
        <v>0</v>
      </c>
      <c r="O1221" t="s">
        <v>137</v>
      </c>
      <c r="P1221">
        <f t="shared" si="368"/>
        <v>0</v>
      </c>
      <c r="Q1221">
        <f t="shared" si="369"/>
        <v>0</v>
      </c>
      <c r="R1221">
        <f t="shared" si="370"/>
        <v>0</v>
      </c>
      <c r="S1221">
        <f t="shared" si="371"/>
        <v>0</v>
      </c>
      <c r="T1221">
        <f t="shared" si="372"/>
        <v>0</v>
      </c>
      <c r="U1221">
        <f t="shared" si="373"/>
        <v>0</v>
      </c>
      <c r="V1221">
        <f t="shared" si="374"/>
        <v>0</v>
      </c>
      <c r="W1221" t="s">
        <v>58</v>
      </c>
      <c r="X1221">
        <f t="shared" si="375"/>
        <v>0</v>
      </c>
      <c r="Y1221">
        <f t="shared" si="376"/>
        <v>1</v>
      </c>
      <c r="Z1221">
        <v>4</v>
      </c>
      <c r="AA1221">
        <f t="shared" si="377"/>
        <v>0.75</v>
      </c>
      <c r="AB1221" t="s">
        <v>40</v>
      </c>
      <c r="AC1221">
        <f t="shared" si="378"/>
        <v>0</v>
      </c>
      <c r="AD1221">
        <f t="shared" si="379"/>
        <v>0</v>
      </c>
      <c r="AE1221" t="s">
        <v>41</v>
      </c>
      <c r="AF1221">
        <f>IF(AE1221="website",1,0)</f>
        <v>1</v>
      </c>
    </row>
    <row r="1222" spans="1:32">
      <c r="A1222" t="s">
        <v>1869</v>
      </c>
      <c r="B1222" t="s">
        <v>33</v>
      </c>
      <c r="C1222" s="3">
        <f t="shared" si="361"/>
        <v>0</v>
      </c>
      <c r="D1222">
        <f t="shared" si="362"/>
        <v>1</v>
      </c>
      <c r="E1222" t="s">
        <v>1133</v>
      </c>
      <c r="F1222" t="s">
        <v>1041</v>
      </c>
      <c r="G1222" s="1">
        <v>30825</v>
      </c>
      <c r="H1222" s="2">
        <f t="shared" ca="1" si="363"/>
        <v>42</v>
      </c>
      <c r="I1222" s="2">
        <f t="shared" ca="1" si="364"/>
        <v>0.24285714285714285</v>
      </c>
      <c r="J1222" t="s">
        <v>36</v>
      </c>
      <c r="K1222" t="s">
        <v>37</v>
      </c>
      <c r="L1222">
        <f t="shared" si="365"/>
        <v>1</v>
      </c>
      <c r="M1222">
        <f t="shared" si="366"/>
        <v>0</v>
      </c>
      <c r="N1222">
        <f t="shared" si="367"/>
        <v>0</v>
      </c>
      <c r="O1222" t="s">
        <v>124</v>
      </c>
      <c r="P1222">
        <f t="shared" si="368"/>
        <v>0</v>
      </c>
      <c r="Q1222">
        <f t="shared" si="369"/>
        <v>0</v>
      </c>
      <c r="R1222">
        <f t="shared" si="370"/>
        <v>0</v>
      </c>
      <c r="S1222">
        <f t="shared" si="371"/>
        <v>0</v>
      </c>
      <c r="T1222">
        <f t="shared" si="372"/>
        <v>0</v>
      </c>
      <c r="U1222">
        <f t="shared" si="373"/>
        <v>1</v>
      </c>
      <c r="V1222">
        <f t="shared" si="374"/>
        <v>0</v>
      </c>
      <c r="W1222" t="s">
        <v>58</v>
      </c>
      <c r="X1222">
        <f t="shared" si="375"/>
        <v>0</v>
      </c>
      <c r="Y1222">
        <f t="shared" si="376"/>
        <v>1</v>
      </c>
      <c r="Z1222">
        <v>2</v>
      </c>
      <c r="AA1222">
        <f t="shared" si="377"/>
        <v>0.25</v>
      </c>
      <c r="AB1222" t="s">
        <v>46</v>
      </c>
      <c r="AC1222">
        <f t="shared" si="378"/>
        <v>1</v>
      </c>
      <c r="AD1222">
        <f t="shared" si="379"/>
        <v>0</v>
      </c>
      <c r="AE1222" t="s">
        <v>50</v>
      </c>
      <c r="AF1222">
        <f>IF(AE1222="website",1,0)</f>
        <v>0</v>
      </c>
    </row>
    <row r="1223" spans="1:32">
      <c r="A1223" t="s">
        <v>1870</v>
      </c>
      <c r="B1223" t="s">
        <v>33</v>
      </c>
      <c r="C1223" s="3">
        <f t="shared" si="361"/>
        <v>0</v>
      </c>
      <c r="D1223">
        <f t="shared" si="362"/>
        <v>1</v>
      </c>
      <c r="E1223" t="s">
        <v>690</v>
      </c>
      <c r="F1223" t="s">
        <v>117</v>
      </c>
      <c r="G1223" s="1">
        <v>25210</v>
      </c>
      <c r="H1223" s="2">
        <f t="shared" ca="1" si="363"/>
        <v>57</v>
      </c>
      <c r="I1223" s="2">
        <f t="shared" ca="1" si="364"/>
        <v>0.45714285714285713</v>
      </c>
      <c r="J1223" t="s">
        <v>45</v>
      </c>
      <c r="K1223" t="s">
        <v>37</v>
      </c>
      <c r="L1223">
        <f t="shared" si="365"/>
        <v>1</v>
      </c>
      <c r="M1223">
        <f t="shared" si="366"/>
        <v>0</v>
      </c>
      <c r="N1223">
        <f t="shared" si="367"/>
        <v>0</v>
      </c>
      <c r="O1223" t="s">
        <v>183</v>
      </c>
      <c r="P1223">
        <f t="shared" si="368"/>
        <v>0</v>
      </c>
      <c r="Q1223">
        <f t="shared" si="369"/>
        <v>0</v>
      </c>
      <c r="R1223">
        <f t="shared" si="370"/>
        <v>0</v>
      </c>
      <c r="S1223">
        <f t="shared" si="371"/>
        <v>0</v>
      </c>
      <c r="T1223">
        <f t="shared" si="372"/>
        <v>0</v>
      </c>
      <c r="U1223">
        <f t="shared" si="373"/>
        <v>0</v>
      </c>
      <c r="V1223">
        <f t="shared" si="374"/>
        <v>0</v>
      </c>
      <c r="W1223" t="s">
        <v>39</v>
      </c>
      <c r="X1223">
        <f t="shared" si="375"/>
        <v>1</v>
      </c>
      <c r="Y1223">
        <f t="shared" si="376"/>
        <v>0</v>
      </c>
      <c r="Z1223">
        <v>4</v>
      </c>
      <c r="AA1223">
        <f t="shared" si="377"/>
        <v>0.75</v>
      </c>
      <c r="AB1223" t="s">
        <v>46</v>
      </c>
      <c r="AC1223">
        <f t="shared" si="378"/>
        <v>0</v>
      </c>
      <c r="AD1223">
        <f t="shared" si="379"/>
        <v>0</v>
      </c>
      <c r="AE1223" t="s">
        <v>41</v>
      </c>
      <c r="AF1223">
        <f>IF(AE1223="website",1,0)</f>
        <v>1</v>
      </c>
    </row>
    <row r="1224" spans="1:32">
      <c r="A1224" t="s">
        <v>1871</v>
      </c>
      <c r="B1224" t="s">
        <v>33</v>
      </c>
      <c r="C1224" s="3">
        <f t="shared" si="361"/>
        <v>0</v>
      </c>
      <c r="D1224">
        <f t="shared" si="362"/>
        <v>1</v>
      </c>
      <c r="E1224" t="s">
        <v>622</v>
      </c>
      <c r="F1224" t="s">
        <v>691</v>
      </c>
      <c r="G1224" s="1">
        <v>19254</v>
      </c>
      <c r="H1224" s="2">
        <f t="shared" ca="1" si="363"/>
        <v>74</v>
      </c>
      <c r="I1224" s="2">
        <f t="shared" ca="1" si="364"/>
        <v>0.7</v>
      </c>
      <c r="J1224" t="s">
        <v>36</v>
      </c>
      <c r="K1224" t="s">
        <v>37</v>
      </c>
      <c r="L1224">
        <f t="shared" si="365"/>
        <v>1</v>
      </c>
      <c r="M1224">
        <f t="shared" si="366"/>
        <v>0</v>
      </c>
      <c r="N1224">
        <f t="shared" si="367"/>
        <v>0</v>
      </c>
      <c r="O1224" t="s">
        <v>565</v>
      </c>
      <c r="P1224">
        <f t="shared" si="368"/>
        <v>0</v>
      </c>
      <c r="Q1224">
        <f t="shared" si="369"/>
        <v>0</v>
      </c>
      <c r="R1224">
        <f t="shared" si="370"/>
        <v>0</v>
      </c>
      <c r="S1224">
        <f t="shared" si="371"/>
        <v>0</v>
      </c>
      <c r="T1224">
        <f t="shared" si="372"/>
        <v>0</v>
      </c>
      <c r="U1224">
        <f t="shared" si="373"/>
        <v>0</v>
      </c>
      <c r="V1224">
        <f t="shared" si="374"/>
        <v>0</v>
      </c>
      <c r="W1224" t="s">
        <v>39</v>
      </c>
      <c r="X1224">
        <f t="shared" si="375"/>
        <v>1</v>
      </c>
      <c r="Y1224">
        <f t="shared" si="376"/>
        <v>0</v>
      </c>
      <c r="Z1224">
        <v>4</v>
      </c>
      <c r="AA1224">
        <f t="shared" si="377"/>
        <v>0.75</v>
      </c>
      <c r="AB1224" t="s">
        <v>46</v>
      </c>
      <c r="AC1224">
        <f t="shared" si="378"/>
        <v>0</v>
      </c>
      <c r="AD1224">
        <f t="shared" si="379"/>
        <v>0</v>
      </c>
      <c r="AE1224" t="s">
        <v>41</v>
      </c>
      <c r="AF1224">
        <f>IF(AE1224="website",1,0)</f>
        <v>1</v>
      </c>
    </row>
    <row r="1225" spans="1:32">
      <c r="A1225" t="s">
        <v>1872</v>
      </c>
      <c r="B1225" t="s">
        <v>33</v>
      </c>
      <c r="C1225" s="3">
        <f t="shared" si="361"/>
        <v>0</v>
      </c>
      <c r="D1225">
        <f t="shared" si="362"/>
        <v>1</v>
      </c>
      <c r="E1225" t="s">
        <v>792</v>
      </c>
      <c r="F1225" t="s">
        <v>568</v>
      </c>
      <c r="G1225" s="1">
        <v>15505</v>
      </c>
      <c r="H1225" s="2">
        <f t="shared" ca="1" si="363"/>
        <v>84</v>
      </c>
      <c r="I1225" s="2">
        <f t="shared" ca="1" si="364"/>
        <v>0.84285714285714286</v>
      </c>
      <c r="J1225" t="s">
        <v>45</v>
      </c>
      <c r="K1225" t="s">
        <v>37</v>
      </c>
      <c r="L1225">
        <f t="shared" si="365"/>
        <v>1</v>
      </c>
      <c r="M1225">
        <f t="shared" si="366"/>
        <v>0</v>
      </c>
      <c r="N1225">
        <f t="shared" si="367"/>
        <v>0</v>
      </c>
      <c r="O1225" t="s">
        <v>717</v>
      </c>
      <c r="P1225">
        <f t="shared" si="368"/>
        <v>0</v>
      </c>
      <c r="Q1225">
        <f t="shared" si="369"/>
        <v>0</v>
      </c>
      <c r="R1225">
        <f t="shared" si="370"/>
        <v>0</v>
      </c>
      <c r="S1225">
        <f t="shared" si="371"/>
        <v>0</v>
      </c>
      <c r="T1225">
        <f t="shared" si="372"/>
        <v>0</v>
      </c>
      <c r="U1225">
        <f t="shared" si="373"/>
        <v>0</v>
      </c>
      <c r="V1225">
        <f t="shared" si="374"/>
        <v>0</v>
      </c>
      <c r="W1225" t="s">
        <v>58</v>
      </c>
      <c r="X1225">
        <f t="shared" si="375"/>
        <v>0</v>
      </c>
      <c r="Y1225">
        <f t="shared" si="376"/>
        <v>1</v>
      </c>
      <c r="Z1225">
        <v>5</v>
      </c>
      <c r="AA1225">
        <f t="shared" si="377"/>
        <v>1</v>
      </c>
      <c r="AB1225" t="s">
        <v>40</v>
      </c>
      <c r="AC1225">
        <f t="shared" si="378"/>
        <v>0</v>
      </c>
      <c r="AD1225">
        <f t="shared" si="379"/>
        <v>1</v>
      </c>
      <c r="AE1225" t="s">
        <v>90</v>
      </c>
      <c r="AF1225">
        <f>IF(AE1225="website",1,0)</f>
        <v>0</v>
      </c>
    </row>
    <row r="1226" spans="1:32">
      <c r="A1226" t="s">
        <v>1873</v>
      </c>
      <c r="B1226" t="s">
        <v>33</v>
      </c>
      <c r="C1226" s="3">
        <f t="shared" si="361"/>
        <v>0</v>
      </c>
      <c r="D1226">
        <f t="shared" si="362"/>
        <v>1</v>
      </c>
      <c r="E1226" t="s">
        <v>544</v>
      </c>
      <c r="F1226" t="s">
        <v>659</v>
      </c>
      <c r="G1226" s="1">
        <v>33187</v>
      </c>
      <c r="H1226" s="2">
        <f t="shared" ca="1" si="363"/>
        <v>35</v>
      </c>
      <c r="I1226" s="2">
        <f t="shared" ca="1" si="364"/>
        <v>0.14285714285714285</v>
      </c>
      <c r="J1226" t="s">
        <v>45</v>
      </c>
      <c r="K1226" t="s">
        <v>37</v>
      </c>
      <c r="L1226">
        <f t="shared" si="365"/>
        <v>1</v>
      </c>
      <c r="M1226">
        <f t="shared" si="366"/>
        <v>0</v>
      </c>
      <c r="N1226">
        <f t="shared" si="367"/>
        <v>0</v>
      </c>
      <c r="O1226" t="s">
        <v>76</v>
      </c>
      <c r="P1226">
        <f t="shared" si="368"/>
        <v>0</v>
      </c>
      <c r="Q1226">
        <f t="shared" si="369"/>
        <v>1</v>
      </c>
      <c r="R1226">
        <f t="shared" si="370"/>
        <v>0</v>
      </c>
      <c r="S1226">
        <f t="shared" si="371"/>
        <v>0</v>
      </c>
      <c r="T1226">
        <f t="shared" si="372"/>
        <v>0</v>
      </c>
      <c r="U1226">
        <f t="shared" si="373"/>
        <v>0</v>
      </c>
      <c r="V1226">
        <f t="shared" si="374"/>
        <v>0</v>
      </c>
      <c r="W1226" t="s">
        <v>39</v>
      </c>
      <c r="X1226">
        <f t="shared" si="375"/>
        <v>1</v>
      </c>
      <c r="Y1226">
        <f t="shared" si="376"/>
        <v>0</v>
      </c>
      <c r="Z1226">
        <v>2</v>
      </c>
      <c r="AA1226">
        <f t="shared" si="377"/>
        <v>0.25</v>
      </c>
      <c r="AB1226" t="s">
        <v>46</v>
      </c>
      <c r="AC1226">
        <f t="shared" si="378"/>
        <v>0</v>
      </c>
      <c r="AD1226">
        <f t="shared" si="379"/>
        <v>0</v>
      </c>
      <c r="AE1226" t="s">
        <v>41</v>
      </c>
      <c r="AF1226">
        <f>IF(AE1226="website",1,0)</f>
        <v>1</v>
      </c>
    </row>
    <row r="1227" spans="1:32">
      <c r="A1227" t="s">
        <v>1874</v>
      </c>
      <c r="B1227" t="s">
        <v>33</v>
      </c>
      <c r="C1227" s="3">
        <f t="shared" si="361"/>
        <v>0</v>
      </c>
      <c r="D1227">
        <f t="shared" si="362"/>
        <v>1</v>
      </c>
      <c r="E1227" t="s">
        <v>419</v>
      </c>
      <c r="F1227" t="s">
        <v>557</v>
      </c>
      <c r="G1227" s="1">
        <v>32629</v>
      </c>
      <c r="H1227" s="2">
        <f t="shared" ca="1" si="363"/>
        <v>37</v>
      </c>
      <c r="I1227" s="2">
        <f t="shared" ca="1" si="364"/>
        <v>0.17142857142857143</v>
      </c>
      <c r="J1227" t="s">
        <v>45</v>
      </c>
      <c r="K1227" t="s">
        <v>37</v>
      </c>
      <c r="L1227">
        <f t="shared" si="365"/>
        <v>1</v>
      </c>
      <c r="M1227">
        <f t="shared" si="366"/>
        <v>0</v>
      </c>
      <c r="N1227">
        <f t="shared" si="367"/>
        <v>0</v>
      </c>
      <c r="O1227" t="s">
        <v>183</v>
      </c>
      <c r="P1227">
        <f t="shared" si="368"/>
        <v>0</v>
      </c>
      <c r="Q1227">
        <f t="shared" si="369"/>
        <v>0</v>
      </c>
      <c r="R1227">
        <f t="shared" si="370"/>
        <v>0</v>
      </c>
      <c r="S1227">
        <f t="shared" si="371"/>
        <v>0</v>
      </c>
      <c r="T1227">
        <f t="shared" si="372"/>
        <v>0</v>
      </c>
      <c r="U1227">
        <f t="shared" si="373"/>
        <v>0</v>
      </c>
      <c r="V1227">
        <f t="shared" si="374"/>
        <v>0</v>
      </c>
      <c r="W1227" t="s">
        <v>39</v>
      </c>
      <c r="X1227">
        <f t="shared" si="375"/>
        <v>1</v>
      </c>
      <c r="Y1227">
        <f t="shared" si="376"/>
        <v>0</v>
      </c>
      <c r="Z1227">
        <v>4</v>
      </c>
      <c r="AA1227">
        <f t="shared" si="377"/>
        <v>0.75</v>
      </c>
      <c r="AB1227" t="s">
        <v>46</v>
      </c>
      <c r="AC1227">
        <f t="shared" si="378"/>
        <v>0</v>
      </c>
      <c r="AD1227">
        <f t="shared" si="379"/>
        <v>0</v>
      </c>
      <c r="AE1227" t="s">
        <v>41</v>
      </c>
      <c r="AF1227">
        <f>IF(AE1227="website",1,0)</f>
        <v>1</v>
      </c>
    </row>
    <row r="1228" spans="1:32">
      <c r="A1228" t="s">
        <v>1875</v>
      </c>
      <c r="B1228" t="s">
        <v>33</v>
      </c>
      <c r="C1228" s="3">
        <f t="shared" si="361"/>
        <v>0</v>
      </c>
      <c r="D1228">
        <f t="shared" si="362"/>
        <v>1</v>
      </c>
      <c r="E1228" t="s">
        <v>576</v>
      </c>
      <c r="F1228" t="s">
        <v>641</v>
      </c>
      <c r="G1228" s="1">
        <v>31849</v>
      </c>
      <c r="H1228" s="2">
        <f t="shared" ca="1" si="363"/>
        <v>39</v>
      </c>
      <c r="I1228" s="2">
        <f t="shared" ca="1" si="364"/>
        <v>0.2</v>
      </c>
      <c r="J1228" t="s">
        <v>45</v>
      </c>
      <c r="K1228" t="s">
        <v>37</v>
      </c>
      <c r="L1228">
        <f t="shared" si="365"/>
        <v>1</v>
      </c>
      <c r="M1228">
        <f t="shared" si="366"/>
        <v>0</v>
      </c>
      <c r="N1228">
        <f t="shared" si="367"/>
        <v>0</v>
      </c>
      <c r="O1228" t="s">
        <v>137</v>
      </c>
      <c r="P1228">
        <f t="shared" si="368"/>
        <v>0</v>
      </c>
      <c r="Q1228">
        <f t="shared" si="369"/>
        <v>0</v>
      </c>
      <c r="R1228">
        <f t="shared" si="370"/>
        <v>0</v>
      </c>
      <c r="S1228">
        <f t="shared" si="371"/>
        <v>0</v>
      </c>
      <c r="T1228">
        <f t="shared" si="372"/>
        <v>0</v>
      </c>
      <c r="U1228">
        <f t="shared" si="373"/>
        <v>0</v>
      </c>
      <c r="V1228">
        <f t="shared" si="374"/>
        <v>0</v>
      </c>
      <c r="W1228" t="s">
        <v>39</v>
      </c>
      <c r="X1228">
        <f t="shared" si="375"/>
        <v>1</v>
      </c>
      <c r="Y1228">
        <f t="shared" si="376"/>
        <v>0</v>
      </c>
      <c r="Z1228">
        <v>3</v>
      </c>
      <c r="AA1228">
        <f t="shared" si="377"/>
        <v>0.5</v>
      </c>
      <c r="AB1228" t="s">
        <v>40</v>
      </c>
      <c r="AC1228">
        <f t="shared" si="378"/>
        <v>1</v>
      </c>
      <c r="AD1228">
        <f t="shared" si="379"/>
        <v>0</v>
      </c>
      <c r="AE1228" t="s">
        <v>50</v>
      </c>
      <c r="AF1228">
        <f>IF(AE1228="website",1,0)</f>
        <v>0</v>
      </c>
    </row>
    <row r="1229" spans="1:32">
      <c r="A1229" t="s">
        <v>1876</v>
      </c>
      <c r="B1229" t="s">
        <v>33</v>
      </c>
      <c r="C1229" s="3">
        <f t="shared" si="361"/>
        <v>0</v>
      </c>
      <c r="D1229">
        <f t="shared" si="362"/>
        <v>1</v>
      </c>
      <c r="E1229" t="s">
        <v>126</v>
      </c>
      <c r="F1229" t="s">
        <v>339</v>
      </c>
      <c r="G1229" s="1">
        <v>19912</v>
      </c>
      <c r="H1229" s="2">
        <f t="shared" ca="1" si="363"/>
        <v>72</v>
      </c>
      <c r="I1229" s="2">
        <f t="shared" ca="1" si="364"/>
        <v>0.67142857142857137</v>
      </c>
      <c r="J1229" t="s">
        <v>45</v>
      </c>
      <c r="K1229" t="s">
        <v>37</v>
      </c>
      <c r="L1229">
        <f t="shared" si="365"/>
        <v>1</v>
      </c>
      <c r="M1229">
        <f t="shared" si="366"/>
        <v>0</v>
      </c>
      <c r="N1229">
        <f t="shared" si="367"/>
        <v>0</v>
      </c>
      <c r="O1229" t="s">
        <v>38</v>
      </c>
      <c r="P1229">
        <f t="shared" si="368"/>
        <v>1</v>
      </c>
      <c r="Q1229">
        <f t="shared" si="369"/>
        <v>0</v>
      </c>
      <c r="R1229">
        <f t="shared" si="370"/>
        <v>0</v>
      </c>
      <c r="S1229">
        <f t="shared" si="371"/>
        <v>0</v>
      </c>
      <c r="T1229">
        <f t="shared" si="372"/>
        <v>0</v>
      </c>
      <c r="U1229">
        <f t="shared" si="373"/>
        <v>0</v>
      </c>
      <c r="V1229">
        <f t="shared" si="374"/>
        <v>0</v>
      </c>
      <c r="W1229" t="s">
        <v>39</v>
      </c>
      <c r="X1229">
        <f t="shared" si="375"/>
        <v>1</v>
      </c>
      <c r="Y1229">
        <f t="shared" si="376"/>
        <v>0</v>
      </c>
      <c r="Z1229">
        <v>2</v>
      </c>
      <c r="AA1229">
        <f t="shared" si="377"/>
        <v>0.25</v>
      </c>
      <c r="AB1229" t="s">
        <v>46</v>
      </c>
      <c r="AC1229">
        <f t="shared" si="378"/>
        <v>0</v>
      </c>
      <c r="AD1229">
        <f t="shared" si="379"/>
        <v>0</v>
      </c>
      <c r="AE1229" t="s">
        <v>41</v>
      </c>
      <c r="AF1229">
        <f>IF(AE1229="website",1,0)</f>
        <v>1</v>
      </c>
    </row>
    <row r="1230" spans="1:32">
      <c r="A1230" t="s">
        <v>1877</v>
      </c>
      <c r="B1230" t="s">
        <v>33</v>
      </c>
      <c r="C1230" s="3">
        <f t="shared" si="361"/>
        <v>0</v>
      </c>
      <c r="D1230">
        <f t="shared" si="362"/>
        <v>1</v>
      </c>
      <c r="E1230" t="s">
        <v>950</v>
      </c>
      <c r="F1230" t="s">
        <v>641</v>
      </c>
      <c r="G1230" s="1">
        <v>34640</v>
      </c>
      <c r="H1230" s="2">
        <f t="shared" ca="1" si="363"/>
        <v>31</v>
      </c>
      <c r="I1230" s="2">
        <f t="shared" ca="1" si="364"/>
        <v>8.5714285714285715E-2</v>
      </c>
      <c r="J1230" t="s">
        <v>36</v>
      </c>
      <c r="K1230" t="s">
        <v>248</v>
      </c>
      <c r="L1230">
        <f t="shared" si="365"/>
        <v>0</v>
      </c>
      <c r="M1230">
        <f t="shared" si="366"/>
        <v>0</v>
      </c>
      <c r="N1230">
        <f t="shared" si="367"/>
        <v>0</v>
      </c>
      <c r="O1230" t="s">
        <v>411</v>
      </c>
      <c r="P1230">
        <f t="shared" si="368"/>
        <v>0</v>
      </c>
      <c r="Q1230">
        <f t="shared" si="369"/>
        <v>0</v>
      </c>
      <c r="R1230">
        <f t="shared" si="370"/>
        <v>0</v>
      </c>
      <c r="S1230">
        <f t="shared" si="371"/>
        <v>0</v>
      </c>
      <c r="T1230">
        <f t="shared" si="372"/>
        <v>0</v>
      </c>
      <c r="U1230">
        <f t="shared" si="373"/>
        <v>0</v>
      </c>
      <c r="V1230">
        <f t="shared" si="374"/>
        <v>0</v>
      </c>
      <c r="W1230" t="s">
        <v>39</v>
      </c>
      <c r="X1230">
        <f t="shared" si="375"/>
        <v>1</v>
      </c>
      <c r="Y1230">
        <f t="shared" si="376"/>
        <v>0</v>
      </c>
      <c r="Z1230">
        <v>1</v>
      </c>
      <c r="AA1230">
        <f t="shared" si="377"/>
        <v>0</v>
      </c>
      <c r="AB1230" t="s">
        <v>40</v>
      </c>
      <c r="AC1230">
        <f t="shared" si="378"/>
        <v>0</v>
      </c>
      <c r="AD1230">
        <f t="shared" si="379"/>
        <v>0</v>
      </c>
      <c r="AE1230" t="s">
        <v>41</v>
      </c>
      <c r="AF1230">
        <f>IF(AE1230="website",1,0)</f>
        <v>1</v>
      </c>
    </row>
    <row r="1231" spans="1:32">
      <c r="A1231" t="s">
        <v>1878</v>
      </c>
      <c r="B1231" t="s">
        <v>33</v>
      </c>
      <c r="C1231" s="3">
        <f t="shared" si="361"/>
        <v>0</v>
      </c>
      <c r="D1231">
        <f t="shared" si="362"/>
        <v>1</v>
      </c>
      <c r="E1231" t="s">
        <v>590</v>
      </c>
      <c r="F1231" t="s">
        <v>538</v>
      </c>
      <c r="G1231" s="1">
        <v>31096</v>
      </c>
      <c r="H1231" s="2">
        <f t="shared" ca="1" si="363"/>
        <v>41</v>
      </c>
      <c r="I1231" s="2">
        <f t="shared" ca="1" si="364"/>
        <v>0.22857142857142856</v>
      </c>
      <c r="J1231" t="s">
        <v>45</v>
      </c>
      <c r="K1231" t="s">
        <v>37</v>
      </c>
      <c r="L1231">
        <f t="shared" si="365"/>
        <v>1</v>
      </c>
      <c r="M1231">
        <f t="shared" si="366"/>
        <v>0</v>
      </c>
      <c r="N1231">
        <f t="shared" si="367"/>
        <v>0</v>
      </c>
      <c r="O1231" t="s">
        <v>38</v>
      </c>
      <c r="P1231">
        <f t="shared" si="368"/>
        <v>1</v>
      </c>
      <c r="Q1231">
        <f t="shared" si="369"/>
        <v>0</v>
      </c>
      <c r="R1231">
        <f t="shared" si="370"/>
        <v>0</v>
      </c>
      <c r="S1231">
        <f t="shared" si="371"/>
        <v>0</v>
      </c>
      <c r="T1231">
        <f t="shared" si="372"/>
        <v>0</v>
      </c>
      <c r="U1231">
        <f t="shared" si="373"/>
        <v>0</v>
      </c>
      <c r="V1231">
        <f t="shared" si="374"/>
        <v>0</v>
      </c>
      <c r="W1231" t="s">
        <v>39</v>
      </c>
      <c r="X1231">
        <f t="shared" si="375"/>
        <v>1</v>
      </c>
      <c r="Y1231">
        <f t="shared" si="376"/>
        <v>0</v>
      </c>
      <c r="Z1231">
        <v>5</v>
      </c>
      <c r="AA1231">
        <f t="shared" si="377"/>
        <v>1</v>
      </c>
      <c r="AB1231" t="s">
        <v>46</v>
      </c>
      <c r="AC1231">
        <f t="shared" si="378"/>
        <v>0</v>
      </c>
      <c r="AD1231">
        <f t="shared" si="379"/>
        <v>1</v>
      </c>
      <c r="AE1231" t="s">
        <v>90</v>
      </c>
      <c r="AF1231">
        <f>IF(AE1231="website",1,0)</f>
        <v>0</v>
      </c>
    </row>
    <row r="1232" spans="1:32">
      <c r="A1232" t="s">
        <v>1879</v>
      </c>
      <c r="B1232" t="s">
        <v>33</v>
      </c>
      <c r="C1232" s="3">
        <f t="shared" si="361"/>
        <v>0</v>
      </c>
      <c r="D1232">
        <f t="shared" si="362"/>
        <v>1</v>
      </c>
      <c r="E1232" t="s">
        <v>755</v>
      </c>
      <c r="F1232" t="s">
        <v>568</v>
      </c>
      <c r="G1232" s="1">
        <v>20067</v>
      </c>
      <c r="H1232" s="2">
        <f t="shared" ca="1" si="363"/>
        <v>71</v>
      </c>
      <c r="I1232" s="2">
        <f t="shared" ca="1" si="364"/>
        <v>0.65714285714285714</v>
      </c>
      <c r="J1232" t="s">
        <v>36</v>
      </c>
      <c r="K1232" t="s">
        <v>37</v>
      </c>
      <c r="L1232">
        <f t="shared" si="365"/>
        <v>1</v>
      </c>
      <c r="M1232">
        <f t="shared" si="366"/>
        <v>0</v>
      </c>
      <c r="N1232">
        <f t="shared" si="367"/>
        <v>0</v>
      </c>
      <c r="O1232" t="s">
        <v>38</v>
      </c>
      <c r="P1232">
        <f t="shared" si="368"/>
        <v>1</v>
      </c>
      <c r="Q1232">
        <f t="shared" si="369"/>
        <v>0</v>
      </c>
      <c r="R1232">
        <f t="shared" si="370"/>
        <v>0</v>
      </c>
      <c r="S1232">
        <f t="shared" si="371"/>
        <v>0</v>
      </c>
      <c r="T1232">
        <f t="shared" si="372"/>
        <v>0</v>
      </c>
      <c r="U1232">
        <f t="shared" si="373"/>
        <v>0</v>
      </c>
      <c r="V1232">
        <f t="shared" si="374"/>
        <v>0</v>
      </c>
      <c r="W1232" t="s">
        <v>39</v>
      </c>
      <c r="X1232">
        <f t="shared" si="375"/>
        <v>1</v>
      </c>
      <c r="Y1232">
        <f t="shared" si="376"/>
        <v>0</v>
      </c>
      <c r="Z1232">
        <v>2</v>
      </c>
      <c r="AA1232">
        <f t="shared" si="377"/>
        <v>0.25</v>
      </c>
      <c r="AB1232" t="s">
        <v>46</v>
      </c>
      <c r="AC1232">
        <f t="shared" si="378"/>
        <v>1</v>
      </c>
      <c r="AD1232">
        <f t="shared" si="379"/>
        <v>0</v>
      </c>
      <c r="AE1232" t="s">
        <v>50</v>
      </c>
      <c r="AF1232">
        <f>IF(AE1232="website",1,0)</f>
        <v>0</v>
      </c>
    </row>
    <row r="1233" spans="1:32">
      <c r="A1233" t="s">
        <v>1880</v>
      </c>
      <c r="B1233" t="s">
        <v>33</v>
      </c>
      <c r="C1233" s="3">
        <f t="shared" si="361"/>
        <v>0</v>
      </c>
      <c r="D1233">
        <f t="shared" si="362"/>
        <v>1</v>
      </c>
      <c r="E1233" t="s">
        <v>548</v>
      </c>
      <c r="F1233" t="s">
        <v>911</v>
      </c>
      <c r="G1233" s="1">
        <v>32774</v>
      </c>
      <c r="H1233" s="2">
        <f t="shared" ca="1" si="363"/>
        <v>37</v>
      </c>
      <c r="I1233" s="2">
        <f t="shared" ca="1" si="364"/>
        <v>0.17142857142857143</v>
      </c>
      <c r="J1233" t="s">
        <v>36</v>
      </c>
      <c r="K1233" t="s">
        <v>65</v>
      </c>
      <c r="L1233">
        <f t="shared" si="365"/>
        <v>0</v>
      </c>
      <c r="M1233">
        <f t="shared" si="366"/>
        <v>1</v>
      </c>
      <c r="N1233">
        <f t="shared" si="367"/>
        <v>0</v>
      </c>
      <c r="O1233" t="s">
        <v>642</v>
      </c>
      <c r="P1233">
        <f t="shared" si="368"/>
        <v>0</v>
      </c>
      <c r="Q1233">
        <f t="shared" si="369"/>
        <v>0</v>
      </c>
      <c r="R1233">
        <f t="shared" si="370"/>
        <v>0</v>
      </c>
      <c r="S1233">
        <f t="shared" si="371"/>
        <v>0</v>
      </c>
      <c r="T1233">
        <f t="shared" si="372"/>
        <v>0</v>
      </c>
      <c r="U1233">
        <f t="shared" si="373"/>
        <v>0</v>
      </c>
      <c r="V1233">
        <f t="shared" si="374"/>
        <v>0</v>
      </c>
      <c r="W1233" t="s">
        <v>39</v>
      </c>
      <c r="X1233">
        <f t="shared" si="375"/>
        <v>1</v>
      </c>
      <c r="Y1233">
        <f t="shared" si="376"/>
        <v>0</v>
      </c>
      <c r="Z1233">
        <v>3</v>
      </c>
      <c r="AA1233">
        <f t="shared" si="377"/>
        <v>0.5</v>
      </c>
      <c r="AB1233" t="s">
        <v>46</v>
      </c>
      <c r="AC1233">
        <f t="shared" si="378"/>
        <v>0</v>
      </c>
      <c r="AD1233">
        <f t="shared" si="379"/>
        <v>0</v>
      </c>
      <c r="AE1233" t="s">
        <v>41</v>
      </c>
      <c r="AF1233">
        <f>IF(AE1233="website",1,0)</f>
        <v>1</v>
      </c>
    </row>
    <row r="1234" spans="1:32">
      <c r="A1234" t="s">
        <v>1881</v>
      </c>
      <c r="B1234" t="s">
        <v>33</v>
      </c>
      <c r="C1234" s="3">
        <f t="shared" si="361"/>
        <v>0</v>
      </c>
      <c r="D1234">
        <f t="shared" si="362"/>
        <v>1</v>
      </c>
      <c r="E1234" t="s">
        <v>986</v>
      </c>
      <c r="F1234" t="s">
        <v>941</v>
      </c>
      <c r="G1234" s="1">
        <v>29072</v>
      </c>
      <c r="H1234" s="2">
        <f t="shared" ca="1" si="363"/>
        <v>47</v>
      </c>
      <c r="I1234" s="2">
        <f t="shared" ca="1" si="364"/>
        <v>0.31428571428571428</v>
      </c>
      <c r="J1234" t="s">
        <v>45</v>
      </c>
      <c r="K1234" t="s">
        <v>37</v>
      </c>
      <c r="L1234">
        <f t="shared" si="365"/>
        <v>1</v>
      </c>
      <c r="M1234">
        <f t="shared" si="366"/>
        <v>0</v>
      </c>
      <c r="N1234">
        <f t="shared" si="367"/>
        <v>0</v>
      </c>
      <c r="O1234" t="s">
        <v>183</v>
      </c>
      <c r="P1234">
        <f t="shared" si="368"/>
        <v>0</v>
      </c>
      <c r="Q1234">
        <f t="shared" si="369"/>
        <v>0</v>
      </c>
      <c r="R1234">
        <f t="shared" si="370"/>
        <v>0</v>
      </c>
      <c r="S1234">
        <f t="shared" si="371"/>
        <v>0</v>
      </c>
      <c r="T1234">
        <f t="shared" si="372"/>
        <v>0</v>
      </c>
      <c r="U1234">
        <f t="shared" si="373"/>
        <v>0</v>
      </c>
      <c r="V1234">
        <f t="shared" si="374"/>
        <v>0</v>
      </c>
      <c r="W1234" t="s">
        <v>39</v>
      </c>
      <c r="X1234">
        <f t="shared" si="375"/>
        <v>1</v>
      </c>
      <c r="Y1234">
        <f t="shared" si="376"/>
        <v>0</v>
      </c>
      <c r="Z1234">
        <v>4</v>
      </c>
      <c r="AA1234">
        <f t="shared" si="377"/>
        <v>0.75</v>
      </c>
      <c r="AB1234" t="s">
        <v>46</v>
      </c>
      <c r="AC1234">
        <f t="shared" si="378"/>
        <v>0</v>
      </c>
      <c r="AD1234">
        <f t="shared" si="379"/>
        <v>0</v>
      </c>
      <c r="AE1234" t="s">
        <v>41</v>
      </c>
      <c r="AF1234">
        <f>IF(AE1234="website",1,0)</f>
        <v>1</v>
      </c>
    </row>
    <row r="1235" spans="1:32">
      <c r="A1235" t="s">
        <v>1882</v>
      </c>
      <c r="B1235" t="s">
        <v>33</v>
      </c>
      <c r="C1235" s="3">
        <f t="shared" si="361"/>
        <v>0</v>
      </c>
      <c r="D1235">
        <f t="shared" si="362"/>
        <v>1</v>
      </c>
      <c r="E1235" t="s">
        <v>615</v>
      </c>
      <c r="F1235" t="s">
        <v>904</v>
      </c>
      <c r="G1235" s="1">
        <v>20840</v>
      </c>
      <c r="H1235" s="2">
        <f t="shared" ca="1" si="363"/>
        <v>69</v>
      </c>
      <c r="I1235" s="2">
        <f t="shared" ca="1" si="364"/>
        <v>0.62857142857142856</v>
      </c>
      <c r="J1235" t="s">
        <v>36</v>
      </c>
      <c r="K1235" t="s">
        <v>37</v>
      </c>
      <c r="L1235">
        <f t="shared" si="365"/>
        <v>1</v>
      </c>
      <c r="M1235">
        <f t="shared" si="366"/>
        <v>0</v>
      </c>
      <c r="N1235">
        <f t="shared" si="367"/>
        <v>0</v>
      </c>
      <c r="O1235" t="s">
        <v>137</v>
      </c>
      <c r="P1235">
        <f t="shared" si="368"/>
        <v>0</v>
      </c>
      <c r="Q1235">
        <f t="shared" si="369"/>
        <v>0</v>
      </c>
      <c r="R1235">
        <f t="shared" si="370"/>
        <v>0</v>
      </c>
      <c r="S1235">
        <f t="shared" si="371"/>
        <v>0</v>
      </c>
      <c r="T1235">
        <f t="shared" si="372"/>
        <v>0</v>
      </c>
      <c r="U1235">
        <f t="shared" si="373"/>
        <v>0</v>
      </c>
      <c r="V1235">
        <f t="shared" si="374"/>
        <v>0</v>
      </c>
      <c r="W1235" t="s">
        <v>58</v>
      </c>
      <c r="X1235">
        <f t="shared" si="375"/>
        <v>0</v>
      </c>
      <c r="Y1235">
        <f t="shared" si="376"/>
        <v>1</v>
      </c>
      <c r="Z1235">
        <v>1</v>
      </c>
      <c r="AA1235">
        <f t="shared" si="377"/>
        <v>0</v>
      </c>
      <c r="AB1235" t="s">
        <v>46</v>
      </c>
      <c r="AC1235">
        <f t="shared" si="378"/>
        <v>0</v>
      </c>
      <c r="AD1235">
        <f t="shared" si="379"/>
        <v>0</v>
      </c>
      <c r="AE1235" t="s">
        <v>41</v>
      </c>
      <c r="AF1235">
        <f>IF(AE1235="website",1,0)</f>
        <v>1</v>
      </c>
    </row>
    <row r="1236" spans="1:32">
      <c r="A1236" t="s">
        <v>1883</v>
      </c>
      <c r="B1236" t="s">
        <v>33</v>
      </c>
      <c r="C1236" s="3">
        <f t="shared" si="361"/>
        <v>0</v>
      </c>
      <c r="D1236">
        <f t="shared" si="362"/>
        <v>1</v>
      </c>
      <c r="E1236" t="s">
        <v>419</v>
      </c>
      <c r="F1236" t="s">
        <v>730</v>
      </c>
      <c r="G1236" s="1">
        <v>20967</v>
      </c>
      <c r="H1236" s="2">
        <f t="shared" ca="1" si="363"/>
        <v>69</v>
      </c>
      <c r="I1236" s="2">
        <f t="shared" ca="1" si="364"/>
        <v>0.62857142857142856</v>
      </c>
      <c r="J1236" t="s">
        <v>45</v>
      </c>
      <c r="K1236" t="s">
        <v>37</v>
      </c>
      <c r="L1236">
        <f t="shared" si="365"/>
        <v>1</v>
      </c>
      <c r="M1236">
        <f t="shared" si="366"/>
        <v>0</v>
      </c>
      <c r="N1236">
        <f t="shared" si="367"/>
        <v>0</v>
      </c>
      <c r="O1236" t="s">
        <v>97</v>
      </c>
      <c r="P1236">
        <f t="shared" si="368"/>
        <v>0</v>
      </c>
      <c r="Q1236">
        <f t="shared" si="369"/>
        <v>0</v>
      </c>
      <c r="R1236">
        <f t="shared" si="370"/>
        <v>0</v>
      </c>
      <c r="S1236">
        <f t="shared" si="371"/>
        <v>0</v>
      </c>
      <c r="T1236">
        <f t="shared" si="372"/>
        <v>1</v>
      </c>
      <c r="U1236">
        <f t="shared" si="373"/>
        <v>0</v>
      </c>
      <c r="V1236">
        <f t="shared" si="374"/>
        <v>0</v>
      </c>
      <c r="W1236" t="s">
        <v>39</v>
      </c>
      <c r="X1236">
        <f t="shared" si="375"/>
        <v>1</v>
      </c>
      <c r="Y1236">
        <f t="shared" si="376"/>
        <v>0</v>
      </c>
      <c r="Z1236">
        <v>2</v>
      </c>
      <c r="AA1236">
        <f t="shared" si="377"/>
        <v>0.25</v>
      </c>
      <c r="AB1236" t="s">
        <v>46</v>
      </c>
      <c r="AC1236">
        <f t="shared" si="378"/>
        <v>0</v>
      </c>
      <c r="AD1236">
        <f t="shared" si="379"/>
        <v>0</v>
      </c>
      <c r="AE1236" t="s">
        <v>41</v>
      </c>
      <c r="AF1236">
        <f>IF(AE1236="website",1,0)</f>
        <v>1</v>
      </c>
    </row>
    <row r="1237" spans="1:32">
      <c r="A1237" t="s">
        <v>1884</v>
      </c>
      <c r="B1237" t="s">
        <v>33</v>
      </c>
      <c r="C1237" s="3">
        <f t="shared" si="361"/>
        <v>0</v>
      </c>
      <c r="D1237">
        <f t="shared" si="362"/>
        <v>1</v>
      </c>
      <c r="E1237" t="s">
        <v>575</v>
      </c>
      <c r="F1237" t="s">
        <v>876</v>
      </c>
      <c r="G1237" s="1">
        <v>26535</v>
      </c>
      <c r="H1237" s="2">
        <f t="shared" ca="1" si="363"/>
        <v>54</v>
      </c>
      <c r="I1237" s="2">
        <f t="shared" ca="1" si="364"/>
        <v>0.41428571428571431</v>
      </c>
      <c r="J1237" t="s">
        <v>45</v>
      </c>
      <c r="K1237" t="s">
        <v>37</v>
      </c>
      <c r="L1237">
        <f t="shared" si="365"/>
        <v>1</v>
      </c>
      <c r="M1237">
        <f t="shared" si="366"/>
        <v>0</v>
      </c>
      <c r="N1237">
        <f t="shared" si="367"/>
        <v>0</v>
      </c>
      <c r="O1237" t="s">
        <v>97</v>
      </c>
      <c r="P1237">
        <f t="shared" si="368"/>
        <v>0</v>
      </c>
      <c r="Q1237">
        <f t="shared" si="369"/>
        <v>0</v>
      </c>
      <c r="R1237">
        <f t="shared" si="370"/>
        <v>0</v>
      </c>
      <c r="S1237">
        <f t="shared" si="371"/>
        <v>0</v>
      </c>
      <c r="T1237">
        <f t="shared" si="372"/>
        <v>1</v>
      </c>
      <c r="U1237">
        <f t="shared" si="373"/>
        <v>0</v>
      </c>
      <c r="V1237">
        <f t="shared" si="374"/>
        <v>0</v>
      </c>
      <c r="W1237" t="s">
        <v>39</v>
      </c>
      <c r="X1237">
        <f t="shared" si="375"/>
        <v>1</v>
      </c>
      <c r="Y1237">
        <f t="shared" si="376"/>
        <v>0</v>
      </c>
      <c r="Z1237">
        <v>4</v>
      </c>
      <c r="AA1237">
        <f t="shared" si="377"/>
        <v>0.75</v>
      </c>
      <c r="AB1237" t="s">
        <v>40</v>
      </c>
      <c r="AC1237">
        <f t="shared" si="378"/>
        <v>0</v>
      </c>
      <c r="AD1237">
        <f t="shared" si="379"/>
        <v>0</v>
      </c>
      <c r="AE1237" t="s">
        <v>41</v>
      </c>
      <c r="AF1237">
        <f>IF(AE1237="website",1,0)</f>
        <v>1</v>
      </c>
    </row>
    <row r="1238" spans="1:32">
      <c r="A1238" t="s">
        <v>1885</v>
      </c>
      <c r="B1238" t="s">
        <v>33</v>
      </c>
      <c r="C1238" s="3">
        <f t="shared" si="361"/>
        <v>0</v>
      </c>
      <c r="D1238">
        <f t="shared" si="362"/>
        <v>1</v>
      </c>
      <c r="E1238" t="s">
        <v>259</v>
      </c>
      <c r="F1238" t="s">
        <v>876</v>
      </c>
      <c r="G1238" s="1">
        <v>15974</v>
      </c>
      <c r="H1238" s="2">
        <f t="shared" ca="1" si="363"/>
        <v>83</v>
      </c>
      <c r="I1238" s="2">
        <f t="shared" ca="1" si="364"/>
        <v>0.82857142857142863</v>
      </c>
      <c r="J1238" t="s">
        <v>36</v>
      </c>
      <c r="K1238" t="s">
        <v>248</v>
      </c>
      <c r="L1238">
        <f t="shared" si="365"/>
        <v>0</v>
      </c>
      <c r="M1238">
        <f t="shared" si="366"/>
        <v>0</v>
      </c>
      <c r="N1238">
        <f t="shared" si="367"/>
        <v>0</v>
      </c>
      <c r="O1238" t="s">
        <v>836</v>
      </c>
      <c r="P1238">
        <f t="shared" si="368"/>
        <v>0</v>
      </c>
      <c r="Q1238">
        <f t="shared" si="369"/>
        <v>0</v>
      </c>
      <c r="R1238">
        <f t="shared" si="370"/>
        <v>0</v>
      </c>
      <c r="S1238">
        <f t="shared" si="371"/>
        <v>0</v>
      </c>
      <c r="T1238">
        <f t="shared" si="372"/>
        <v>0</v>
      </c>
      <c r="U1238">
        <f t="shared" si="373"/>
        <v>0</v>
      </c>
      <c r="V1238">
        <f t="shared" si="374"/>
        <v>0</v>
      </c>
      <c r="W1238" t="s">
        <v>58</v>
      </c>
      <c r="X1238">
        <f t="shared" si="375"/>
        <v>0</v>
      </c>
      <c r="Y1238">
        <f t="shared" si="376"/>
        <v>1</v>
      </c>
      <c r="Z1238">
        <v>4</v>
      </c>
      <c r="AA1238">
        <f t="shared" si="377"/>
        <v>0.75</v>
      </c>
      <c r="AB1238" t="s">
        <v>40</v>
      </c>
      <c r="AC1238">
        <f t="shared" si="378"/>
        <v>0</v>
      </c>
      <c r="AD1238">
        <f t="shared" si="379"/>
        <v>0</v>
      </c>
      <c r="AE1238" t="s">
        <v>41</v>
      </c>
      <c r="AF1238">
        <f>IF(AE1238="website",1,0)</f>
        <v>1</v>
      </c>
    </row>
    <row r="1239" spans="1:32">
      <c r="A1239" t="s">
        <v>1886</v>
      </c>
      <c r="B1239" t="s">
        <v>33</v>
      </c>
      <c r="C1239" s="3">
        <f t="shared" si="361"/>
        <v>0</v>
      </c>
      <c r="D1239">
        <f t="shared" si="362"/>
        <v>1</v>
      </c>
      <c r="E1239" t="s">
        <v>910</v>
      </c>
      <c r="F1239" t="s">
        <v>378</v>
      </c>
      <c r="G1239" s="1">
        <v>16914</v>
      </c>
      <c r="H1239" s="2">
        <f t="shared" ca="1" si="363"/>
        <v>80</v>
      </c>
      <c r="I1239" s="2">
        <f t="shared" ca="1" si="364"/>
        <v>0.7857142857142857</v>
      </c>
      <c r="J1239" t="s">
        <v>45</v>
      </c>
      <c r="K1239" t="s">
        <v>37</v>
      </c>
      <c r="L1239">
        <f t="shared" si="365"/>
        <v>1</v>
      </c>
      <c r="M1239">
        <f t="shared" si="366"/>
        <v>0</v>
      </c>
      <c r="N1239">
        <f t="shared" si="367"/>
        <v>0</v>
      </c>
      <c r="O1239" t="s">
        <v>124</v>
      </c>
      <c r="P1239">
        <f t="shared" si="368"/>
        <v>0</v>
      </c>
      <c r="Q1239">
        <f t="shared" si="369"/>
        <v>0</v>
      </c>
      <c r="R1239">
        <f t="shared" si="370"/>
        <v>0</v>
      </c>
      <c r="S1239">
        <f t="shared" si="371"/>
        <v>0</v>
      </c>
      <c r="T1239">
        <f t="shared" si="372"/>
        <v>0</v>
      </c>
      <c r="U1239">
        <f t="shared" si="373"/>
        <v>1</v>
      </c>
      <c r="V1239">
        <f t="shared" si="374"/>
        <v>0</v>
      </c>
      <c r="W1239" t="s">
        <v>39</v>
      </c>
      <c r="X1239">
        <f t="shared" si="375"/>
        <v>1</v>
      </c>
      <c r="Y1239">
        <f t="shared" si="376"/>
        <v>0</v>
      </c>
      <c r="Z1239">
        <v>1</v>
      </c>
      <c r="AA1239">
        <f t="shared" si="377"/>
        <v>0</v>
      </c>
      <c r="AB1239" t="s">
        <v>40</v>
      </c>
      <c r="AC1239">
        <f t="shared" si="378"/>
        <v>1</v>
      </c>
      <c r="AD1239">
        <f t="shared" si="379"/>
        <v>0</v>
      </c>
      <c r="AE1239" t="s">
        <v>50</v>
      </c>
      <c r="AF1239">
        <f>IF(AE1239="website",1,0)</f>
        <v>0</v>
      </c>
    </row>
    <row r="1240" spans="1:32">
      <c r="A1240" t="s">
        <v>1887</v>
      </c>
      <c r="B1240" t="s">
        <v>33</v>
      </c>
      <c r="C1240" s="3">
        <f t="shared" si="361"/>
        <v>0</v>
      </c>
      <c r="D1240">
        <f t="shared" si="362"/>
        <v>1</v>
      </c>
      <c r="E1240" t="s">
        <v>567</v>
      </c>
      <c r="F1240" t="s">
        <v>613</v>
      </c>
      <c r="G1240" s="1">
        <v>19397</v>
      </c>
      <c r="H1240" s="2">
        <f t="shared" ca="1" si="363"/>
        <v>73</v>
      </c>
      <c r="I1240" s="2">
        <f t="shared" ca="1" si="364"/>
        <v>0.68571428571428572</v>
      </c>
      <c r="J1240" t="s">
        <v>36</v>
      </c>
      <c r="K1240" t="s">
        <v>37</v>
      </c>
      <c r="L1240">
        <f t="shared" si="365"/>
        <v>1</v>
      </c>
      <c r="M1240">
        <f t="shared" si="366"/>
        <v>0</v>
      </c>
      <c r="N1240">
        <f t="shared" si="367"/>
        <v>0</v>
      </c>
      <c r="O1240" t="s">
        <v>76</v>
      </c>
      <c r="P1240">
        <f t="shared" si="368"/>
        <v>0</v>
      </c>
      <c r="Q1240">
        <f t="shared" si="369"/>
        <v>1</v>
      </c>
      <c r="R1240">
        <f t="shared" si="370"/>
        <v>0</v>
      </c>
      <c r="S1240">
        <f t="shared" si="371"/>
        <v>0</v>
      </c>
      <c r="T1240">
        <f t="shared" si="372"/>
        <v>0</v>
      </c>
      <c r="U1240">
        <f t="shared" si="373"/>
        <v>0</v>
      </c>
      <c r="V1240">
        <f t="shared" si="374"/>
        <v>0</v>
      </c>
      <c r="W1240" t="s">
        <v>39</v>
      </c>
      <c r="X1240">
        <f t="shared" si="375"/>
        <v>1</v>
      </c>
      <c r="Y1240">
        <f t="shared" si="376"/>
        <v>0</v>
      </c>
      <c r="Z1240">
        <v>3</v>
      </c>
      <c r="AA1240">
        <f t="shared" si="377"/>
        <v>0.5</v>
      </c>
      <c r="AB1240" t="s">
        <v>46</v>
      </c>
      <c r="AC1240">
        <f t="shared" si="378"/>
        <v>1</v>
      </c>
      <c r="AD1240">
        <f t="shared" si="379"/>
        <v>0</v>
      </c>
      <c r="AE1240" t="s">
        <v>50</v>
      </c>
      <c r="AF1240">
        <f>IF(AE1240="website",1,0)</f>
        <v>0</v>
      </c>
    </row>
    <row r="1241" spans="1:32">
      <c r="A1241" t="s">
        <v>1888</v>
      </c>
      <c r="B1241" t="s">
        <v>33</v>
      </c>
      <c r="C1241" s="3">
        <f t="shared" si="361"/>
        <v>0</v>
      </c>
      <c r="D1241">
        <f t="shared" si="362"/>
        <v>1</v>
      </c>
      <c r="E1241" t="s">
        <v>800</v>
      </c>
      <c r="F1241" t="s">
        <v>61</v>
      </c>
      <c r="G1241" s="1">
        <v>30998</v>
      </c>
      <c r="H1241" s="2">
        <f t="shared" ca="1" si="363"/>
        <v>41</v>
      </c>
      <c r="I1241" s="2">
        <f t="shared" ca="1" si="364"/>
        <v>0.22857142857142856</v>
      </c>
      <c r="J1241" t="s">
        <v>36</v>
      </c>
      <c r="K1241" t="s">
        <v>37</v>
      </c>
      <c r="L1241">
        <f t="shared" si="365"/>
        <v>1</v>
      </c>
      <c r="M1241">
        <f t="shared" si="366"/>
        <v>0</v>
      </c>
      <c r="N1241">
        <f t="shared" si="367"/>
        <v>0</v>
      </c>
      <c r="O1241" t="s">
        <v>124</v>
      </c>
      <c r="P1241">
        <f t="shared" si="368"/>
        <v>0</v>
      </c>
      <c r="Q1241">
        <f t="shared" si="369"/>
        <v>0</v>
      </c>
      <c r="R1241">
        <f t="shared" si="370"/>
        <v>0</v>
      </c>
      <c r="S1241">
        <f t="shared" si="371"/>
        <v>0</v>
      </c>
      <c r="T1241">
        <f t="shared" si="372"/>
        <v>0</v>
      </c>
      <c r="U1241">
        <f t="shared" si="373"/>
        <v>1</v>
      </c>
      <c r="V1241">
        <f t="shared" si="374"/>
        <v>0</v>
      </c>
      <c r="W1241" t="s">
        <v>58</v>
      </c>
      <c r="X1241">
        <f t="shared" si="375"/>
        <v>0</v>
      </c>
      <c r="Y1241">
        <f t="shared" si="376"/>
        <v>1</v>
      </c>
      <c r="Z1241">
        <v>4</v>
      </c>
      <c r="AA1241">
        <f t="shared" si="377"/>
        <v>0.75</v>
      </c>
      <c r="AB1241" t="s">
        <v>40</v>
      </c>
      <c r="AC1241">
        <f t="shared" si="378"/>
        <v>0</v>
      </c>
      <c r="AD1241">
        <f t="shared" si="379"/>
        <v>0</v>
      </c>
      <c r="AE1241" t="s">
        <v>41</v>
      </c>
      <c r="AF1241">
        <f>IF(AE1241="website",1,0)</f>
        <v>1</v>
      </c>
    </row>
    <row r="1242" spans="1:32">
      <c r="A1242" t="s">
        <v>1889</v>
      </c>
      <c r="B1242" t="s">
        <v>33</v>
      </c>
      <c r="C1242" s="3">
        <f t="shared" si="361"/>
        <v>0</v>
      </c>
      <c r="D1242">
        <f t="shared" si="362"/>
        <v>1</v>
      </c>
      <c r="E1242" t="s">
        <v>784</v>
      </c>
      <c r="F1242" t="s">
        <v>610</v>
      </c>
      <c r="G1242" s="1">
        <v>26895</v>
      </c>
      <c r="H1242" s="2">
        <f t="shared" ca="1" si="363"/>
        <v>53</v>
      </c>
      <c r="I1242" s="2">
        <f t="shared" ca="1" si="364"/>
        <v>0.4</v>
      </c>
      <c r="J1242" t="s">
        <v>36</v>
      </c>
      <c r="K1242" t="s">
        <v>37</v>
      </c>
      <c r="L1242">
        <f t="shared" si="365"/>
        <v>1</v>
      </c>
      <c r="M1242">
        <f t="shared" si="366"/>
        <v>0</v>
      </c>
      <c r="N1242">
        <f t="shared" si="367"/>
        <v>0</v>
      </c>
      <c r="O1242" t="s">
        <v>38</v>
      </c>
      <c r="P1242">
        <f t="shared" si="368"/>
        <v>1</v>
      </c>
      <c r="Q1242">
        <f t="shared" si="369"/>
        <v>0</v>
      </c>
      <c r="R1242">
        <f t="shared" si="370"/>
        <v>0</v>
      </c>
      <c r="S1242">
        <f t="shared" si="371"/>
        <v>0</v>
      </c>
      <c r="T1242">
        <f t="shared" si="372"/>
        <v>0</v>
      </c>
      <c r="U1242">
        <f t="shared" si="373"/>
        <v>0</v>
      </c>
      <c r="V1242">
        <f t="shared" si="374"/>
        <v>0</v>
      </c>
      <c r="W1242" t="s">
        <v>39</v>
      </c>
      <c r="X1242">
        <f t="shared" si="375"/>
        <v>1</v>
      </c>
      <c r="Y1242">
        <f t="shared" si="376"/>
        <v>0</v>
      </c>
      <c r="Z1242">
        <v>1</v>
      </c>
      <c r="AA1242">
        <f t="shared" si="377"/>
        <v>0</v>
      </c>
      <c r="AB1242" t="s">
        <v>46</v>
      </c>
      <c r="AC1242">
        <f t="shared" si="378"/>
        <v>1</v>
      </c>
      <c r="AD1242">
        <f t="shared" si="379"/>
        <v>0</v>
      </c>
      <c r="AE1242" t="s">
        <v>50</v>
      </c>
      <c r="AF1242">
        <f>IF(AE1242="website",1,0)</f>
        <v>0</v>
      </c>
    </row>
    <row r="1243" spans="1:32">
      <c r="A1243" t="s">
        <v>1890</v>
      </c>
      <c r="B1243" t="s">
        <v>33</v>
      </c>
      <c r="C1243" s="3">
        <f t="shared" si="361"/>
        <v>0</v>
      </c>
      <c r="D1243">
        <f t="shared" si="362"/>
        <v>1</v>
      </c>
      <c r="E1243" t="s">
        <v>722</v>
      </c>
      <c r="F1243" t="s">
        <v>745</v>
      </c>
      <c r="G1243" s="1">
        <v>22546</v>
      </c>
      <c r="H1243" s="2">
        <f t="shared" ca="1" si="363"/>
        <v>65</v>
      </c>
      <c r="I1243" s="2">
        <f t="shared" ca="1" si="364"/>
        <v>0.5714285714285714</v>
      </c>
      <c r="J1243" t="s">
        <v>45</v>
      </c>
      <c r="K1243" t="s">
        <v>37</v>
      </c>
      <c r="L1243">
        <f t="shared" si="365"/>
        <v>1</v>
      </c>
      <c r="M1243">
        <f t="shared" si="366"/>
        <v>0</v>
      </c>
      <c r="N1243">
        <f t="shared" si="367"/>
        <v>0</v>
      </c>
      <c r="O1243" t="s">
        <v>38</v>
      </c>
      <c r="P1243">
        <f t="shared" si="368"/>
        <v>1</v>
      </c>
      <c r="Q1243">
        <f t="shared" si="369"/>
        <v>0</v>
      </c>
      <c r="R1243">
        <f t="shared" si="370"/>
        <v>0</v>
      </c>
      <c r="S1243">
        <f t="shared" si="371"/>
        <v>0</v>
      </c>
      <c r="T1243">
        <f t="shared" si="372"/>
        <v>0</v>
      </c>
      <c r="U1243">
        <f t="shared" si="373"/>
        <v>0</v>
      </c>
      <c r="V1243">
        <f t="shared" si="374"/>
        <v>0</v>
      </c>
      <c r="W1243" t="s">
        <v>39</v>
      </c>
      <c r="X1243">
        <f t="shared" si="375"/>
        <v>1</v>
      </c>
      <c r="Y1243">
        <f t="shared" si="376"/>
        <v>0</v>
      </c>
      <c r="Z1243">
        <v>3</v>
      </c>
      <c r="AA1243">
        <f t="shared" si="377"/>
        <v>0.5</v>
      </c>
      <c r="AB1243" t="s">
        <v>40</v>
      </c>
      <c r="AC1243">
        <f t="shared" si="378"/>
        <v>0</v>
      </c>
      <c r="AD1243">
        <f t="shared" si="379"/>
        <v>0</v>
      </c>
      <c r="AE1243" t="s">
        <v>41</v>
      </c>
      <c r="AF1243">
        <f>IF(AE1243="website",1,0)</f>
        <v>1</v>
      </c>
    </row>
    <row r="1244" spans="1:32">
      <c r="A1244" t="s">
        <v>1891</v>
      </c>
      <c r="B1244" t="s">
        <v>33</v>
      </c>
      <c r="C1244" s="3">
        <f t="shared" si="361"/>
        <v>0</v>
      </c>
      <c r="D1244">
        <f t="shared" si="362"/>
        <v>1</v>
      </c>
      <c r="E1244" t="s">
        <v>1110</v>
      </c>
      <c r="F1244" t="s">
        <v>308</v>
      </c>
      <c r="G1244" s="1">
        <v>17810</v>
      </c>
      <c r="H1244" s="2">
        <f t="shared" ca="1" si="363"/>
        <v>78</v>
      </c>
      <c r="I1244" s="2">
        <f t="shared" ca="1" si="364"/>
        <v>0.75714285714285712</v>
      </c>
      <c r="J1244" t="s">
        <v>45</v>
      </c>
      <c r="K1244" t="s">
        <v>37</v>
      </c>
      <c r="L1244">
        <f t="shared" si="365"/>
        <v>1</v>
      </c>
      <c r="M1244">
        <f t="shared" si="366"/>
        <v>0</v>
      </c>
      <c r="N1244">
        <f t="shared" si="367"/>
        <v>0</v>
      </c>
      <c r="O1244" t="s">
        <v>137</v>
      </c>
      <c r="P1244">
        <f t="shared" si="368"/>
        <v>0</v>
      </c>
      <c r="Q1244">
        <f t="shared" si="369"/>
        <v>0</v>
      </c>
      <c r="R1244">
        <f t="shared" si="370"/>
        <v>0</v>
      </c>
      <c r="S1244">
        <f t="shared" si="371"/>
        <v>0</v>
      </c>
      <c r="T1244">
        <f t="shared" si="372"/>
        <v>0</v>
      </c>
      <c r="U1244">
        <f t="shared" si="373"/>
        <v>0</v>
      </c>
      <c r="V1244">
        <f t="shared" si="374"/>
        <v>0</v>
      </c>
      <c r="W1244" t="s">
        <v>39</v>
      </c>
      <c r="X1244">
        <f t="shared" si="375"/>
        <v>1</v>
      </c>
      <c r="Y1244">
        <f t="shared" si="376"/>
        <v>0</v>
      </c>
      <c r="Z1244">
        <v>1</v>
      </c>
      <c r="AA1244">
        <f t="shared" si="377"/>
        <v>0</v>
      </c>
      <c r="AB1244" t="s">
        <v>46</v>
      </c>
      <c r="AC1244">
        <f t="shared" si="378"/>
        <v>0</v>
      </c>
      <c r="AD1244">
        <f t="shared" si="379"/>
        <v>0</v>
      </c>
      <c r="AE1244" t="s">
        <v>41</v>
      </c>
      <c r="AF1244">
        <f>IF(AE1244="website",1,0)</f>
        <v>1</v>
      </c>
    </row>
    <row r="1245" spans="1:32">
      <c r="A1245" t="s">
        <v>1892</v>
      </c>
      <c r="B1245" t="s">
        <v>33</v>
      </c>
      <c r="C1245" s="3">
        <f t="shared" si="361"/>
        <v>0</v>
      </c>
      <c r="D1245">
        <f t="shared" si="362"/>
        <v>1</v>
      </c>
      <c r="E1245" t="s">
        <v>126</v>
      </c>
      <c r="F1245" t="s">
        <v>685</v>
      </c>
      <c r="G1245" s="1">
        <v>33765</v>
      </c>
      <c r="H1245" s="2">
        <f t="shared" ca="1" si="363"/>
        <v>34</v>
      </c>
      <c r="I1245" s="2">
        <f t="shared" ca="1" si="364"/>
        <v>0.12857142857142856</v>
      </c>
      <c r="J1245" t="s">
        <v>45</v>
      </c>
      <c r="K1245" t="s">
        <v>37</v>
      </c>
      <c r="L1245">
        <f t="shared" si="365"/>
        <v>1</v>
      </c>
      <c r="M1245">
        <f t="shared" si="366"/>
        <v>0</v>
      </c>
      <c r="N1245">
        <f t="shared" si="367"/>
        <v>0</v>
      </c>
      <c r="O1245" t="s">
        <v>183</v>
      </c>
      <c r="P1245">
        <f t="shared" si="368"/>
        <v>0</v>
      </c>
      <c r="Q1245">
        <f t="shared" si="369"/>
        <v>0</v>
      </c>
      <c r="R1245">
        <f t="shared" si="370"/>
        <v>0</v>
      </c>
      <c r="S1245">
        <f t="shared" si="371"/>
        <v>0</v>
      </c>
      <c r="T1245">
        <f t="shared" si="372"/>
        <v>0</v>
      </c>
      <c r="U1245">
        <f t="shared" si="373"/>
        <v>0</v>
      </c>
      <c r="V1245">
        <f t="shared" si="374"/>
        <v>0</v>
      </c>
      <c r="W1245" t="s">
        <v>58</v>
      </c>
      <c r="X1245">
        <f t="shared" si="375"/>
        <v>0</v>
      </c>
      <c r="Y1245">
        <f t="shared" si="376"/>
        <v>1</v>
      </c>
      <c r="Z1245">
        <v>5</v>
      </c>
      <c r="AA1245">
        <f t="shared" si="377"/>
        <v>1</v>
      </c>
      <c r="AB1245" t="s">
        <v>40</v>
      </c>
      <c r="AC1245">
        <f t="shared" si="378"/>
        <v>0</v>
      </c>
      <c r="AD1245">
        <f t="shared" si="379"/>
        <v>0</v>
      </c>
      <c r="AE1245" t="s">
        <v>41</v>
      </c>
      <c r="AF1245">
        <f>IF(AE1245="website",1,0)</f>
        <v>1</v>
      </c>
    </row>
    <row r="1246" spans="1:32">
      <c r="A1246" t="s">
        <v>1893</v>
      </c>
      <c r="B1246" t="s">
        <v>33</v>
      </c>
      <c r="C1246" s="3">
        <f t="shared" si="361"/>
        <v>0</v>
      </c>
      <c r="D1246">
        <f t="shared" si="362"/>
        <v>1</v>
      </c>
      <c r="E1246" t="s">
        <v>858</v>
      </c>
      <c r="F1246" t="s">
        <v>641</v>
      </c>
      <c r="G1246" s="1">
        <v>23052</v>
      </c>
      <c r="H1246" s="2">
        <f t="shared" ca="1" si="363"/>
        <v>63</v>
      </c>
      <c r="I1246" s="2">
        <f t="shared" ca="1" si="364"/>
        <v>0.54285714285714282</v>
      </c>
      <c r="J1246" t="s">
        <v>45</v>
      </c>
      <c r="K1246" t="s">
        <v>37</v>
      </c>
      <c r="L1246">
        <f t="shared" si="365"/>
        <v>1</v>
      </c>
      <c r="M1246">
        <f t="shared" si="366"/>
        <v>0</v>
      </c>
      <c r="N1246">
        <f t="shared" si="367"/>
        <v>0</v>
      </c>
      <c r="O1246" t="s">
        <v>38</v>
      </c>
      <c r="P1246">
        <f t="shared" si="368"/>
        <v>1</v>
      </c>
      <c r="Q1246">
        <f t="shared" si="369"/>
        <v>0</v>
      </c>
      <c r="R1246">
        <f t="shared" si="370"/>
        <v>0</v>
      </c>
      <c r="S1246">
        <f t="shared" si="371"/>
        <v>0</v>
      </c>
      <c r="T1246">
        <f t="shared" si="372"/>
        <v>0</v>
      </c>
      <c r="U1246">
        <f t="shared" si="373"/>
        <v>0</v>
      </c>
      <c r="V1246">
        <f t="shared" si="374"/>
        <v>0</v>
      </c>
      <c r="W1246" t="s">
        <v>39</v>
      </c>
      <c r="X1246">
        <f t="shared" si="375"/>
        <v>1</v>
      </c>
      <c r="Y1246">
        <f t="shared" si="376"/>
        <v>0</v>
      </c>
      <c r="Z1246">
        <v>3</v>
      </c>
      <c r="AA1246">
        <f t="shared" si="377"/>
        <v>0.5</v>
      </c>
      <c r="AB1246" t="s">
        <v>40</v>
      </c>
      <c r="AC1246">
        <f t="shared" si="378"/>
        <v>1</v>
      </c>
      <c r="AD1246">
        <f t="shared" si="379"/>
        <v>0</v>
      </c>
      <c r="AE1246" t="s">
        <v>50</v>
      </c>
      <c r="AF1246">
        <f>IF(AE1246="website",1,0)</f>
        <v>0</v>
      </c>
    </row>
    <row r="1247" spans="1:32">
      <c r="A1247" t="s">
        <v>1894</v>
      </c>
      <c r="B1247" t="s">
        <v>33</v>
      </c>
      <c r="C1247" s="3">
        <f t="shared" si="361"/>
        <v>0</v>
      </c>
      <c r="D1247">
        <f t="shared" si="362"/>
        <v>1</v>
      </c>
      <c r="E1247" t="s">
        <v>647</v>
      </c>
      <c r="F1247" t="s">
        <v>911</v>
      </c>
      <c r="G1247" s="1">
        <v>15836</v>
      </c>
      <c r="H1247" s="2">
        <f t="shared" ca="1" si="363"/>
        <v>83</v>
      </c>
      <c r="I1247" s="2">
        <f t="shared" ca="1" si="364"/>
        <v>0.82857142857142863</v>
      </c>
      <c r="J1247" t="s">
        <v>36</v>
      </c>
      <c r="K1247" t="s">
        <v>65</v>
      </c>
      <c r="L1247">
        <f t="shared" si="365"/>
        <v>0</v>
      </c>
      <c r="M1247">
        <f t="shared" si="366"/>
        <v>1</v>
      </c>
      <c r="N1247">
        <f t="shared" si="367"/>
        <v>0</v>
      </c>
      <c r="O1247" t="s">
        <v>843</v>
      </c>
      <c r="P1247">
        <f t="shared" si="368"/>
        <v>0</v>
      </c>
      <c r="Q1247">
        <f t="shared" si="369"/>
        <v>0</v>
      </c>
      <c r="R1247">
        <f t="shared" si="370"/>
        <v>0</v>
      </c>
      <c r="S1247">
        <f t="shared" si="371"/>
        <v>0</v>
      </c>
      <c r="T1247">
        <f t="shared" si="372"/>
        <v>0</v>
      </c>
      <c r="U1247">
        <f t="shared" si="373"/>
        <v>0</v>
      </c>
      <c r="V1247">
        <f t="shared" si="374"/>
        <v>0</v>
      </c>
      <c r="W1247" t="s">
        <v>39</v>
      </c>
      <c r="X1247">
        <f t="shared" si="375"/>
        <v>1</v>
      </c>
      <c r="Y1247">
        <f t="shared" si="376"/>
        <v>0</v>
      </c>
      <c r="Z1247">
        <v>2</v>
      </c>
      <c r="AA1247">
        <f t="shared" si="377"/>
        <v>0.25</v>
      </c>
      <c r="AB1247" t="s">
        <v>46</v>
      </c>
      <c r="AC1247">
        <f t="shared" si="378"/>
        <v>1</v>
      </c>
      <c r="AD1247">
        <f t="shared" si="379"/>
        <v>0</v>
      </c>
      <c r="AE1247" t="s">
        <v>50</v>
      </c>
      <c r="AF1247">
        <f>IF(AE1247="website",1,0)</f>
        <v>0</v>
      </c>
    </row>
    <row r="1248" spans="1:32">
      <c r="A1248" t="s">
        <v>1895</v>
      </c>
      <c r="B1248" t="s">
        <v>33</v>
      </c>
      <c r="C1248" s="3">
        <f t="shared" si="361"/>
        <v>0</v>
      </c>
      <c r="D1248">
        <f t="shared" si="362"/>
        <v>1</v>
      </c>
      <c r="E1248" t="s">
        <v>782</v>
      </c>
      <c r="F1248" t="s">
        <v>620</v>
      </c>
      <c r="G1248" s="1">
        <v>20919</v>
      </c>
      <c r="H1248" s="2">
        <f t="shared" ca="1" si="363"/>
        <v>69</v>
      </c>
      <c r="I1248" s="2">
        <f t="shared" ca="1" si="364"/>
        <v>0.62857142857142856</v>
      </c>
      <c r="J1248" t="s">
        <v>36</v>
      </c>
      <c r="K1248" t="s">
        <v>37</v>
      </c>
      <c r="L1248">
        <f t="shared" si="365"/>
        <v>1</v>
      </c>
      <c r="M1248">
        <f t="shared" si="366"/>
        <v>0</v>
      </c>
      <c r="N1248">
        <f t="shared" si="367"/>
        <v>0</v>
      </c>
      <c r="O1248" t="s">
        <v>124</v>
      </c>
      <c r="P1248">
        <f t="shared" si="368"/>
        <v>0</v>
      </c>
      <c r="Q1248">
        <f t="shared" si="369"/>
        <v>0</v>
      </c>
      <c r="R1248">
        <f t="shared" si="370"/>
        <v>0</v>
      </c>
      <c r="S1248">
        <f t="shared" si="371"/>
        <v>0</v>
      </c>
      <c r="T1248">
        <f t="shared" si="372"/>
        <v>0</v>
      </c>
      <c r="U1248">
        <f t="shared" si="373"/>
        <v>1</v>
      </c>
      <c r="V1248">
        <f t="shared" si="374"/>
        <v>0</v>
      </c>
      <c r="W1248" t="s">
        <v>58</v>
      </c>
      <c r="X1248">
        <f t="shared" si="375"/>
        <v>0</v>
      </c>
      <c r="Y1248">
        <f t="shared" si="376"/>
        <v>1</v>
      </c>
      <c r="Z1248">
        <v>2</v>
      </c>
      <c r="AA1248">
        <f t="shared" si="377"/>
        <v>0.25</v>
      </c>
      <c r="AB1248" t="s">
        <v>46</v>
      </c>
      <c r="AC1248">
        <f t="shared" si="378"/>
        <v>0</v>
      </c>
      <c r="AD1248">
        <f t="shared" si="379"/>
        <v>0</v>
      </c>
      <c r="AE1248" t="s">
        <v>41</v>
      </c>
      <c r="AF1248">
        <f>IF(AE1248="website",1,0)</f>
        <v>1</v>
      </c>
    </row>
    <row r="1249" spans="1:32">
      <c r="A1249" t="s">
        <v>1896</v>
      </c>
      <c r="B1249" t="s">
        <v>33</v>
      </c>
      <c r="C1249" s="3">
        <f t="shared" si="361"/>
        <v>0</v>
      </c>
      <c r="D1249">
        <f t="shared" si="362"/>
        <v>1</v>
      </c>
      <c r="E1249" t="s">
        <v>759</v>
      </c>
      <c r="F1249" t="s">
        <v>941</v>
      </c>
      <c r="G1249" s="1">
        <v>27945</v>
      </c>
      <c r="H1249" s="2">
        <f t="shared" ca="1" si="363"/>
        <v>50</v>
      </c>
      <c r="I1249" s="2">
        <f t="shared" ca="1" si="364"/>
        <v>0.35714285714285715</v>
      </c>
      <c r="J1249" t="s">
        <v>36</v>
      </c>
      <c r="K1249" t="s">
        <v>37</v>
      </c>
      <c r="L1249">
        <f t="shared" si="365"/>
        <v>1</v>
      </c>
      <c r="M1249">
        <f t="shared" si="366"/>
        <v>0</v>
      </c>
      <c r="N1249">
        <f t="shared" si="367"/>
        <v>0</v>
      </c>
      <c r="O1249" t="s">
        <v>97</v>
      </c>
      <c r="P1249">
        <f t="shared" si="368"/>
        <v>0</v>
      </c>
      <c r="Q1249">
        <f t="shared" si="369"/>
        <v>0</v>
      </c>
      <c r="R1249">
        <f t="shared" si="370"/>
        <v>0</v>
      </c>
      <c r="S1249">
        <f t="shared" si="371"/>
        <v>0</v>
      </c>
      <c r="T1249">
        <f t="shared" si="372"/>
        <v>1</v>
      </c>
      <c r="U1249">
        <f t="shared" si="373"/>
        <v>0</v>
      </c>
      <c r="V1249">
        <f t="shared" si="374"/>
        <v>0</v>
      </c>
      <c r="W1249" t="s">
        <v>39</v>
      </c>
      <c r="X1249">
        <f t="shared" si="375"/>
        <v>1</v>
      </c>
      <c r="Y1249">
        <f t="shared" si="376"/>
        <v>0</v>
      </c>
      <c r="Z1249">
        <v>3</v>
      </c>
      <c r="AA1249">
        <f t="shared" si="377"/>
        <v>0.5</v>
      </c>
      <c r="AB1249" t="s">
        <v>46</v>
      </c>
      <c r="AC1249">
        <f t="shared" si="378"/>
        <v>1</v>
      </c>
      <c r="AD1249">
        <f t="shared" si="379"/>
        <v>0</v>
      </c>
      <c r="AE1249" t="s">
        <v>50</v>
      </c>
      <c r="AF1249">
        <f>IF(AE1249="website",1,0)</f>
        <v>0</v>
      </c>
    </row>
    <row r="1250" spans="1:32">
      <c r="A1250" t="s">
        <v>1897</v>
      </c>
      <c r="B1250" t="s">
        <v>33</v>
      </c>
      <c r="C1250" s="3">
        <f t="shared" si="361"/>
        <v>0</v>
      </c>
      <c r="D1250">
        <f t="shared" si="362"/>
        <v>1</v>
      </c>
      <c r="E1250" t="s">
        <v>1087</v>
      </c>
      <c r="F1250" t="s">
        <v>659</v>
      </c>
      <c r="G1250" s="1">
        <v>26128</v>
      </c>
      <c r="H1250" s="2">
        <f t="shared" ca="1" si="363"/>
        <v>55</v>
      </c>
      <c r="I1250" s="2">
        <f t="shared" ca="1" si="364"/>
        <v>0.42857142857142855</v>
      </c>
      <c r="J1250" t="s">
        <v>36</v>
      </c>
      <c r="K1250" t="s">
        <v>37</v>
      </c>
      <c r="L1250">
        <f t="shared" si="365"/>
        <v>1</v>
      </c>
      <c r="M1250">
        <f t="shared" si="366"/>
        <v>0</v>
      </c>
      <c r="N1250">
        <f t="shared" si="367"/>
        <v>0</v>
      </c>
      <c r="O1250" t="s">
        <v>38</v>
      </c>
      <c r="P1250">
        <f t="shared" si="368"/>
        <v>1</v>
      </c>
      <c r="Q1250">
        <f t="shared" si="369"/>
        <v>0</v>
      </c>
      <c r="R1250">
        <f t="shared" si="370"/>
        <v>0</v>
      </c>
      <c r="S1250">
        <f t="shared" si="371"/>
        <v>0</v>
      </c>
      <c r="T1250">
        <f t="shared" si="372"/>
        <v>0</v>
      </c>
      <c r="U1250">
        <f t="shared" si="373"/>
        <v>0</v>
      </c>
      <c r="V1250">
        <f t="shared" si="374"/>
        <v>0</v>
      </c>
      <c r="W1250" t="s">
        <v>58</v>
      </c>
      <c r="X1250">
        <f t="shared" si="375"/>
        <v>0</v>
      </c>
      <c r="Y1250">
        <f t="shared" si="376"/>
        <v>1</v>
      </c>
      <c r="Z1250">
        <v>1</v>
      </c>
      <c r="AA1250">
        <f t="shared" si="377"/>
        <v>0</v>
      </c>
      <c r="AB1250" t="s">
        <v>46</v>
      </c>
      <c r="AC1250">
        <f t="shared" si="378"/>
        <v>0</v>
      </c>
      <c r="AD1250">
        <f t="shared" si="379"/>
        <v>0</v>
      </c>
      <c r="AE1250" t="s">
        <v>41</v>
      </c>
      <c r="AF1250">
        <f>IF(AE1250="website",1,0)</f>
        <v>1</v>
      </c>
    </row>
    <row r="1251" spans="1:32">
      <c r="A1251" t="s">
        <v>1898</v>
      </c>
      <c r="B1251" t="s">
        <v>33</v>
      </c>
      <c r="C1251" s="3">
        <f t="shared" si="361"/>
        <v>0</v>
      </c>
      <c r="D1251">
        <f t="shared" si="362"/>
        <v>1</v>
      </c>
      <c r="E1251" t="s">
        <v>700</v>
      </c>
      <c r="F1251" t="s">
        <v>372</v>
      </c>
      <c r="G1251" s="1">
        <v>18372</v>
      </c>
      <c r="H1251" s="2">
        <f t="shared" ca="1" si="363"/>
        <v>76</v>
      </c>
      <c r="I1251" s="2">
        <f t="shared" ca="1" si="364"/>
        <v>0.72857142857142854</v>
      </c>
      <c r="J1251" t="s">
        <v>45</v>
      </c>
      <c r="K1251" t="s">
        <v>37</v>
      </c>
      <c r="L1251">
        <f t="shared" si="365"/>
        <v>1</v>
      </c>
      <c r="M1251">
        <f t="shared" si="366"/>
        <v>0</v>
      </c>
      <c r="N1251">
        <f t="shared" si="367"/>
        <v>0</v>
      </c>
      <c r="O1251" t="s">
        <v>124</v>
      </c>
      <c r="P1251">
        <f t="shared" si="368"/>
        <v>0</v>
      </c>
      <c r="Q1251">
        <f t="shared" si="369"/>
        <v>0</v>
      </c>
      <c r="R1251">
        <f t="shared" si="370"/>
        <v>0</v>
      </c>
      <c r="S1251">
        <f t="shared" si="371"/>
        <v>0</v>
      </c>
      <c r="T1251">
        <f t="shared" si="372"/>
        <v>0</v>
      </c>
      <c r="U1251">
        <f t="shared" si="373"/>
        <v>1</v>
      </c>
      <c r="V1251">
        <f t="shared" si="374"/>
        <v>0</v>
      </c>
      <c r="W1251" t="s">
        <v>39</v>
      </c>
      <c r="X1251">
        <f t="shared" si="375"/>
        <v>1</v>
      </c>
      <c r="Y1251">
        <f t="shared" si="376"/>
        <v>0</v>
      </c>
      <c r="Z1251">
        <v>5</v>
      </c>
      <c r="AA1251">
        <f t="shared" si="377"/>
        <v>1</v>
      </c>
      <c r="AB1251" t="s">
        <v>46</v>
      </c>
      <c r="AC1251">
        <f t="shared" si="378"/>
        <v>1</v>
      </c>
      <c r="AD1251">
        <f t="shared" si="379"/>
        <v>0</v>
      </c>
      <c r="AE1251" t="s">
        <v>50</v>
      </c>
      <c r="AF1251">
        <f>IF(AE1251="website",1,0)</f>
        <v>0</v>
      </c>
    </row>
    <row r="1252" spans="1:32">
      <c r="A1252" t="s">
        <v>1899</v>
      </c>
      <c r="B1252" t="s">
        <v>33</v>
      </c>
      <c r="C1252" s="3">
        <f t="shared" si="361"/>
        <v>0</v>
      </c>
      <c r="D1252">
        <f t="shared" si="362"/>
        <v>1</v>
      </c>
      <c r="E1252" t="s">
        <v>780</v>
      </c>
      <c r="F1252" t="s">
        <v>798</v>
      </c>
      <c r="G1252" s="1">
        <v>27699</v>
      </c>
      <c r="H1252" s="2">
        <f t="shared" ca="1" si="363"/>
        <v>50</v>
      </c>
      <c r="I1252" s="2">
        <f t="shared" ca="1" si="364"/>
        <v>0.35714285714285715</v>
      </c>
      <c r="J1252" t="s">
        <v>45</v>
      </c>
      <c r="K1252" t="s">
        <v>37</v>
      </c>
      <c r="L1252">
        <f t="shared" si="365"/>
        <v>1</v>
      </c>
      <c r="M1252">
        <f t="shared" si="366"/>
        <v>0</v>
      </c>
      <c r="N1252">
        <f t="shared" si="367"/>
        <v>0</v>
      </c>
      <c r="O1252" t="s">
        <v>592</v>
      </c>
      <c r="P1252">
        <f t="shared" si="368"/>
        <v>0</v>
      </c>
      <c r="Q1252">
        <f t="shared" si="369"/>
        <v>0</v>
      </c>
      <c r="R1252">
        <f t="shared" si="370"/>
        <v>0</v>
      </c>
      <c r="S1252">
        <f t="shared" si="371"/>
        <v>0</v>
      </c>
      <c r="T1252">
        <f t="shared" si="372"/>
        <v>0</v>
      </c>
      <c r="U1252">
        <f t="shared" si="373"/>
        <v>0</v>
      </c>
      <c r="V1252">
        <f t="shared" si="374"/>
        <v>0</v>
      </c>
      <c r="W1252" t="s">
        <v>58</v>
      </c>
      <c r="X1252">
        <f t="shared" si="375"/>
        <v>0</v>
      </c>
      <c r="Y1252">
        <f t="shared" si="376"/>
        <v>1</v>
      </c>
      <c r="Z1252">
        <v>5</v>
      </c>
      <c r="AA1252">
        <f t="shared" si="377"/>
        <v>1</v>
      </c>
      <c r="AB1252" t="s">
        <v>46</v>
      </c>
      <c r="AC1252">
        <f t="shared" si="378"/>
        <v>0</v>
      </c>
      <c r="AD1252">
        <f t="shared" si="379"/>
        <v>0</v>
      </c>
      <c r="AE1252" t="s">
        <v>41</v>
      </c>
      <c r="AF1252">
        <f>IF(AE1252="website",1,0)</f>
        <v>1</v>
      </c>
    </row>
    <row r="1253" spans="1:32">
      <c r="A1253" t="s">
        <v>1900</v>
      </c>
      <c r="B1253" t="s">
        <v>33</v>
      </c>
      <c r="C1253" s="3">
        <f t="shared" si="361"/>
        <v>0</v>
      </c>
      <c r="D1253">
        <f t="shared" si="362"/>
        <v>1</v>
      </c>
      <c r="E1253" t="s">
        <v>619</v>
      </c>
      <c r="F1253" t="s">
        <v>876</v>
      </c>
      <c r="G1253" s="1">
        <v>22704</v>
      </c>
      <c r="H1253" s="2">
        <f t="shared" ca="1" si="363"/>
        <v>64</v>
      </c>
      <c r="I1253" s="2">
        <f t="shared" ca="1" si="364"/>
        <v>0.55714285714285716</v>
      </c>
      <c r="J1253" t="s">
        <v>36</v>
      </c>
      <c r="K1253" t="s">
        <v>37</v>
      </c>
      <c r="L1253">
        <f t="shared" si="365"/>
        <v>1</v>
      </c>
      <c r="M1253">
        <f t="shared" si="366"/>
        <v>0</v>
      </c>
      <c r="N1253">
        <f t="shared" si="367"/>
        <v>0</v>
      </c>
      <c r="O1253" t="s">
        <v>97</v>
      </c>
      <c r="P1253">
        <f t="shared" si="368"/>
        <v>0</v>
      </c>
      <c r="Q1253">
        <f t="shared" si="369"/>
        <v>0</v>
      </c>
      <c r="R1253">
        <f t="shared" si="370"/>
        <v>0</v>
      </c>
      <c r="S1253">
        <f t="shared" si="371"/>
        <v>0</v>
      </c>
      <c r="T1253">
        <f t="shared" si="372"/>
        <v>1</v>
      </c>
      <c r="U1253">
        <f t="shared" si="373"/>
        <v>0</v>
      </c>
      <c r="V1253">
        <f t="shared" si="374"/>
        <v>0</v>
      </c>
      <c r="W1253" t="s">
        <v>39</v>
      </c>
      <c r="X1253">
        <f t="shared" si="375"/>
        <v>1</v>
      </c>
      <c r="Y1253">
        <f t="shared" si="376"/>
        <v>0</v>
      </c>
      <c r="Z1253">
        <v>3</v>
      </c>
      <c r="AA1253">
        <f t="shared" si="377"/>
        <v>0.5</v>
      </c>
      <c r="AB1253" t="s">
        <v>40</v>
      </c>
      <c r="AC1253">
        <f t="shared" si="378"/>
        <v>0</v>
      </c>
      <c r="AD1253">
        <f t="shared" si="379"/>
        <v>0</v>
      </c>
      <c r="AE1253" t="s">
        <v>41</v>
      </c>
      <c r="AF1253">
        <f>IF(AE1253="website",1,0)</f>
        <v>1</v>
      </c>
    </row>
    <row r="1254" spans="1:32">
      <c r="A1254" t="s">
        <v>1901</v>
      </c>
      <c r="B1254" t="s">
        <v>33</v>
      </c>
      <c r="C1254" s="3">
        <f t="shared" si="361"/>
        <v>0</v>
      </c>
      <c r="D1254">
        <f t="shared" si="362"/>
        <v>1</v>
      </c>
      <c r="E1254" t="s">
        <v>671</v>
      </c>
      <c r="F1254" t="s">
        <v>882</v>
      </c>
      <c r="G1254" s="1">
        <v>33505</v>
      </c>
      <c r="H1254" s="2">
        <f t="shared" ca="1" si="363"/>
        <v>35</v>
      </c>
      <c r="I1254" s="2">
        <f t="shared" ca="1" si="364"/>
        <v>0.14285714285714285</v>
      </c>
      <c r="J1254" t="s">
        <v>45</v>
      </c>
      <c r="K1254" t="s">
        <v>37</v>
      </c>
      <c r="L1254">
        <f t="shared" si="365"/>
        <v>1</v>
      </c>
      <c r="M1254">
        <f t="shared" si="366"/>
        <v>0</v>
      </c>
      <c r="N1254">
        <f t="shared" si="367"/>
        <v>0</v>
      </c>
      <c r="O1254" t="s">
        <v>38</v>
      </c>
      <c r="P1254">
        <f t="shared" si="368"/>
        <v>1</v>
      </c>
      <c r="Q1254">
        <f t="shared" si="369"/>
        <v>0</v>
      </c>
      <c r="R1254">
        <f t="shared" si="370"/>
        <v>0</v>
      </c>
      <c r="S1254">
        <f t="shared" si="371"/>
        <v>0</v>
      </c>
      <c r="T1254">
        <f t="shared" si="372"/>
        <v>0</v>
      </c>
      <c r="U1254">
        <f t="shared" si="373"/>
        <v>0</v>
      </c>
      <c r="V1254">
        <f t="shared" si="374"/>
        <v>0</v>
      </c>
      <c r="W1254" t="s">
        <v>39</v>
      </c>
      <c r="X1254">
        <f t="shared" si="375"/>
        <v>1</v>
      </c>
      <c r="Y1254">
        <f t="shared" si="376"/>
        <v>0</v>
      </c>
      <c r="Z1254">
        <v>2</v>
      </c>
      <c r="AA1254">
        <f t="shared" si="377"/>
        <v>0.25</v>
      </c>
      <c r="AB1254" t="s">
        <v>46</v>
      </c>
      <c r="AC1254">
        <f t="shared" si="378"/>
        <v>1</v>
      </c>
      <c r="AD1254">
        <f t="shared" si="379"/>
        <v>0</v>
      </c>
      <c r="AE1254" t="s">
        <v>50</v>
      </c>
      <c r="AF1254">
        <f>IF(AE1254="website",1,0)</f>
        <v>0</v>
      </c>
    </row>
    <row r="1255" spans="1:32">
      <c r="A1255" t="s">
        <v>1902</v>
      </c>
      <c r="B1255" t="s">
        <v>33</v>
      </c>
      <c r="C1255" s="3">
        <f t="shared" si="361"/>
        <v>0</v>
      </c>
      <c r="D1255">
        <f t="shared" si="362"/>
        <v>1</v>
      </c>
      <c r="E1255" t="s">
        <v>1407</v>
      </c>
      <c r="F1255" t="s">
        <v>757</v>
      </c>
      <c r="G1255" s="1">
        <v>20549</v>
      </c>
      <c r="H1255" s="2">
        <f t="shared" ca="1" si="363"/>
        <v>70</v>
      </c>
      <c r="I1255" s="2">
        <f t="shared" ca="1" si="364"/>
        <v>0.6428571428571429</v>
      </c>
      <c r="J1255" t="s">
        <v>45</v>
      </c>
      <c r="K1255" t="s">
        <v>37</v>
      </c>
      <c r="L1255">
        <f t="shared" si="365"/>
        <v>1</v>
      </c>
      <c r="M1255">
        <f t="shared" si="366"/>
        <v>0</v>
      </c>
      <c r="N1255">
        <f t="shared" si="367"/>
        <v>0</v>
      </c>
      <c r="O1255" t="s">
        <v>38</v>
      </c>
      <c r="P1255">
        <f t="shared" si="368"/>
        <v>1</v>
      </c>
      <c r="Q1255">
        <f t="shared" si="369"/>
        <v>0</v>
      </c>
      <c r="R1255">
        <f t="shared" si="370"/>
        <v>0</v>
      </c>
      <c r="S1255">
        <f t="shared" si="371"/>
        <v>0</v>
      </c>
      <c r="T1255">
        <f t="shared" si="372"/>
        <v>0</v>
      </c>
      <c r="U1255">
        <f t="shared" si="373"/>
        <v>0</v>
      </c>
      <c r="V1255">
        <f t="shared" si="374"/>
        <v>0</v>
      </c>
      <c r="W1255" t="s">
        <v>39</v>
      </c>
      <c r="X1255">
        <f t="shared" si="375"/>
        <v>1</v>
      </c>
      <c r="Y1255">
        <f t="shared" si="376"/>
        <v>0</v>
      </c>
      <c r="Z1255">
        <v>5</v>
      </c>
      <c r="AA1255">
        <f t="shared" si="377"/>
        <v>1</v>
      </c>
      <c r="AB1255" t="s">
        <v>40</v>
      </c>
      <c r="AC1255">
        <f t="shared" si="378"/>
        <v>1</v>
      </c>
      <c r="AD1255">
        <f t="shared" si="379"/>
        <v>0</v>
      </c>
      <c r="AE1255" t="s">
        <v>50</v>
      </c>
      <c r="AF1255">
        <f>IF(AE1255="website",1,0)</f>
        <v>0</v>
      </c>
    </row>
    <row r="1256" spans="1:32">
      <c r="A1256" t="s">
        <v>1903</v>
      </c>
      <c r="B1256" t="s">
        <v>33</v>
      </c>
      <c r="C1256" s="3">
        <f t="shared" si="361"/>
        <v>0</v>
      </c>
      <c r="D1256">
        <f t="shared" si="362"/>
        <v>1</v>
      </c>
      <c r="E1256" t="s">
        <v>658</v>
      </c>
      <c r="F1256" t="s">
        <v>726</v>
      </c>
      <c r="G1256" s="1">
        <v>36418</v>
      </c>
      <c r="H1256" s="2">
        <f t="shared" ca="1" si="363"/>
        <v>27</v>
      </c>
      <c r="I1256" s="2">
        <f t="shared" ca="1" si="364"/>
        <v>2.8571428571428571E-2</v>
      </c>
      <c r="J1256" t="s">
        <v>45</v>
      </c>
      <c r="K1256" t="s">
        <v>37</v>
      </c>
      <c r="L1256">
        <f t="shared" si="365"/>
        <v>1</v>
      </c>
      <c r="M1256">
        <f t="shared" si="366"/>
        <v>0</v>
      </c>
      <c r="N1256">
        <f t="shared" si="367"/>
        <v>0</v>
      </c>
      <c r="O1256" t="s">
        <v>38</v>
      </c>
      <c r="P1256">
        <f t="shared" si="368"/>
        <v>1</v>
      </c>
      <c r="Q1256">
        <f t="shared" si="369"/>
        <v>0</v>
      </c>
      <c r="R1256">
        <f t="shared" si="370"/>
        <v>0</v>
      </c>
      <c r="S1256">
        <f t="shared" si="371"/>
        <v>0</v>
      </c>
      <c r="T1256">
        <f t="shared" si="372"/>
        <v>0</v>
      </c>
      <c r="U1256">
        <f t="shared" si="373"/>
        <v>0</v>
      </c>
      <c r="V1256">
        <f t="shared" si="374"/>
        <v>0</v>
      </c>
      <c r="W1256" t="s">
        <v>39</v>
      </c>
      <c r="X1256">
        <f t="shared" si="375"/>
        <v>1</v>
      </c>
      <c r="Y1256">
        <f t="shared" si="376"/>
        <v>0</v>
      </c>
      <c r="Z1256">
        <v>3</v>
      </c>
      <c r="AA1256">
        <f t="shared" si="377"/>
        <v>0.5</v>
      </c>
      <c r="AB1256" t="s">
        <v>46</v>
      </c>
      <c r="AC1256">
        <f t="shared" si="378"/>
        <v>1</v>
      </c>
      <c r="AD1256">
        <f t="shared" si="379"/>
        <v>0</v>
      </c>
      <c r="AE1256" t="s">
        <v>50</v>
      </c>
      <c r="AF1256">
        <f>IF(AE1256="website",1,0)</f>
        <v>0</v>
      </c>
    </row>
    <row r="1257" spans="1:32">
      <c r="A1257" t="s">
        <v>1904</v>
      </c>
      <c r="B1257" t="s">
        <v>55</v>
      </c>
      <c r="C1257" s="3">
        <f t="shared" si="361"/>
        <v>1</v>
      </c>
      <c r="D1257">
        <f t="shared" si="362"/>
        <v>0</v>
      </c>
      <c r="E1257" t="s">
        <v>1905</v>
      </c>
      <c r="F1257" t="s">
        <v>57</v>
      </c>
      <c r="G1257" s="1">
        <v>26347</v>
      </c>
      <c r="H1257" s="2">
        <f t="shared" ca="1" si="363"/>
        <v>54</v>
      </c>
      <c r="I1257" s="2">
        <f t="shared" ca="1" si="364"/>
        <v>0.41428571428571431</v>
      </c>
      <c r="J1257" t="s">
        <v>36</v>
      </c>
      <c r="K1257" t="s">
        <v>37</v>
      </c>
      <c r="L1257">
        <f t="shared" si="365"/>
        <v>1</v>
      </c>
      <c r="M1257">
        <f t="shared" si="366"/>
        <v>0</v>
      </c>
      <c r="N1257">
        <f t="shared" si="367"/>
        <v>0</v>
      </c>
      <c r="O1257" t="s">
        <v>38</v>
      </c>
      <c r="P1257">
        <f t="shared" si="368"/>
        <v>1</v>
      </c>
      <c r="Q1257">
        <f t="shared" si="369"/>
        <v>0</v>
      </c>
      <c r="R1257">
        <f t="shared" si="370"/>
        <v>0</v>
      </c>
      <c r="S1257">
        <f t="shared" si="371"/>
        <v>0</v>
      </c>
      <c r="T1257">
        <f t="shared" si="372"/>
        <v>0</v>
      </c>
      <c r="U1257">
        <f t="shared" si="373"/>
        <v>0</v>
      </c>
      <c r="V1257">
        <f t="shared" si="374"/>
        <v>0</v>
      </c>
      <c r="W1257" t="s">
        <v>58</v>
      </c>
      <c r="X1257">
        <f t="shared" si="375"/>
        <v>0</v>
      </c>
      <c r="Y1257">
        <f t="shared" si="376"/>
        <v>1</v>
      </c>
      <c r="Z1257">
        <v>4</v>
      </c>
      <c r="AA1257">
        <f t="shared" si="377"/>
        <v>0.75</v>
      </c>
      <c r="AB1257" t="s">
        <v>46</v>
      </c>
      <c r="AC1257">
        <f t="shared" si="378"/>
        <v>1</v>
      </c>
      <c r="AD1257">
        <f t="shared" si="379"/>
        <v>0</v>
      </c>
      <c r="AE1257" t="s">
        <v>50</v>
      </c>
      <c r="AF1257">
        <f>IF(AE1257="website",1,0)</f>
        <v>0</v>
      </c>
    </row>
    <row r="1258" spans="1:32">
      <c r="A1258" t="s">
        <v>1906</v>
      </c>
      <c r="B1258" t="s">
        <v>33</v>
      </c>
      <c r="C1258" s="3">
        <f t="shared" si="361"/>
        <v>0</v>
      </c>
      <c r="D1258">
        <f t="shared" si="362"/>
        <v>1</v>
      </c>
      <c r="E1258" t="s">
        <v>419</v>
      </c>
      <c r="F1258" t="s">
        <v>941</v>
      </c>
      <c r="G1258" s="1">
        <v>33594</v>
      </c>
      <c r="H1258" s="2">
        <f t="shared" ca="1" si="363"/>
        <v>34</v>
      </c>
      <c r="I1258" s="2">
        <f t="shared" ca="1" si="364"/>
        <v>0.12857142857142856</v>
      </c>
      <c r="J1258" t="s">
        <v>45</v>
      </c>
      <c r="K1258" t="s">
        <v>37</v>
      </c>
      <c r="L1258">
        <f t="shared" si="365"/>
        <v>1</v>
      </c>
      <c r="M1258">
        <f t="shared" si="366"/>
        <v>0</v>
      </c>
      <c r="N1258">
        <f t="shared" si="367"/>
        <v>0</v>
      </c>
      <c r="O1258" t="s">
        <v>38</v>
      </c>
      <c r="P1258">
        <f t="shared" si="368"/>
        <v>1</v>
      </c>
      <c r="Q1258">
        <f t="shared" si="369"/>
        <v>0</v>
      </c>
      <c r="R1258">
        <f t="shared" si="370"/>
        <v>0</v>
      </c>
      <c r="S1258">
        <f t="shared" si="371"/>
        <v>0</v>
      </c>
      <c r="T1258">
        <f t="shared" si="372"/>
        <v>0</v>
      </c>
      <c r="U1258">
        <f t="shared" si="373"/>
        <v>0</v>
      </c>
      <c r="V1258">
        <f t="shared" si="374"/>
        <v>0</v>
      </c>
      <c r="W1258" t="s">
        <v>39</v>
      </c>
      <c r="X1258">
        <f t="shared" si="375"/>
        <v>1</v>
      </c>
      <c r="Y1258">
        <f t="shared" si="376"/>
        <v>0</v>
      </c>
      <c r="Z1258">
        <v>5</v>
      </c>
      <c r="AA1258">
        <f t="shared" si="377"/>
        <v>1</v>
      </c>
      <c r="AB1258" t="s">
        <v>40</v>
      </c>
      <c r="AC1258">
        <f t="shared" si="378"/>
        <v>1</v>
      </c>
      <c r="AD1258">
        <f t="shared" si="379"/>
        <v>0</v>
      </c>
      <c r="AE1258" t="s">
        <v>50</v>
      </c>
      <c r="AF1258">
        <f>IF(AE1258="website",1,0)</f>
        <v>0</v>
      </c>
    </row>
    <row r="1259" spans="1:32">
      <c r="A1259" t="s">
        <v>1907</v>
      </c>
      <c r="B1259" t="s">
        <v>33</v>
      </c>
      <c r="C1259" s="3">
        <f t="shared" si="361"/>
        <v>0</v>
      </c>
      <c r="D1259">
        <f t="shared" si="362"/>
        <v>1</v>
      </c>
      <c r="E1259" t="s">
        <v>755</v>
      </c>
      <c r="F1259" t="s">
        <v>691</v>
      </c>
      <c r="G1259" s="1">
        <v>25376</v>
      </c>
      <c r="H1259" s="2">
        <f t="shared" ca="1" si="363"/>
        <v>57</v>
      </c>
      <c r="I1259" s="2">
        <f t="shared" ca="1" si="364"/>
        <v>0.45714285714285713</v>
      </c>
      <c r="J1259" t="s">
        <v>36</v>
      </c>
      <c r="K1259" t="s">
        <v>37</v>
      </c>
      <c r="L1259">
        <f t="shared" si="365"/>
        <v>1</v>
      </c>
      <c r="M1259">
        <f t="shared" si="366"/>
        <v>0</v>
      </c>
      <c r="N1259">
        <f t="shared" si="367"/>
        <v>0</v>
      </c>
      <c r="O1259" t="s">
        <v>124</v>
      </c>
      <c r="P1259">
        <f t="shared" si="368"/>
        <v>0</v>
      </c>
      <c r="Q1259">
        <f t="shared" si="369"/>
        <v>0</v>
      </c>
      <c r="R1259">
        <f t="shared" si="370"/>
        <v>0</v>
      </c>
      <c r="S1259">
        <f t="shared" si="371"/>
        <v>0</v>
      </c>
      <c r="T1259">
        <f t="shared" si="372"/>
        <v>0</v>
      </c>
      <c r="U1259">
        <f t="shared" si="373"/>
        <v>1</v>
      </c>
      <c r="V1259">
        <f t="shared" si="374"/>
        <v>0</v>
      </c>
      <c r="W1259" t="s">
        <v>39</v>
      </c>
      <c r="X1259">
        <f t="shared" si="375"/>
        <v>1</v>
      </c>
      <c r="Y1259">
        <f t="shared" si="376"/>
        <v>0</v>
      </c>
      <c r="Z1259">
        <v>1</v>
      </c>
      <c r="AA1259">
        <f t="shared" si="377"/>
        <v>0</v>
      </c>
      <c r="AB1259" t="s">
        <v>46</v>
      </c>
      <c r="AC1259">
        <f t="shared" si="378"/>
        <v>0</v>
      </c>
      <c r="AD1259">
        <f t="shared" si="379"/>
        <v>0</v>
      </c>
      <c r="AE1259" t="s">
        <v>41</v>
      </c>
      <c r="AF1259">
        <f>IF(AE1259="website",1,0)</f>
        <v>1</v>
      </c>
    </row>
    <row r="1260" spans="1:32">
      <c r="A1260" t="s">
        <v>1908</v>
      </c>
      <c r="B1260" t="s">
        <v>33</v>
      </c>
      <c r="C1260" s="3">
        <f t="shared" si="361"/>
        <v>0</v>
      </c>
      <c r="D1260">
        <f t="shared" si="362"/>
        <v>1</v>
      </c>
      <c r="E1260" t="s">
        <v>683</v>
      </c>
      <c r="F1260" t="s">
        <v>308</v>
      </c>
      <c r="G1260" s="1">
        <v>25983</v>
      </c>
      <c r="H1260" s="2">
        <f t="shared" ca="1" si="363"/>
        <v>55</v>
      </c>
      <c r="I1260" s="2">
        <f t="shared" ca="1" si="364"/>
        <v>0.42857142857142855</v>
      </c>
      <c r="J1260" t="s">
        <v>45</v>
      </c>
      <c r="K1260" t="s">
        <v>37</v>
      </c>
      <c r="L1260">
        <f t="shared" si="365"/>
        <v>1</v>
      </c>
      <c r="M1260">
        <f t="shared" si="366"/>
        <v>0</v>
      </c>
      <c r="N1260">
        <f t="shared" si="367"/>
        <v>0</v>
      </c>
      <c r="O1260" t="s">
        <v>38</v>
      </c>
      <c r="P1260">
        <f t="shared" si="368"/>
        <v>1</v>
      </c>
      <c r="Q1260">
        <f t="shared" si="369"/>
        <v>0</v>
      </c>
      <c r="R1260">
        <f t="shared" si="370"/>
        <v>0</v>
      </c>
      <c r="S1260">
        <f t="shared" si="371"/>
        <v>0</v>
      </c>
      <c r="T1260">
        <f t="shared" si="372"/>
        <v>0</v>
      </c>
      <c r="U1260">
        <f t="shared" si="373"/>
        <v>0</v>
      </c>
      <c r="V1260">
        <f t="shared" si="374"/>
        <v>0</v>
      </c>
      <c r="W1260" t="s">
        <v>58</v>
      </c>
      <c r="X1260">
        <f t="shared" si="375"/>
        <v>0</v>
      </c>
      <c r="Y1260">
        <f t="shared" si="376"/>
        <v>1</v>
      </c>
      <c r="Z1260">
        <v>3</v>
      </c>
      <c r="AA1260">
        <f t="shared" si="377"/>
        <v>0.5</v>
      </c>
      <c r="AB1260" t="s">
        <v>40</v>
      </c>
      <c r="AC1260">
        <f t="shared" si="378"/>
        <v>1</v>
      </c>
      <c r="AD1260">
        <f t="shared" si="379"/>
        <v>0</v>
      </c>
      <c r="AE1260" t="s">
        <v>50</v>
      </c>
      <c r="AF1260">
        <f>IF(AE1260="website",1,0)</f>
        <v>0</v>
      </c>
    </row>
    <row r="1261" spans="1:32">
      <c r="A1261" t="s">
        <v>1909</v>
      </c>
      <c r="B1261" t="s">
        <v>33</v>
      </c>
      <c r="C1261" s="3">
        <f t="shared" si="361"/>
        <v>0</v>
      </c>
      <c r="D1261">
        <f t="shared" si="362"/>
        <v>1</v>
      </c>
      <c r="E1261" t="s">
        <v>753</v>
      </c>
      <c r="F1261" t="s">
        <v>887</v>
      </c>
      <c r="G1261" s="1">
        <v>33840</v>
      </c>
      <c r="H1261" s="2">
        <f t="shared" ca="1" si="363"/>
        <v>34</v>
      </c>
      <c r="I1261" s="2">
        <f t="shared" ca="1" si="364"/>
        <v>0.12857142857142856</v>
      </c>
      <c r="J1261" t="s">
        <v>36</v>
      </c>
      <c r="K1261" t="s">
        <v>37</v>
      </c>
      <c r="L1261">
        <f t="shared" si="365"/>
        <v>1</v>
      </c>
      <c r="M1261">
        <f t="shared" si="366"/>
        <v>0</v>
      </c>
      <c r="N1261">
        <f t="shared" si="367"/>
        <v>0</v>
      </c>
      <c r="O1261" t="s">
        <v>38</v>
      </c>
      <c r="P1261">
        <f t="shared" si="368"/>
        <v>1</v>
      </c>
      <c r="Q1261">
        <f t="shared" si="369"/>
        <v>0</v>
      </c>
      <c r="R1261">
        <f t="shared" si="370"/>
        <v>0</v>
      </c>
      <c r="S1261">
        <f t="shared" si="371"/>
        <v>0</v>
      </c>
      <c r="T1261">
        <f t="shared" si="372"/>
        <v>0</v>
      </c>
      <c r="U1261">
        <f t="shared" si="373"/>
        <v>0</v>
      </c>
      <c r="V1261">
        <f t="shared" si="374"/>
        <v>0</v>
      </c>
      <c r="W1261" t="s">
        <v>39</v>
      </c>
      <c r="X1261">
        <f t="shared" si="375"/>
        <v>1</v>
      </c>
      <c r="Y1261">
        <f t="shared" si="376"/>
        <v>0</v>
      </c>
      <c r="Z1261">
        <v>2</v>
      </c>
      <c r="AA1261">
        <f t="shared" si="377"/>
        <v>0.25</v>
      </c>
      <c r="AB1261" t="s">
        <v>46</v>
      </c>
      <c r="AC1261">
        <f t="shared" si="378"/>
        <v>1</v>
      </c>
      <c r="AD1261">
        <f t="shared" si="379"/>
        <v>0</v>
      </c>
      <c r="AE1261" t="s">
        <v>50</v>
      </c>
      <c r="AF1261">
        <f>IF(AE1261="website",1,0)</f>
        <v>0</v>
      </c>
    </row>
    <row r="1262" spans="1:32">
      <c r="A1262" t="s">
        <v>1910</v>
      </c>
      <c r="B1262" t="s">
        <v>33</v>
      </c>
      <c r="C1262" s="3">
        <f t="shared" si="361"/>
        <v>0</v>
      </c>
      <c r="D1262">
        <f t="shared" si="362"/>
        <v>1</v>
      </c>
      <c r="E1262" t="s">
        <v>152</v>
      </c>
      <c r="F1262" t="s">
        <v>607</v>
      </c>
      <c r="G1262" s="1">
        <v>28006</v>
      </c>
      <c r="H1262" s="2">
        <f t="shared" ca="1" si="363"/>
        <v>50</v>
      </c>
      <c r="I1262" s="2">
        <f t="shared" ca="1" si="364"/>
        <v>0.35714285714285715</v>
      </c>
      <c r="J1262" t="s">
        <v>45</v>
      </c>
      <c r="K1262" t="s">
        <v>37</v>
      </c>
      <c r="L1262">
        <f t="shared" si="365"/>
        <v>1</v>
      </c>
      <c r="M1262">
        <f t="shared" si="366"/>
        <v>0</v>
      </c>
      <c r="N1262">
        <f t="shared" si="367"/>
        <v>0</v>
      </c>
      <c r="O1262" t="s">
        <v>183</v>
      </c>
      <c r="P1262">
        <f t="shared" si="368"/>
        <v>0</v>
      </c>
      <c r="Q1262">
        <f t="shared" si="369"/>
        <v>0</v>
      </c>
      <c r="R1262">
        <f t="shared" si="370"/>
        <v>0</v>
      </c>
      <c r="S1262">
        <f t="shared" si="371"/>
        <v>0</v>
      </c>
      <c r="T1262">
        <f t="shared" si="372"/>
        <v>0</v>
      </c>
      <c r="U1262">
        <f t="shared" si="373"/>
        <v>0</v>
      </c>
      <c r="V1262">
        <f t="shared" si="374"/>
        <v>0</v>
      </c>
      <c r="W1262" t="s">
        <v>39</v>
      </c>
      <c r="X1262">
        <f t="shared" si="375"/>
        <v>1</v>
      </c>
      <c r="Y1262">
        <f t="shared" si="376"/>
        <v>0</v>
      </c>
      <c r="Z1262">
        <v>3</v>
      </c>
      <c r="AA1262">
        <f t="shared" si="377"/>
        <v>0.5</v>
      </c>
      <c r="AB1262" t="s">
        <v>46</v>
      </c>
      <c r="AC1262">
        <f t="shared" si="378"/>
        <v>0</v>
      </c>
      <c r="AD1262">
        <f t="shared" si="379"/>
        <v>1</v>
      </c>
      <c r="AE1262" t="s">
        <v>90</v>
      </c>
      <c r="AF1262">
        <f>IF(AE1262="website",1,0)</f>
        <v>0</v>
      </c>
    </row>
    <row r="1263" spans="1:32">
      <c r="A1263" t="s">
        <v>1911</v>
      </c>
      <c r="B1263" t="s">
        <v>33</v>
      </c>
      <c r="C1263" s="3">
        <f t="shared" si="361"/>
        <v>0</v>
      </c>
      <c r="D1263">
        <f t="shared" si="362"/>
        <v>1</v>
      </c>
      <c r="E1263" t="s">
        <v>1210</v>
      </c>
      <c r="F1263" t="s">
        <v>667</v>
      </c>
      <c r="G1263" s="1">
        <v>18577</v>
      </c>
      <c r="H1263" s="2">
        <f t="shared" ca="1" si="363"/>
        <v>75</v>
      </c>
      <c r="I1263" s="2">
        <f t="shared" ca="1" si="364"/>
        <v>0.7142857142857143</v>
      </c>
      <c r="J1263" t="s">
        <v>36</v>
      </c>
      <c r="K1263" t="s">
        <v>37</v>
      </c>
      <c r="L1263">
        <f t="shared" si="365"/>
        <v>1</v>
      </c>
      <c r="M1263">
        <f t="shared" si="366"/>
        <v>0</v>
      </c>
      <c r="N1263">
        <f t="shared" si="367"/>
        <v>0</v>
      </c>
      <c r="O1263" t="s">
        <v>38</v>
      </c>
      <c r="P1263">
        <f t="shared" si="368"/>
        <v>1</v>
      </c>
      <c r="Q1263">
        <f t="shared" si="369"/>
        <v>0</v>
      </c>
      <c r="R1263">
        <f t="shared" si="370"/>
        <v>0</v>
      </c>
      <c r="S1263">
        <f t="shared" si="371"/>
        <v>0</v>
      </c>
      <c r="T1263">
        <f t="shared" si="372"/>
        <v>0</v>
      </c>
      <c r="U1263">
        <f t="shared" si="373"/>
        <v>0</v>
      </c>
      <c r="V1263">
        <f t="shared" si="374"/>
        <v>0</v>
      </c>
      <c r="W1263" t="s">
        <v>58</v>
      </c>
      <c r="X1263">
        <f t="shared" si="375"/>
        <v>0</v>
      </c>
      <c r="Y1263">
        <f t="shared" si="376"/>
        <v>1</v>
      </c>
      <c r="Z1263">
        <v>4</v>
      </c>
      <c r="AA1263">
        <f t="shared" si="377"/>
        <v>0.75</v>
      </c>
      <c r="AB1263" t="s">
        <v>46</v>
      </c>
      <c r="AC1263">
        <f t="shared" si="378"/>
        <v>1</v>
      </c>
      <c r="AD1263">
        <f t="shared" si="379"/>
        <v>0</v>
      </c>
      <c r="AE1263" t="s">
        <v>50</v>
      </c>
      <c r="AF1263">
        <f>IF(AE1263="website",1,0)</f>
        <v>0</v>
      </c>
    </row>
    <row r="1264" spans="1:32">
      <c r="A1264" t="s">
        <v>1912</v>
      </c>
      <c r="B1264" t="s">
        <v>33</v>
      </c>
      <c r="C1264" s="3">
        <f t="shared" si="361"/>
        <v>0</v>
      </c>
      <c r="D1264">
        <f t="shared" si="362"/>
        <v>1</v>
      </c>
      <c r="E1264" t="s">
        <v>590</v>
      </c>
      <c r="F1264" t="s">
        <v>576</v>
      </c>
      <c r="G1264" s="1">
        <v>18949</v>
      </c>
      <c r="H1264" s="2">
        <f t="shared" ca="1" si="363"/>
        <v>74</v>
      </c>
      <c r="I1264" s="2">
        <f t="shared" ca="1" si="364"/>
        <v>0.7</v>
      </c>
      <c r="J1264" t="s">
        <v>45</v>
      </c>
      <c r="K1264" t="s">
        <v>37</v>
      </c>
      <c r="L1264">
        <f t="shared" si="365"/>
        <v>1</v>
      </c>
      <c r="M1264">
        <f t="shared" si="366"/>
        <v>0</v>
      </c>
      <c r="N1264">
        <f t="shared" si="367"/>
        <v>0</v>
      </c>
      <c r="O1264" t="s">
        <v>38</v>
      </c>
      <c r="P1264">
        <f t="shared" si="368"/>
        <v>1</v>
      </c>
      <c r="Q1264">
        <f t="shared" si="369"/>
        <v>0</v>
      </c>
      <c r="R1264">
        <f t="shared" si="370"/>
        <v>0</v>
      </c>
      <c r="S1264">
        <f t="shared" si="371"/>
        <v>0</v>
      </c>
      <c r="T1264">
        <f t="shared" si="372"/>
        <v>0</v>
      </c>
      <c r="U1264">
        <f t="shared" si="373"/>
        <v>0</v>
      </c>
      <c r="V1264">
        <f t="shared" si="374"/>
        <v>0</v>
      </c>
      <c r="W1264" t="s">
        <v>58</v>
      </c>
      <c r="X1264">
        <f t="shared" si="375"/>
        <v>0</v>
      </c>
      <c r="Y1264">
        <f t="shared" si="376"/>
        <v>1</v>
      </c>
      <c r="Z1264">
        <v>3</v>
      </c>
      <c r="AA1264">
        <f t="shared" si="377"/>
        <v>0.5</v>
      </c>
      <c r="AB1264" t="s">
        <v>46</v>
      </c>
      <c r="AC1264">
        <f t="shared" si="378"/>
        <v>1</v>
      </c>
      <c r="AD1264">
        <f t="shared" si="379"/>
        <v>0</v>
      </c>
      <c r="AE1264" t="s">
        <v>50</v>
      </c>
      <c r="AF1264">
        <f>IF(AE1264="website",1,0)</f>
        <v>0</v>
      </c>
    </row>
    <row r="1265" spans="1:32">
      <c r="A1265" t="s">
        <v>1913</v>
      </c>
      <c r="B1265" t="s">
        <v>33</v>
      </c>
      <c r="C1265" s="3">
        <f t="shared" si="361"/>
        <v>0</v>
      </c>
      <c r="D1265">
        <f t="shared" si="362"/>
        <v>1</v>
      </c>
      <c r="E1265" t="s">
        <v>581</v>
      </c>
      <c r="F1265" t="s">
        <v>714</v>
      </c>
      <c r="G1265" s="1">
        <v>36500</v>
      </c>
      <c r="H1265" s="2">
        <f t="shared" ca="1" si="363"/>
        <v>26</v>
      </c>
      <c r="I1265" s="2">
        <f t="shared" ca="1" si="364"/>
        <v>1.4285714285714285E-2</v>
      </c>
      <c r="J1265" t="s">
        <v>36</v>
      </c>
      <c r="K1265" t="s">
        <v>37</v>
      </c>
      <c r="L1265">
        <f t="shared" si="365"/>
        <v>1</v>
      </c>
      <c r="M1265">
        <f t="shared" si="366"/>
        <v>0</v>
      </c>
      <c r="N1265">
        <f t="shared" si="367"/>
        <v>0</v>
      </c>
      <c r="O1265" t="s">
        <v>38</v>
      </c>
      <c r="P1265">
        <f t="shared" si="368"/>
        <v>1</v>
      </c>
      <c r="Q1265">
        <f t="shared" si="369"/>
        <v>0</v>
      </c>
      <c r="R1265">
        <f t="shared" si="370"/>
        <v>0</v>
      </c>
      <c r="S1265">
        <f t="shared" si="371"/>
        <v>0</v>
      </c>
      <c r="T1265">
        <f t="shared" si="372"/>
        <v>0</v>
      </c>
      <c r="U1265">
        <f t="shared" si="373"/>
        <v>0</v>
      </c>
      <c r="V1265">
        <f t="shared" si="374"/>
        <v>0</v>
      </c>
      <c r="W1265" t="s">
        <v>58</v>
      </c>
      <c r="X1265">
        <f t="shared" si="375"/>
        <v>0</v>
      </c>
      <c r="Y1265">
        <f t="shared" si="376"/>
        <v>1</v>
      </c>
      <c r="Z1265">
        <v>1</v>
      </c>
      <c r="AA1265">
        <f t="shared" si="377"/>
        <v>0</v>
      </c>
      <c r="AB1265" t="s">
        <v>46</v>
      </c>
      <c r="AC1265">
        <f t="shared" si="378"/>
        <v>1</v>
      </c>
      <c r="AD1265">
        <f t="shared" si="379"/>
        <v>0</v>
      </c>
      <c r="AE1265" t="s">
        <v>50</v>
      </c>
      <c r="AF1265">
        <f>IF(AE1265="website",1,0)</f>
        <v>0</v>
      </c>
    </row>
    <row r="1266" spans="1:32">
      <c r="A1266" t="s">
        <v>1914</v>
      </c>
      <c r="B1266" t="s">
        <v>33</v>
      </c>
      <c r="C1266" s="3">
        <f t="shared" si="361"/>
        <v>0</v>
      </c>
      <c r="D1266">
        <f t="shared" si="362"/>
        <v>1</v>
      </c>
      <c r="E1266" t="s">
        <v>1073</v>
      </c>
      <c r="F1266" t="s">
        <v>633</v>
      </c>
      <c r="G1266" s="1">
        <v>15789</v>
      </c>
      <c r="H1266" s="2">
        <f t="shared" ca="1" si="363"/>
        <v>83</v>
      </c>
      <c r="I1266" s="2">
        <f t="shared" ca="1" si="364"/>
        <v>0.82857142857142863</v>
      </c>
      <c r="J1266" t="s">
        <v>45</v>
      </c>
      <c r="K1266" t="s">
        <v>37</v>
      </c>
      <c r="L1266">
        <f t="shared" si="365"/>
        <v>1</v>
      </c>
      <c r="M1266">
        <f t="shared" si="366"/>
        <v>0</v>
      </c>
      <c r="N1266">
        <f t="shared" si="367"/>
        <v>0</v>
      </c>
      <c r="O1266" t="s">
        <v>565</v>
      </c>
      <c r="P1266">
        <f t="shared" si="368"/>
        <v>0</v>
      </c>
      <c r="Q1266">
        <f t="shared" si="369"/>
        <v>0</v>
      </c>
      <c r="R1266">
        <f t="shared" si="370"/>
        <v>0</v>
      </c>
      <c r="S1266">
        <f t="shared" si="371"/>
        <v>0</v>
      </c>
      <c r="T1266">
        <f t="shared" si="372"/>
        <v>0</v>
      </c>
      <c r="U1266">
        <f t="shared" si="373"/>
        <v>0</v>
      </c>
      <c r="V1266">
        <f t="shared" si="374"/>
        <v>0</v>
      </c>
      <c r="W1266" t="s">
        <v>39</v>
      </c>
      <c r="X1266">
        <f t="shared" si="375"/>
        <v>1</v>
      </c>
      <c r="Y1266">
        <f t="shared" si="376"/>
        <v>0</v>
      </c>
      <c r="Z1266">
        <v>1</v>
      </c>
      <c r="AA1266">
        <f t="shared" si="377"/>
        <v>0</v>
      </c>
      <c r="AB1266" t="s">
        <v>40</v>
      </c>
      <c r="AC1266">
        <f t="shared" si="378"/>
        <v>1</v>
      </c>
      <c r="AD1266">
        <f t="shared" si="379"/>
        <v>0</v>
      </c>
      <c r="AE1266" t="s">
        <v>50</v>
      </c>
      <c r="AF1266">
        <f>IF(AE1266="website",1,0)</f>
        <v>0</v>
      </c>
    </row>
    <row r="1267" spans="1:32">
      <c r="A1267" t="s">
        <v>1915</v>
      </c>
      <c r="B1267" t="s">
        <v>33</v>
      </c>
      <c r="C1267" s="3">
        <f t="shared" si="361"/>
        <v>0</v>
      </c>
      <c r="D1267">
        <f t="shared" si="362"/>
        <v>1</v>
      </c>
      <c r="E1267" t="s">
        <v>690</v>
      </c>
      <c r="F1267" t="s">
        <v>716</v>
      </c>
      <c r="G1267" s="1">
        <v>19165</v>
      </c>
      <c r="H1267" s="2">
        <f t="shared" ca="1" si="363"/>
        <v>74</v>
      </c>
      <c r="I1267" s="2">
        <f t="shared" ca="1" si="364"/>
        <v>0.7</v>
      </c>
      <c r="J1267" t="s">
        <v>45</v>
      </c>
      <c r="K1267" t="s">
        <v>248</v>
      </c>
      <c r="L1267">
        <f t="shared" si="365"/>
        <v>0</v>
      </c>
      <c r="M1267">
        <f t="shared" si="366"/>
        <v>0</v>
      </c>
      <c r="N1267">
        <f t="shared" si="367"/>
        <v>0</v>
      </c>
      <c r="O1267" t="s">
        <v>582</v>
      </c>
      <c r="P1267">
        <f t="shared" si="368"/>
        <v>0</v>
      </c>
      <c r="Q1267">
        <f t="shared" si="369"/>
        <v>0</v>
      </c>
      <c r="R1267">
        <f t="shared" si="370"/>
        <v>0</v>
      </c>
      <c r="S1267">
        <f t="shared" si="371"/>
        <v>0</v>
      </c>
      <c r="T1267">
        <f t="shared" si="372"/>
        <v>0</v>
      </c>
      <c r="U1267">
        <f t="shared" si="373"/>
        <v>0</v>
      </c>
      <c r="V1267">
        <f t="shared" si="374"/>
        <v>0</v>
      </c>
      <c r="W1267" t="s">
        <v>39</v>
      </c>
      <c r="X1267">
        <f t="shared" si="375"/>
        <v>1</v>
      </c>
      <c r="Y1267">
        <f t="shared" si="376"/>
        <v>0</v>
      </c>
      <c r="Z1267">
        <v>2</v>
      </c>
      <c r="AA1267">
        <f t="shared" si="377"/>
        <v>0.25</v>
      </c>
      <c r="AB1267" t="s">
        <v>46</v>
      </c>
      <c r="AC1267">
        <f t="shared" si="378"/>
        <v>0</v>
      </c>
      <c r="AD1267">
        <f t="shared" si="379"/>
        <v>0</v>
      </c>
      <c r="AE1267" t="s">
        <v>41</v>
      </c>
      <c r="AF1267">
        <f>IF(AE1267="website",1,0)</f>
        <v>1</v>
      </c>
    </row>
    <row r="1268" spans="1:32">
      <c r="A1268" t="s">
        <v>1916</v>
      </c>
      <c r="B1268" t="s">
        <v>33</v>
      </c>
      <c r="C1268" s="3">
        <f t="shared" si="361"/>
        <v>0</v>
      </c>
      <c r="D1268">
        <f t="shared" si="362"/>
        <v>1</v>
      </c>
      <c r="E1268" t="s">
        <v>1210</v>
      </c>
      <c r="F1268" t="s">
        <v>591</v>
      </c>
      <c r="G1268" s="1">
        <v>23839</v>
      </c>
      <c r="H1268" s="2">
        <f t="shared" ca="1" si="363"/>
        <v>61</v>
      </c>
      <c r="I1268" s="2">
        <f t="shared" ca="1" si="364"/>
        <v>0.51428571428571423</v>
      </c>
      <c r="J1268" t="s">
        <v>36</v>
      </c>
      <c r="K1268" t="s">
        <v>37</v>
      </c>
      <c r="L1268">
        <f t="shared" si="365"/>
        <v>1</v>
      </c>
      <c r="M1268">
        <f t="shared" si="366"/>
        <v>0</v>
      </c>
      <c r="N1268">
        <f t="shared" si="367"/>
        <v>0</v>
      </c>
      <c r="O1268" t="s">
        <v>137</v>
      </c>
      <c r="P1268">
        <f t="shared" si="368"/>
        <v>0</v>
      </c>
      <c r="Q1268">
        <f t="shared" si="369"/>
        <v>0</v>
      </c>
      <c r="R1268">
        <f t="shared" si="370"/>
        <v>0</v>
      </c>
      <c r="S1268">
        <f t="shared" si="371"/>
        <v>0</v>
      </c>
      <c r="T1268">
        <f t="shared" si="372"/>
        <v>0</v>
      </c>
      <c r="U1268">
        <f t="shared" si="373"/>
        <v>0</v>
      </c>
      <c r="V1268">
        <f t="shared" si="374"/>
        <v>0</v>
      </c>
      <c r="W1268" t="s">
        <v>39</v>
      </c>
      <c r="X1268">
        <f t="shared" si="375"/>
        <v>1</v>
      </c>
      <c r="Y1268">
        <f t="shared" si="376"/>
        <v>0</v>
      </c>
      <c r="Z1268">
        <v>3</v>
      </c>
      <c r="AA1268">
        <f t="shared" si="377"/>
        <v>0.5</v>
      </c>
      <c r="AB1268" t="s">
        <v>40</v>
      </c>
      <c r="AC1268">
        <f t="shared" si="378"/>
        <v>0</v>
      </c>
      <c r="AD1268">
        <f t="shared" si="379"/>
        <v>0</v>
      </c>
      <c r="AE1268" t="s">
        <v>41</v>
      </c>
      <c r="AF1268">
        <f>IF(AE1268="website",1,0)</f>
        <v>1</v>
      </c>
    </row>
    <row r="1269" spans="1:32">
      <c r="A1269" t="s">
        <v>1917</v>
      </c>
      <c r="B1269" t="s">
        <v>33</v>
      </c>
      <c r="C1269" s="3">
        <f t="shared" si="361"/>
        <v>0</v>
      </c>
      <c r="D1269">
        <f t="shared" si="362"/>
        <v>1</v>
      </c>
      <c r="E1269" t="s">
        <v>800</v>
      </c>
      <c r="F1269" t="s">
        <v>554</v>
      </c>
      <c r="G1269" s="1">
        <v>34973</v>
      </c>
      <c r="H1269" s="2">
        <f t="shared" ca="1" si="363"/>
        <v>31</v>
      </c>
      <c r="I1269" s="2">
        <f t="shared" ca="1" si="364"/>
        <v>8.5714285714285715E-2</v>
      </c>
      <c r="J1269" t="s">
        <v>36</v>
      </c>
      <c r="K1269" t="s">
        <v>248</v>
      </c>
      <c r="L1269">
        <f t="shared" si="365"/>
        <v>0</v>
      </c>
      <c r="M1269">
        <f t="shared" si="366"/>
        <v>0</v>
      </c>
      <c r="N1269">
        <f t="shared" si="367"/>
        <v>0</v>
      </c>
      <c r="O1269" t="s">
        <v>249</v>
      </c>
      <c r="P1269">
        <f t="shared" si="368"/>
        <v>0</v>
      </c>
      <c r="Q1269">
        <f t="shared" si="369"/>
        <v>0</v>
      </c>
      <c r="R1269">
        <f t="shared" si="370"/>
        <v>0</v>
      </c>
      <c r="S1269">
        <f t="shared" si="371"/>
        <v>0</v>
      </c>
      <c r="T1269">
        <f t="shared" si="372"/>
        <v>0</v>
      </c>
      <c r="U1269">
        <f t="shared" si="373"/>
        <v>0</v>
      </c>
      <c r="V1269">
        <f t="shared" si="374"/>
        <v>0</v>
      </c>
      <c r="W1269" t="s">
        <v>58</v>
      </c>
      <c r="X1269">
        <f t="shared" si="375"/>
        <v>0</v>
      </c>
      <c r="Y1269">
        <f t="shared" si="376"/>
        <v>1</v>
      </c>
      <c r="Z1269">
        <v>1</v>
      </c>
      <c r="AA1269">
        <f t="shared" si="377"/>
        <v>0</v>
      </c>
      <c r="AB1269" t="s">
        <v>40</v>
      </c>
      <c r="AC1269">
        <f t="shared" si="378"/>
        <v>0</v>
      </c>
      <c r="AD1269">
        <f t="shared" si="379"/>
        <v>0</v>
      </c>
      <c r="AE1269" t="s">
        <v>41</v>
      </c>
      <c r="AF1269">
        <f>IF(AE1269="website",1,0)</f>
        <v>1</v>
      </c>
    </row>
    <row r="1270" spans="1:32">
      <c r="A1270" t="s">
        <v>1918</v>
      </c>
      <c r="B1270" t="s">
        <v>33</v>
      </c>
      <c r="C1270" s="3">
        <f t="shared" si="361"/>
        <v>0</v>
      </c>
      <c r="D1270">
        <f t="shared" si="362"/>
        <v>1</v>
      </c>
      <c r="E1270" t="s">
        <v>357</v>
      </c>
      <c r="F1270" t="s">
        <v>378</v>
      </c>
      <c r="G1270" s="1">
        <v>23648</v>
      </c>
      <c r="H1270" s="2">
        <f t="shared" ca="1" si="363"/>
        <v>62</v>
      </c>
      <c r="I1270" s="2">
        <f t="shared" ca="1" si="364"/>
        <v>0.52857142857142858</v>
      </c>
      <c r="J1270" t="s">
        <v>45</v>
      </c>
      <c r="K1270" t="s">
        <v>37</v>
      </c>
      <c r="L1270">
        <f t="shared" si="365"/>
        <v>1</v>
      </c>
      <c r="M1270">
        <f t="shared" si="366"/>
        <v>0</v>
      </c>
      <c r="N1270">
        <f t="shared" si="367"/>
        <v>0</v>
      </c>
      <c r="O1270" t="s">
        <v>38</v>
      </c>
      <c r="P1270">
        <f t="shared" si="368"/>
        <v>1</v>
      </c>
      <c r="Q1270">
        <f t="shared" si="369"/>
        <v>0</v>
      </c>
      <c r="R1270">
        <f t="shared" si="370"/>
        <v>0</v>
      </c>
      <c r="S1270">
        <f t="shared" si="371"/>
        <v>0</v>
      </c>
      <c r="T1270">
        <f t="shared" si="372"/>
        <v>0</v>
      </c>
      <c r="U1270">
        <f t="shared" si="373"/>
        <v>0</v>
      </c>
      <c r="V1270">
        <f t="shared" si="374"/>
        <v>0</v>
      </c>
      <c r="W1270" t="s">
        <v>39</v>
      </c>
      <c r="X1270">
        <f t="shared" si="375"/>
        <v>1</v>
      </c>
      <c r="Y1270">
        <f t="shared" si="376"/>
        <v>0</v>
      </c>
      <c r="Z1270">
        <v>5</v>
      </c>
      <c r="AA1270">
        <f t="shared" si="377"/>
        <v>1</v>
      </c>
      <c r="AB1270" t="s">
        <v>46</v>
      </c>
      <c r="AC1270">
        <f t="shared" si="378"/>
        <v>0</v>
      </c>
      <c r="AD1270">
        <f t="shared" si="379"/>
        <v>0</v>
      </c>
      <c r="AE1270" t="s">
        <v>41</v>
      </c>
      <c r="AF1270">
        <f>IF(AE1270="website",1,0)</f>
        <v>1</v>
      </c>
    </row>
    <row r="1271" spans="1:32">
      <c r="A1271" t="s">
        <v>1919</v>
      </c>
      <c r="B1271" t="s">
        <v>33</v>
      </c>
      <c r="C1271" s="3">
        <f t="shared" si="361"/>
        <v>0</v>
      </c>
      <c r="D1271">
        <f t="shared" si="362"/>
        <v>1</v>
      </c>
      <c r="E1271" t="s">
        <v>606</v>
      </c>
      <c r="F1271" t="s">
        <v>887</v>
      </c>
      <c r="G1271" s="1">
        <v>28781</v>
      </c>
      <c r="H1271" s="2">
        <f t="shared" ca="1" si="363"/>
        <v>47</v>
      </c>
      <c r="I1271" s="2">
        <f t="shared" ca="1" si="364"/>
        <v>0.31428571428571428</v>
      </c>
      <c r="J1271" t="s">
        <v>36</v>
      </c>
      <c r="K1271" t="s">
        <v>37</v>
      </c>
      <c r="L1271">
        <f t="shared" si="365"/>
        <v>1</v>
      </c>
      <c r="M1271">
        <f t="shared" si="366"/>
        <v>0</v>
      </c>
      <c r="N1271">
        <f t="shared" si="367"/>
        <v>0</v>
      </c>
      <c r="O1271" t="s">
        <v>592</v>
      </c>
      <c r="P1271">
        <f t="shared" si="368"/>
        <v>0</v>
      </c>
      <c r="Q1271">
        <f t="shared" si="369"/>
        <v>0</v>
      </c>
      <c r="R1271">
        <f t="shared" si="370"/>
        <v>0</v>
      </c>
      <c r="S1271">
        <f t="shared" si="371"/>
        <v>0</v>
      </c>
      <c r="T1271">
        <f t="shared" si="372"/>
        <v>0</v>
      </c>
      <c r="U1271">
        <f t="shared" si="373"/>
        <v>0</v>
      </c>
      <c r="V1271">
        <f t="shared" si="374"/>
        <v>0</v>
      </c>
      <c r="W1271" t="s">
        <v>39</v>
      </c>
      <c r="X1271">
        <f t="shared" si="375"/>
        <v>1</v>
      </c>
      <c r="Y1271">
        <f t="shared" si="376"/>
        <v>0</v>
      </c>
      <c r="Z1271">
        <v>4</v>
      </c>
      <c r="AA1271">
        <f t="shared" si="377"/>
        <v>0.75</v>
      </c>
      <c r="AB1271" t="s">
        <v>46</v>
      </c>
      <c r="AC1271">
        <f t="shared" si="378"/>
        <v>1</v>
      </c>
      <c r="AD1271">
        <f t="shared" si="379"/>
        <v>0</v>
      </c>
      <c r="AE1271" t="s">
        <v>50</v>
      </c>
      <c r="AF1271">
        <f>IF(AE1271="website",1,0)</f>
        <v>0</v>
      </c>
    </row>
    <row r="1272" spans="1:32">
      <c r="A1272" t="s">
        <v>1920</v>
      </c>
      <c r="B1272" t="s">
        <v>33</v>
      </c>
      <c r="C1272" s="3">
        <f t="shared" si="361"/>
        <v>0</v>
      </c>
      <c r="D1272">
        <f t="shared" si="362"/>
        <v>1</v>
      </c>
      <c r="E1272" t="s">
        <v>815</v>
      </c>
      <c r="F1272" t="s">
        <v>366</v>
      </c>
      <c r="G1272" s="1">
        <v>33857</v>
      </c>
      <c r="H1272" s="2">
        <f t="shared" ca="1" si="363"/>
        <v>34</v>
      </c>
      <c r="I1272" s="2">
        <f t="shared" ca="1" si="364"/>
        <v>0.12857142857142856</v>
      </c>
      <c r="J1272" t="s">
        <v>45</v>
      </c>
      <c r="K1272" t="s">
        <v>37</v>
      </c>
      <c r="L1272">
        <f t="shared" si="365"/>
        <v>1</v>
      </c>
      <c r="M1272">
        <f t="shared" si="366"/>
        <v>0</v>
      </c>
      <c r="N1272">
        <f t="shared" si="367"/>
        <v>0</v>
      </c>
      <c r="O1272" t="s">
        <v>38</v>
      </c>
      <c r="P1272">
        <f t="shared" si="368"/>
        <v>1</v>
      </c>
      <c r="Q1272">
        <f t="shared" si="369"/>
        <v>0</v>
      </c>
      <c r="R1272">
        <f t="shared" si="370"/>
        <v>0</v>
      </c>
      <c r="S1272">
        <f t="shared" si="371"/>
        <v>0</v>
      </c>
      <c r="T1272">
        <f t="shared" si="372"/>
        <v>0</v>
      </c>
      <c r="U1272">
        <f t="shared" si="373"/>
        <v>0</v>
      </c>
      <c r="V1272">
        <f t="shared" si="374"/>
        <v>0</v>
      </c>
      <c r="W1272" t="s">
        <v>39</v>
      </c>
      <c r="X1272">
        <f t="shared" si="375"/>
        <v>1</v>
      </c>
      <c r="Y1272">
        <f t="shared" si="376"/>
        <v>0</v>
      </c>
      <c r="Z1272">
        <v>2</v>
      </c>
      <c r="AA1272">
        <f t="shared" si="377"/>
        <v>0.25</v>
      </c>
      <c r="AB1272" t="s">
        <v>40</v>
      </c>
      <c r="AC1272">
        <f t="shared" si="378"/>
        <v>1</v>
      </c>
      <c r="AD1272">
        <f t="shared" si="379"/>
        <v>0</v>
      </c>
      <c r="AE1272" t="s">
        <v>50</v>
      </c>
      <c r="AF1272">
        <f>IF(AE1272="website",1,0)</f>
        <v>0</v>
      </c>
    </row>
    <row r="1273" spans="1:32">
      <c r="A1273" t="s">
        <v>1921</v>
      </c>
      <c r="B1273" t="s">
        <v>33</v>
      </c>
      <c r="C1273" s="3">
        <f t="shared" si="361"/>
        <v>0</v>
      </c>
      <c r="D1273">
        <f t="shared" si="362"/>
        <v>1</v>
      </c>
      <c r="E1273" t="s">
        <v>635</v>
      </c>
      <c r="F1273" t="s">
        <v>745</v>
      </c>
      <c r="G1273" s="1">
        <v>15109</v>
      </c>
      <c r="H1273" s="2">
        <f t="shared" ca="1" si="363"/>
        <v>85</v>
      </c>
      <c r="I1273" s="2">
        <f t="shared" ca="1" si="364"/>
        <v>0.8571428571428571</v>
      </c>
      <c r="J1273" t="s">
        <v>45</v>
      </c>
      <c r="K1273" t="s">
        <v>626</v>
      </c>
      <c r="L1273">
        <f t="shared" si="365"/>
        <v>0</v>
      </c>
      <c r="M1273">
        <f t="shared" si="366"/>
        <v>0</v>
      </c>
      <c r="N1273">
        <f t="shared" si="367"/>
        <v>0</v>
      </c>
      <c r="O1273" t="s">
        <v>1188</v>
      </c>
      <c r="P1273">
        <f t="shared" si="368"/>
        <v>0</v>
      </c>
      <c r="Q1273">
        <f t="shared" si="369"/>
        <v>0</v>
      </c>
      <c r="R1273">
        <f t="shared" si="370"/>
        <v>0</v>
      </c>
      <c r="S1273">
        <f t="shared" si="371"/>
        <v>0</v>
      </c>
      <c r="T1273">
        <f t="shared" si="372"/>
        <v>0</v>
      </c>
      <c r="U1273">
        <f t="shared" si="373"/>
        <v>0</v>
      </c>
      <c r="V1273">
        <f t="shared" si="374"/>
        <v>0</v>
      </c>
      <c r="W1273" t="s">
        <v>39</v>
      </c>
      <c r="X1273">
        <f t="shared" si="375"/>
        <v>1</v>
      </c>
      <c r="Y1273">
        <f t="shared" si="376"/>
        <v>0</v>
      </c>
      <c r="Z1273">
        <v>1</v>
      </c>
      <c r="AA1273">
        <f t="shared" si="377"/>
        <v>0</v>
      </c>
      <c r="AB1273" t="s">
        <v>40</v>
      </c>
      <c r="AC1273">
        <f t="shared" si="378"/>
        <v>0</v>
      </c>
      <c r="AD1273">
        <f t="shared" si="379"/>
        <v>0</v>
      </c>
      <c r="AE1273" t="s">
        <v>41</v>
      </c>
      <c r="AF1273">
        <f>IF(AE1273="website",1,0)</f>
        <v>1</v>
      </c>
    </row>
    <row r="1274" spans="1:32">
      <c r="A1274" t="s">
        <v>1922</v>
      </c>
      <c r="B1274" t="s">
        <v>33</v>
      </c>
      <c r="C1274" s="3">
        <f t="shared" si="361"/>
        <v>0</v>
      </c>
      <c r="D1274">
        <f t="shared" si="362"/>
        <v>1</v>
      </c>
      <c r="E1274" t="s">
        <v>722</v>
      </c>
      <c r="F1274" t="s">
        <v>700</v>
      </c>
      <c r="G1274" s="1">
        <v>24971</v>
      </c>
      <c r="H1274" s="2">
        <f t="shared" ca="1" si="363"/>
        <v>58</v>
      </c>
      <c r="I1274" s="2">
        <f t="shared" ca="1" si="364"/>
        <v>0.47142857142857142</v>
      </c>
      <c r="J1274" t="s">
        <v>45</v>
      </c>
      <c r="K1274" t="s">
        <v>65</v>
      </c>
      <c r="L1274">
        <f t="shared" si="365"/>
        <v>0</v>
      </c>
      <c r="M1274">
        <f t="shared" si="366"/>
        <v>1</v>
      </c>
      <c r="N1274">
        <f t="shared" si="367"/>
        <v>0</v>
      </c>
      <c r="O1274" t="s">
        <v>843</v>
      </c>
      <c r="P1274">
        <f t="shared" si="368"/>
        <v>0</v>
      </c>
      <c r="Q1274">
        <f t="shared" si="369"/>
        <v>0</v>
      </c>
      <c r="R1274">
        <f t="shared" si="370"/>
        <v>0</v>
      </c>
      <c r="S1274">
        <f t="shared" si="371"/>
        <v>0</v>
      </c>
      <c r="T1274">
        <f t="shared" si="372"/>
        <v>0</v>
      </c>
      <c r="U1274">
        <f t="shared" si="373"/>
        <v>0</v>
      </c>
      <c r="V1274">
        <f t="shared" si="374"/>
        <v>0</v>
      </c>
      <c r="W1274" t="s">
        <v>39</v>
      </c>
      <c r="X1274">
        <f t="shared" si="375"/>
        <v>1</v>
      </c>
      <c r="Y1274">
        <f t="shared" si="376"/>
        <v>0</v>
      </c>
      <c r="Z1274">
        <v>5</v>
      </c>
      <c r="AA1274">
        <f t="shared" si="377"/>
        <v>1</v>
      </c>
      <c r="AB1274" t="s">
        <v>46</v>
      </c>
      <c r="AC1274">
        <f t="shared" si="378"/>
        <v>0</v>
      </c>
      <c r="AD1274">
        <f t="shared" si="379"/>
        <v>0</v>
      </c>
      <c r="AE1274" t="s">
        <v>41</v>
      </c>
      <c r="AF1274">
        <f>IF(AE1274="website",1,0)</f>
        <v>1</v>
      </c>
    </row>
    <row r="1275" spans="1:32">
      <c r="A1275" t="s">
        <v>1923</v>
      </c>
      <c r="B1275" t="s">
        <v>33</v>
      </c>
      <c r="C1275" s="3">
        <f t="shared" si="361"/>
        <v>0</v>
      </c>
      <c r="D1275">
        <f t="shared" si="362"/>
        <v>1</v>
      </c>
      <c r="E1275" t="s">
        <v>637</v>
      </c>
      <c r="F1275" t="s">
        <v>562</v>
      </c>
      <c r="G1275" s="1">
        <v>29045</v>
      </c>
      <c r="H1275" s="2">
        <f t="shared" ca="1" si="363"/>
        <v>47</v>
      </c>
      <c r="I1275" s="2">
        <f t="shared" ca="1" si="364"/>
        <v>0.31428571428571428</v>
      </c>
      <c r="J1275" t="s">
        <v>36</v>
      </c>
      <c r="K1275" t="s">
        <v>37</v>
      </c>
      <c r="L1275">
        <f t="shared" si="365"/>
        <v>1</v>
      </c>
      <c r="M1275">
        <f t="shared" si="366"/>
        <v>0</v>
      </c>
      <c r="N1275">
        <f t="shared" si="367"/>
        <v>0</v>
      </c>
      <c r="O1275" t="s">
        <v>38</v>
      </c>
      <c r="P1275">
        <f t="shared" si="368"/>
        <v>1</v>
      </c>
      <c r="Q1275">
        <f t="shared" si="369"/>
        <v>0</v>
      </c>
      <c r="R1275">
        <f t="shared" si="370"/>
        <v>0</v>
      </c>
      <c r="S1275">
        <f t="shared" si="371"/>
        <v>0</v>
      </c>
      <c r="T1275">
        <f t="shared" si="372"/>
        <v>0</v>
      </c>
      <c r="U1275">
        <f t="shared" si="373"/>
        <v>0</v>
      </c>
      <c r="V1275">
        <f t="shared" si="374"/>
        <v>0</v>
      </c>
      <c r="W1275" t="s">
        <v>58</v>
      </c>
      <c r="X1275">
        <f t="shared" si="375"/>
        <v>0</v>
      </c>
      <c r="Y1275">
        <f t="shared" si="376"/>
        <v>1</v>
      </c>
      <c r="Z1275">
        <v>1</v>
      </c>
      <c r="AA1275">
        <f t="shared" si="377"/>
        <v>0</v>
      </c>
      <c r="AB1275" t="s">
        <v>40</v>
      </c>
      <c r="AC1275">
        <f t="shared" si="378"/>
        <v>0</v>
      </c>
      <c r="AD1275">
        <f t="shared" si="379"/>
        <v>0</v>
      </c>
      <c r="AE1275" t="s">
        <v>41</v>
      </c>
      <c r="AF1275">
        <f>IF(AE1275="website",1,0)</f>
        <v>1</v>
      </c>
    </row>
    <row r="1276" spans="1:32">
      <c r="A1276" t="s">
        <v>1924</v>
      </c>
      <c r="B1276" t="s">
        <v>33</v>
      </c>
      <c r="C1276" s="3">
        <f t="shared" si="361"/>
        <v>0</v>
      </c>
      <c r="D1276">
        <f t="shared" si="362"/>
        <v>1</v>
      </c>
      <c r="E1276" t="s">
        <v>968</v>
      </c>
      <c r="F1276" t="s">
        <v>653</v>
      </c>
      <c r="G1276" s="1">
        <v>25260</v>
      </c>
      <c r="H1276" s="2">
        <f t="shared" ca="1" si="363"/>
        <v>57</v>
      </c>
      <c r="I1276" s="2">
        <f t="shared" ca="1" si="364"/>
        <v>0.45714285714285713</v>
      </c>
      <c r="J1276" t="s">
        <v>36</v>
      </c>
      <c r="K1276" t="s">
        <v>37</v>
      </c>
      <c r="L1276">
        <f t="shared" si="365"/>
        <v>1</v>
      </c>
      <c r="M1276">
        <f t="shared" si="366"/>
        <v>0</v>
      </c>
      <c r="N1276">
        <f t="shared" si="367"/>
        <v>0</v>
      </c>
      <c r="O1276" t="s">
        <v>785</v>
      </c>
      <c r="P1276">
        <f t="shared" si="368"/>
        <v>0</v>
      </c>
      <c r="Q1276">
        <f t="shared" si="369"/>
        <v>0</v>
      </c>
      <c r="R1276">
        <f t="shared" si="370"/>
        <v>0</v>
      </c>
      <c r="S1276">
        <f t="shared" si="371"/>
        <v>0</v>
      </c>
      <c r="T1276">
        <f t="shared" si="372"/>
        <v>0</v>
      </c>
      <c r="U1276">
        <f t="shared" si="373"/>
        <v>0</v>
      </c>
      <c r="V1276">
        <f t="shared" si="374"/>
        <v>0</v>
      </c>
      <c r="W1276" t="s">
        <v>58</v>
      </c>
      <c r="X1276">
        <f t="shared" si="375"/>
        <v>0</v>
      </c>
      <c r="Y1276">
        <f t="shared" si="376"/>
        <v>1</v>
      </c>
      <c r="Z1276">
        <v>1</v>
      </c>
      <c r="AA1276">
        <f t="shared" si="377"/>
        <v>0</v>
      </c>
      <c r="AB1276" t="s">
        <v>46</v>
      </c>
      <c r="AC1276">
        <f t="shared" si="378"/>
        <v>0</v>
      </c>
      <c r="AD1276">
        <f t="shared" si="379"/>
        <v>0</v>
      </c>
      <c r="AE1276" t="s">
        <v>41</v>
      </c>
      <c r="AF1276">
        <f>IF(AE1276="website",1,0)</f>
        <v>1</v>
      </c>
    </row>
    <row r="1277" spans="1:32">
      <c r="A1277" t="s">
        <v>1925</v>
      </c>
      <c r="B1277" t="s">
        <v>33</v>
      </c>
      <c r="C1277" s="3">
        <f t="shared" si="361"/>
        <v>0</v>
      </c>
      <c r="D1277">
        <f t="shared" si="362"/>
        <v>1</v>
      </c>
      <c r="E1277" t="s">
        <v>398</v>
      </c>
      <c r="F1277" t="s">
        <v>928</v>
      </c>
      <c r="G1277" s="1">
        <v>14679</v>
      </c>
      <c r="H1277" s="2">
        <f t="shared" ca="1" si="363"/>
        <v>86</v>
      </c>
      <c r="I1277" s="2">
        <f t="shared" ca="1" si="364"/>
        <v>0.87142857142857144</v>
      </c>
      <c r="J1277" t="s">
        <v>45</v>
      </c>
      <c r="K1277" t="s">
        <v>819</v>
      </c>
      <c r="L1277">
        <f t="shared" si="365"/>
        <v>0</v>
      </c>
      <c r="M1277">
        <f t="shared" si="366"/>
        <v>0</v>
      </c>
      <c r="N1277">
        <f t="shared" si="367"/>
        <v>0</v>
      </c>
      <c r="O1277" t="s">
        <v>1061</v>
      </c>
      <c r="P1277">
        <f t="shared" si="368"/>
        <v>0</v>
      </c>
      <c r="Q1277">
        <f t="shared" si="369"/>
        <v>0</v>
      </c>
      <c r="R1277">
        <f t="shared" si="370"/>
        <v>0</v>
      </c>
      <c r="S1277">
        <f t="shared" si="371"/>
        <v>0</v>
      </c>
      <c r="T1277">
        <f t="shared" si="372"/>
        <v>0</v>
      </c>
      <c r="U1277">
        <f t="shared" si="373"/>
        <v>0</v>
      </c>
      <c r="V1277">
        <f t="shared" si="374"/>
        <v>0</v>
      </c>
      <c r="W1277" t="s">
        <v>39</v>
      </c>
      <c r="X1277">
        <f t="shared" si="375"/>
        <v>1</v>
      </c>
      <c r="Y1277">
        <f t="shared" si="376"/>
        <v>0</v>
      </c>
      <c r="Z1277">
        <v>1</v>
      </c>
      <c r="AA1277">
        <f t="shared" si="377"/>
        <v>0</v>
      </c>
      <c r="AB1277" t="s">
        <v>40</v>
      </c>
      <c r="AC1277">
        <f t="shared" si="378"/>
        <v>1</v>
      </c>
      <c r="AD1277">
        <f t="shared" si="379"/>
        <v>0</v>
      </c>
      <c r="AE1277" t="s">
        <v>50</v>
      </c>
      <c r="AF1277">
        <f>IF(AE1277="website",1,0)</f>
        <v>0</v>
      </c>
    </row>
    <row r="1278" spans="1:32">
      <c r="A1278" t="s">
        <v>1926</v>
      </c>
      <c r="B1278" t="s">
        <v>33</v>
      </c>
      <c r="C1278" s="3">
        <f t="shared" si="361"/>
        <v>0</v>
      </c>
      <c r="D1278">
        <f t="shared" si="362"/>
        <v>1</v>
      </c>
      <c r="E1278" t="s">
        <v>639</v>
      </c>
      <c r="F1278" t="s">
        <v>928</v>
      </c>
      <c r="G1278" s="1">
        <v>29677</v>
      </c>
      <c r="H1278" s="2">
        <f t="shared" ca="1" si="363"/>
        <v>45</v>
      </c>
      <c r="I1278" s="2">
        <f t="shared" ca="1" si="364"/>
        <v>0.2857142857142857</v>
      </c>
      <c r="J1278" t="s">
        <v>36</v>
      </c>
      <c r="K1278" t="s">
        <v>37</v>
      </c>
      <c r="L1278">
        <f t="shared" si="365"/>
        <v>1</v>
      </c>
      <c r="M1278">
        <f t="shared" si="366"/>
        <v>0</v>
      </c>
      <c r="N1278">
        <f t="shared" si="367"/>
        <v>0</v>
      </c>
      <c r="O1278" t="s">
        <v>38</v>
      </c>
      <c r="P1278">
        <f t="shared" si="368"/>
        <v>1</v>
      </c>
      <c r="Q1278">
        <f t="shared" si="369"/>
        <v>0</v>
      </c>
      <c r="R1278">
        <f t="shared" si="370"/>
        <v>0</v>
      </c>
      <c r="S1278">
        <f t="shared" si="371"/>
        <v>0</v>
      </c>
      <c r="T1278">
        <f t="shared" si="372"/>
        <v>0</v>
      </c>
      <c r="U1278">
        <f t="shared" si="373"/>
        <v>0</v>
      </c>
      <c r="V1278">
        <f t="shared" si="374"/>
        <v>0</v>
      </c>
      <c r="W1278" t="s">
        <v>58</v>
      </c>
      <c r="X1278">
        <f t="shared" si="375"/>
        <v>0</v>
      </c>
      <c r="Y1278">
        <f t="shared" si="376"/>
        <v>1</v>
      </c>
      <c r="Z1278">
        <v>2</v>
      </c>
      <c r="AA1278">
        <f t="shared" si="377"/>
        <v>0.25</v>
      </c>
      <c r="AB1278" t="s">
        <v>46</v>
      </c>
      <c r="AC1278">
        <f t="shared" si="378"/>
        <v>1</v>
      </c>
      <c r="AD1278">
        <f t="shared" si="379"/>
        <v>0</v>
      </c>
      <c r="AE1278" t="s">
        <v>50</v>
      </c>
      <c r="AF1278">
        <f>IF(AE1278="website",1,0)</f>
        <v>0</v>
      </c>
    </row>
    <row r="1279" spans="1:32">
      <c r="A1279" t="s">
        <v>1927</v>
      </c>
      <c r="B1279" t="s">
        <v>33</v>
      </c>
      <c r="C1279" s="3">
        <f t="shared" si="361"/>
        <v>0</v>
      </c>
      <c r="D1279">
        <f t="shared" si="362"/>
        <v>1</v>
      </c>
      <c r="E1279" t="s">
        <v>398</v>
      </c>
      <c r="F1279" t="s">
        <v>928</v>
      </c>
      <c r="G1279" s="1">
        <v>35636</v>
      </c>
      <c r="H1279" s="2">
        <f t="shared" ca="1" si="363"/>
        <v>29</v>
      </c>
      <c r="I1279" s="2">
        <f t="shared" ca="1" si="364"/>
        <v>5.7142857142857141E-2</v>
      </c>
      <c r="J1279" t="s">
        <v>45</v>
      </c>
      <c r="K1279" t="s">
        <v>37</v>
      </c>
      <c r="L1279">
        <f t="shared" si="365"/>
        <v>1</v>
      </c>
      <c r="M1279">
        <f t="shared" si="366"/>
        <v>0</v>
      </c>
      <c r="N1279">
        <f t="shared" si="367"/>
        <v>0</v>
      </c>
      <c r="O1279" t="s">
        <v>183</v>
      </c>
      <c r="P1279">
        <f t="shared" si="368"/>
        <v>0</v>
      </c>
      <c r="Q1279">
        <f t="shared" si="369"/>
        <v>0</v>
      </c>
      <c r="R1279">
        <f t="shared" si="370"/>
        <v>0</v>
      </c>
      <c r="S1279">
        <f t="shared" si="371"/>
        <v>0</v>
      </c>
      <c r="T1279">
        <f t="shared" si="372"/>
        <v>0</v>
      </c>
      <c r="U1279">
        <f t="shared" si="373"/>
        <v>0</v>
      </c>
      <c r="V1279">
        <f t="shared" si="374"/>
        <v>0</v>
      </c>
      <c r="W1279" t="s">
        <v>39</v>
      </c>
      <c r="X1279">
        <f t="shared" si="375"/>
        <v>1</v>
      </c>
      <c r="Y1279">
        <f t="shared" si="376"/>
        <v>0</v>
      </c>
      <c r="Z1279">
        <v>4</v>
      </c>
      <c r="AA1279">
        <f t="shared" si="377"/>
        <v>0.75</v>
      </c>
      <c r="AB1279" t="s">
        <v>46</v>
      </c>
      <c r="AC1279">
        <f t="shared" si="378"/>
        <v>0</v>
      </c>
      <c r="AD1279">
        <f t="shared" si="379"/>
        <v>0</v>
      </c>
      <c r="AE1279" t="s">
        <v>41</v>
      </c>
      <c r="AF1279">
        <f>IF(AE1279="website",1,0)</f>
        <v>1</v>
      </c>
    </row>
    <row r="1280" spans="1:32">
      <c r="A1280" t="s">
        <v>1928</v>
      </c>
      <c r="B1280" t="s">
        <v>33</v>
      </c>
      <c r="C1280" s="3">
        <f t="shared" si="361"/>
        <v>0</v>
      </c>
      <c r="D1280">
        <f t="shared" si="362"/>
        <v>1</v>
      </c>
      <c r="E1280" t="s">
        <v>598</v>
      </c>
      <c r="F1280" t="s">
        <v>610</v>
      </c>
      <c r="G1280" s="1">
        <v>15991</v>
      </c>
      <c r="H1280" s="2">
        <f t="shared" ca="1" si="363"/>
        <v>82</v>
      </c>
      <c r="I1280" s="2">
        <f t="shared" ca="1" si="364"/>
        <v>0.81428571428571428</v>
      </c>
      <c r="J1280" t="s">
        <v>45</v>
      </c>
      <c r="K1280" t="s">
        <v>37</v>
      </c>
      <c r="L1280">
        <f t="shared" si="365"/>
        <v>1</v>
      </c>
      <c r="M1280">
        <f t="shared" si="366"/>
        <v>0</v>
      </c>
      <c r="N1280">
        <f t="shared" si="367"/>
        <v>0</v>
      </c>
      <c r="O1280" t="s">
        <v>38</v>
      </c>
      <c r="P1280">
        <f t="shared" si="368"/>
        <v>1</v>
      </c>
      <c r="Q1280">
        <f t="shared" si="369"/>
        <v>0</v>
      </c>
      <c r="R1280">
        <f t="shared" si="370"/>
        <v>0</v>
      </c>
      <c r="S1280">
        <f t="shared" si="371"/>
        <v>0</v>
      </c>
      <c r="T1280">
        <f t="shared" si="372"/>
        <v>0</v>
      </c>
      <c r="U1280">
        <f t="shared" si="373"/>
        <v>0</v>
      </c>
      <c r="V1280">
        <f t="shared" si="374"/>
        <v>0</v>
      </c>
      <c r="W1280" t="s">
        <v>39</v>
      </c>
      <c r="X1280">
        <f t="shared" si="375"/>
        <v>1</v>
      </c>
      <c r="Y1280">
        <f t="shared" si="376"/>
        <v>0</v>
      </c>
      <c r="Z1280">
        <v>4</v>
      </c>
      <c r="AA1280">
        <f t="shared" si="377"/>
        <v>0.75</v>
      </c>
      <c r="AB1280" t="s">
        <v>40</v>
      </c>
      <c r="AC1280">
        <f t="shared" si="378"/>
        <v>0</v>
      </c>
      <c r="AD1280">
        <f t="shared" si="379"/>
        <v>0</v>
      </c>
      <c r="AE1280" t="s">
        <v>41</v>
      </c>
      <c r="AF1280">
        <f>IF(AE1280="website",1,0)</f>
        <v>1</v>
      </c>
    </row>
    <row r="1281" spans="1:32">
      <c r="A1281" t="s">
        <v>1929</v>
      </c>
      <c r="B1281" t="s">
        <v>33</v>
      </c>
      <c r="C1281" s="3">
        <f t="shared" si="361"/>
        <v>0</v>
      </c>
      <c r="D1281">
        <f t="shared" si="362"/>
        <v>1</v>
      </c>
      <c r="E1281" t="s">
        <v>561</v>
      </c>
      <c r="F1281" t="s">
        <v>378</v>
      </c>
      <c r="G1281" s="1">
        <v>19621</v>
      </c>
      <c r="H1281" s="2">
        <f t="shared" ca="1" si="363"/>
        <v>73</v>
      </c>
      <c r="I1281" s="2">
        <f t="shared" ca="1" si="364"/>
        <v>0.68571428571428572</v>
      </c>
      <c r="J1281" t="s">
        <v>45</v>
      </c>
      <c r="K1281" t="s">
        <v>37</v>
      </c>
      <c r="L1281">
        <f t="shared" si="365"/>
        <v>1</v>
      </c>
      <c r="M1281">
        <f t="shared" si="366"/>
        <v>0</v>
      </c>
      <c r="N1281">
        <f t="shared" si="367"/>
        <v>0</v>
      </c>
      <c r="O1281" t="s">
        <v>592</v>
      </c>
      <c r="P1281">
        <f t="shared" si="368"/>
        <v>0</v>
      </c>
      <c r="Q1281">
        <f t="shared" si="369"/>
        <v>0</v>
      </c>
      <c r="R1281">
        <f t="shared" si="370"/>
        <v>0</v>
      </c>
      <c r="S1281">
        <f t="shared" si="371"/>
        <v>0</v>
      </c>
      <c r="T1281">
        <f t="shared" si="372"/>
        <v>0</v>
      </c>
      <c r="U1281">
        <f t="shared" si="373"/>
        <v>0</v>
      </c>
      <c r="V1281">
        <f t="shared" si="374"/>
        <v>0</v>
      </c>
      <c r="W1281" t="s">
        <v>39</v>
      </c>
      <c r="X1281">
        <f t="shared" si="375"/>
        <v>1</v>
      </c>
      <c r="Y1281">
        <f t="shared" si="376"/>
        <v>0</v>
      </c>
      <c r="Z1281">
        <v>2</v>
      </c>
      <c r="AA1281">
        <f t="shared" si="377"/>
        <v>0.25</v>
      </c>
      <c r="AB1281" t="s">
        <v>40</v>
      </c>
      <c r="AC1281">
        <f t="shared" si="378"/>
        <v>0</v>
      </c>
      <c r="AD1281">
        <f t="shared" si="379"/>
        <v>0</v>
      </c>
      <c r="AE1281" t="s">
        <v>41</v>
      </c>
      <c r="AF1281">
        <f>IF(AE1281="website",1,0)</f>
        <v>1</v>
      </c>
    </row>
    <row r="1282" spans="1:32">
      <c r="A1282" t="s">
        <v>1930</v>
      </c>
      <c r="B1282" t="s">
        <v>33</v>
      </c>
      <c r="C1282" s="3">
        <f t="shared" ref="C1282:C1345" si="380">IF(B1282="company",1,0)</f>
        <v>0</v>
      </c>
      <c r="D1282">
        <f t="shared" ref="D1282:D1345" si="381">IF(B1282="individual",1,0)</f>
        <v>1</v>
      </c>
      <c r="E1282" t="s">
        <v>679</v>
      </c>
      <c r="F1282" t="s">
        <v>308</v>
      </c>
      <c r="G1282" s="1">
        <v>35958</v>
      </c>
      <c r="H1282" s="2">
        <f t="shared" ref="H1282:H1345" ca="1" si="382">DATEDIF(G1282,TODAY(),"Y")</f>
        <v>28</v>
      </c>
      <c r="I1282" s="2">
        <f t="shared" ref="I1282:I1345" ca="1" si="383">(H1282-MIN(H:H))/(MAX(H:H)-MIN(H:H))</f>
        <v>4.2857142857142858E-2</v>
      </c>
      <c r="J1282" t="s">
        <v>36</v>
      </c>
      <c r="K1282" t="s">
        <v>65</v>
      </c>
      <c r="L1282">
        <f t="shared" ref="L1282:L1345" si="384">IF(K1282="usa",1,0)</f>
        <v>0</v>
      </c>
      <c r="M1282">
        <f t="shared" ref="M1282:M1345" si="385">IF(K1282="canada",1,0)</f>
        <v>1</v>
      </c>
      <c r="N1282">
        <f t="shared" ref="N1282:N1345" si="386">IF(K1282="germany",1,0)</f>
        <v>0</v>
      </c>
      <c r="O1282" t="s">
        <v>723</v>
      </c>
      <c r="P1282">
        <f t="shared" ref="P1282:P1345" si="387">IF(O1282="california",1,0)</f>
        <v>0</v>
      </c>
      <c r="Q1282">
        <f t="shared" ref="Q1282:Q1345" si="388">IF(O1282="oregon",1,0)</f>
        <v>0</v>
      </c>
      <c r="R1282">
        <f t="shared" ref="R1282:R1345" si="389">IF(O1282="quebec",1,0)</f>
        <v>0</v>
      </c>
      <c r="S1282">
        <f t="shared" ref="S1282:S1345" si="390">IF(O1282="berlin",1,0)</f>
        <v>0</v>
      </c>
      <c r="T1282">
        <f t="shared" ref="T1282:T1345" si="391">IF(O1282="arizona",1,0)</f>
        <v>0</v>
      </c>
      <c r="U1282">
        <f t="shared" ref="U1282:U1345" si="392">IF(O1282="nevada",1,0)</f>
        <v>0</v>
      </c>
      <c r="V1282">
        <f t="shared" ref="V1282:V1345" si="393">IF(O1282="colardo",1,0)</f>
        <v>0</v>
      </c>
      <c r="W1282" t="s">
        <v>58</v>
      </c>
      <c r="X1282">
        <f t="shared" ref="X1282:X1345" si="394">IF(W1282="home",1,0)</f>
        <v>0</v>
      </c>
      <c r="Y1282">
        <f t="shared" ref="Y1282:Y1345" si="395">IF(W1282="investment",1,0)</f>
        <v>1</v>
      </c>
      <c r="Z1282">
        <v>2</v>
      </c>
      <c r="AA1282">
        <f t="shared" ref="AA1282:AA1345" si="396">(Z1282-1)/4</f>
        <v>0.25</v>
      </c>
      <c r="AB1282" t="s">
        <v>40</v>
      </c>
      <c r="AC1282">
        <f t="shared" ref="AC1282:AC1345" si="397">IF(AE1282="agency",1,0)</f>
        <v>0</v>
      </c>
      <c r="AD1282">
        <f t="shared" ref="AD1282:AD1345" si="398">IF(AE1282="client",1,0)</f>
        <v>0</v>
      </c>
      <c r="AE1282" t="s">
        <v>41</v>
      </c>
      <c r="AF1282">
        <f>IF(AE1282="website",1,0)</f>
        <v>1</v>
      </c>
    </row>
    <row r="1283" spans="1:32">
      <c r="A1283" t="s">
        <v>1931</v>
      </c>
      <c r="B1283" t="s">
        <v>33</v>
      </c>
      <c r="C1283" s="3">
        <f t="shared" si="380"/>
        <v>0</v>
      </c>
      <c r="D1283">
        <f t="shared" si="381"/>
        <v>1</v>
      </c>
      <c r="E1283" t="s">
        <v>587</v>
      </c>
      <c r="F1283" t="s">
        <v>117</v>
      </c>
      <c r="G1283" s="1">
        <v>35203</v>
      </c>
      <c r="H1283" s="2">
        <f t="shared" ca="1" si="382"/>
        <v>30</v>
      </c>
      <c r="I1283" s="2">
        <f t="shared" ca="1" si="383"/>
        <v>7.1428571428571425E-2</v>
      </c>
      <c r="J1283" t="s">
        <v>36</v>
      </c>
      <c r="K1283" t="s">
        <v>37</v>
      </c>
      <c r="L1283">
        <f t="shared" si="384"/>
        <v>1</v>
      </c>
      <c r="M1283">
        <f t="shared" si="385"/>
        <v>0</v>
      </c>
      <c r="N1283">
        <f t="shared" si="386"/>
        <v>0</v>
      </c>
      <c r="O1283" t="s">
        <v>137</v>
      </c>
      <c r="P1283">
        <f t="shared" si="387"/>
        <v>0</v>
      </c>
      <c r="Q1283">
        <f t="shared" si="388"/>
        <v>0</v>
      </c>
      <c r="R1283">
        <f t="shared" si="389"/>
        <v>0</v>
      </c>
      <c r="S1283">
        <f t="shared" si="390"/>
        <v>0</v>
      </c>
      <c r="T1283">
        <f t="shared" si="391"/>
        <v>0</v>
      </c>
      <c r="U1283">
        <f t="shared" si="392"/>
        <v>0</v>
      </c>
      <c r="V1283">
        <f t="shared" si="393"/>
        <v>0</v>
      </c>
      <c r="W1283" t="s">
        <v>58</v>
      </c>
      <c r="X1283">
        <f t="shared" si="394"/>
        <v>0</v>
      </c>
      <c r="Y1283">
        <f t="shared" si="395"/>
        <v>1</v>
      </c>
      <c r="Z1283">
        <v>3</v>
      </c>
      <c r="AA1283">
        <f t="shared" si="396"/>
        <v>0.5</v>
      </c>
      <c r="AB1283" t="s">
        <v>40</v>
      </c>
      <c r="AC1283">
        <f t="shared" si="397"/>
        <v>1</v>
      </c>
      <c r="AD1283">
        <f t="shared" si="398"/>
        <v>0</v>
      </c>
      <c r="AE1283" t="s">
        <v>50</v>
      </c>
      <c r="AF1283">
        <f>IF(AE1283="website",1,0)</f>
        <v>0</v>
      </c>
    </row>
    <row r="1284" spans="1:32">
      <c r="A1284" t="s">
        <v>1932</v>
      </c>
      <c r="B1284" t="s">
        <v>33</v>
      </c>
      <c r="C1284" s="3">
        <f t="shared" si="380"/>
        <v>0</v>
      </c>
      <c r="D1284">
        <f t="shared" si="381"/>
        <v>1</v>
      </c>
      <c r="E1284" t="s">
        <v>663</v>
      </c>
      <c r="F1284" t="s">
        <v>745</v>
      </c>
      <c r="G1284" s="1">
        <v>16749</v>
      </c>
      <c r="H1284" s="2">
        <f t="shared" ca="1" si="382"/>
        <v>80</v>
      </c>
      <c r="I1284" s="2">
        <f t="shared" ca="1" si="383"/>
        <v>0.7857142857142857</v>
      </c>
      <c r="J1284" t="s">
        <v>36</v>
      </c>
      <c r="K1284" t="s">
        <v>37</v>
      </c>
      <c r="L1284">
        <f t="shared" si="384"/>
        <v>1</v>
      </c>
      <c r="M1284">
        <f t="shared" si="385"/>
        <v>0</v>
      </c>
      <c r="N1284">
        <f t="shared" si="386"/>
        <v>0</v>
      </c>
      <c r="O1284" t="s">
        <v>717</v>
      </c>
      <c r="P1284">
        <f t="shared" si="387"/>
        <v>0</v>
      </c>
      <c r="Q1284">
        <f t="shared" si="388"/>
        <v>0</v>
      </c>
      <c r="R1284">
        <f t="shared" si="389"/>
        <v>0</v>
      </c>
      <c r="S1284">
        <f t="shared" si="390"/>
        <v>0</v>
      </c>
      <c r="T1284">
        <f t="shared" si="391"/>
        <v>0</v>
      </c>
      <c r="U1284">
        <f t="shared" si="392"/>
        <v>0</v>
      </c>
      <c r="V1284">
        <f t="shared" si="393"/>
        <v>0</v>
      </c>
      <c r="W1284" t="s">
        <v>39</v>
      </c>
      <c r="X1284">
        <f t="shared" si="394"/>
        <v>1</v>
      </c>
      <c r="Y1284">
        <f t="shared" si="395"/>
        <v>0</v>
      </c>
      <c r="Z1284">
        <v>3</v>
      </c>
      <c r="AA1284">
        <f t="shared" si="396"/>
        <v>0.5</v>
      </c>
      <c r="AB1284" t="s">
        <v>46</v>
      </c>
      <c r="AC1284">
        <f t="shared" si="397"/>
        <v>1</v>
      </c>
      <c r="AD1284">
        <f t="shared" si="398"/>
        <v>0</v>
      </c>
      <c r="AE1284" t="s">
        <v>50</v>
      </c>
      <c r="AF1284">
        <f>IF(AE1284="website",1,0)</f>
        <v>0</v>
      </c>
    </row>
    <row r="1285" spans="1:32">
      <c r="A1285" t="s">
        <v>1933</v>
      </c>
      <c r="B1285" t="s">
        <v>33</v>
      </c>
      <c r="C1285" s="3">
        <f t="shared" si="380"/>
        <v>0</v>
      </c>
      <c r="D1285">
        <f t="shared" si="381"/>
        <v>1</v>
      </c>
      <c r="E1285" t="s">
        <v>152</v>
      </c>
      <c r="F1285" t="s">
        <v>378</v>
      </c>
      <c r="G1285" s="1">
        <v>20378</v>
      </c>
      <c r="H1285" s="2">
        <f t="shared" ca="1" si="382"/>
        <v>70</v>
      </c>
      <c r="I1285" s="2">
        <f t="shared" ca="1" si="383"/>
        <v>0.6428571428571429</v>
      </c>
      <c r="J1285" t="s">
        <v>45</v>
      </c>
      <c r="K1285" t="s">
        <v>37</v>
      </c>
      <c r="L1285">
        <f t="shared" si="384"/>
        <v>1</v>
      </c>
      <c r="M1285">
        <f t="shared" si="385"/>
        <v>0</v>
      </c>
      <c r="N1285">
        <f t="shared" si="386"/>
        <v>0</v>
      </c>
      <c r="O1285" t="s">
        <v>38</v>
      </c>
      <c r="P1285">
        <f t="shared" si="387"/>
        <v>1</v>
      </c>
      <c r="Q1285">
        <f t="shared" si="388"/>
        <v>0</v>
      </c>
      <c r="R1285">
        <f t="shared" si="389"/>
        <v>0</v>
      </c>
      <c r="S1285">
        <f t="shared" si="390"/>
        <v>0</v>
      </c>
      <c r="T1285">
        <f t="shared" si="391"/>
        <v>0</v>
      </c>
      <c r="U1285">
        <f t="shared" si="392"/>
        <v>0</v>
      </c>
      <c r="V1285">
        <f t="shared" si="393"/>
        <v>0</v>
      </c>
      <c r="W1285" t="s">
        <v>39</v>
      </c>
      <c r="X1285">
        <f t="shared" si="394"/>
        <v>1</v>
      </c>
      <c r="Y1285">
        <f t="shared" si="395"/>
        <v>0</v>
      </c>
      <c r="Z1285">
        <v>2</v>
      </c>
      <c r="AA1285">
        <f t="shared" si="396"/>
        <v>0.25</v>
      </c>
      <c r="AB1285" t="s">
        <v>46</v>
      </c>
      <c r="AC1285">
        <f t="shared" si="397"/>
        <v>0</v>
      </c>
      <c r="AD1285">
        <f t="shared" si="398"/>
        <v>0</v>
      </c>
      <c r="AE1285" t="s">
        <v>41</v>
      </c>
      <c r="AF1285">
        <f>IF(AE1285="website",1,0)</f>
        <v>1</v>
      </c>
    </row>
    <row r="1286" spans="1:32">
      <c r="A1286" t="s">
        <v>1934</v>
      </c>
      <c r="B1286" t="s">
        <v>33</v>
      </c>
      <c r="C1286" s="3">
        <f t="shared" si="380"/>
        <v>0</v>
      </c>
      <c r="D1286">
        <f t="shared" si="381"/>
        <v>1</v>
      </c>
      <c r="E1286" t="s">
        <v>972</v>
      </c>
      <c r="F1286" t="s">
        <v>856</v>
      </c>
      <c r="G1286" s="1">
        <v>19785</v>
      </c>
      <c r="H1286" s="2">
        <f t="shared" ca="1" si="382"/>
        <v>72</v>
      </c>
      <c r="I1286" s="2">
        <f t="shared" ca="1" si="383"/>
        <v>0.67142857142857137</v>
      </c>
      <c r="J1286" t="s">
        <v>45</v>
      </c>
      <c r="K1286" t="s">
        <v>37</v>
      </c>
      <c r="L1286">
        <f t="shared" si="384"/>
        <v>1</v>
      </c>
      <c r="M1286">
        <f t="shared" si="385"/>
        <v>0</v>
      </c>
      <c r="N1286">
        <f t="shared" si="386"/>
        <v>0</v>
      </c>
      <c r="O1286" t="s">
        <v>183</v>
      </c>
      <c r="P1286">
        <f t="shared" si="387"/>
        <v>0</v>
      </c>
      <c r="Q1286">
        <f t="shared" si="388"/>
        <v>0</v>
      </c>
      <c r="R1286">
        <f t="shared" si="389"/>
        <v>0</v>
      </c>
      <c r="S1286">
        <f t="shared" si="390"/>
        <v>0</v>
      </c>
      <c r="T1286">
        <f t="shared" si="391"/>
        <v>0</v>
      </c>
      <c r="U1286">
        <f t="shared" si="392"/>
        <v>0</v>
      </c>
      <c r="V1286">
        <f t="shared" si="393"/>
        <v>0</v>
      </c>
      <c r="W1286" t="s">
        <v>39</v>
      </c>
      <c r="X1286">
        <f t="shared" si="394"/>
        <v>1</v>
      </c>
      <c r="Y1286">
        <f t="shared" si="395"/>
        <v>0</v>
      </c>
      <c r="Z1286">
        <v>4</v>
      </c>
      <c r="AA1286">
        <f t="shared" si="396"/>
        <v>0.75</v>
      </c>
      <c r="AB1286" t="s">
        <v>40</v>
      </c>
      <c r="AC1286">
        <f t="shared" si="397"/>
        <v>0</v>
      </c>
      <c r="AD1286">
        <f t="shared" si="398"/>
        <v>0</v>
      </c>
      <c r="AE1286" t="s">
        <v>41</v>
      </c>
      <c r="AF1286">
        <f>IF(AE1286="website",1,0)</f>
        <v>1</v>
      </c>
    </row>
    <row r="1287" spans="1:32">
      <c r="A1287" t="s">
        <v>1935</v>
      </c>
      <c r="B1287" t="s">
        <v>33</v>
      </c>
      <c r="C1287" s="3">
        <f t="shared" si="380"/>
        <v>0</v>
      </c>
      <c r="D1287">
        <f t="shared" si="381"/>
        <v>1</v>
      </c>
      <c r="E1287" t="s">
        <v>734</v>
      </c>
      <c r="F1287" t="s">
        <v>667</v>
      </c>
      <c r="G1287" s="1">
        <v>23202</v>
      </c>
      <c r="H1287" s="2">
        <f t="shared" ca="1" si="382"/>
        <v>63</v>
      </c>
      <c r="I1287" s="2">
        <f t="shared" ca="1" si="383"/>
        <v>0.54285714285714282</v>
      </c>
      <c r="J1287" t="s">
        <v>45</v>
      </c>
      <c r="K1287" t="s">
        <v>37</v>
      </c>
      <c r="L1287">
        <f t="shared" si="384"/>
        <v>1</v>
      </c>
      <c r="M1287">
        <f t="shared" si="385"/>
        <v>0</v>
      </c>
      <c r="N1287">
        <f t="shared" si="386"/>
        <v>0</v>
      </c>
      <c r="O1287" t="s">
        <v>38</v>
      </c>
      <c r="P1287">
        <f t="shared" si="387"/>
        <v>1</v>
      </c>
      <c r="Q1287">
        <f t="shared" si="388"/>
        <v>0</v>
      </c>
      <c r="R1287">
        <f t="shared" si="389"/>
        <v>0</v>
      </c>
      <c r="S1287">
        <f t="shared" si="390"/>
        <v>0</v>
      </c>
      <c r="T1287">
        <f t="shared" si="391"/>
        <v>0</v>
      </c>
      <c r="U1287">
        <f t="shared" si="392"/>
        <v>0</v>
      </c>
      <c r="V1287">
        <f t="shared" si="393"/>
        <v>0</v>
      </c>
      <c r="W1287" t="s">
        <v>39</v>
      </c>
      <c r="X1287">
        <f t="shared" si="394"/>
        <v>1</v>
      </c>
      <c r="Y1287">
        <f t="shared" si="395"/>
        <v>0</v>
      </c>
      <c r="Z1287">
        <v>5</v>
      </c>
      <c r="AA1287">
        <f t="shared" si="396"/>
        <v>1</v>
      </c>
      <c r="AB1287" t="s">
        <v>46</v>
      </c>
      <c r="AC1287">
        <f t="shared" si="397"/>
        <v>1</v>
      </c>
      <c r="AD1287">
        <f t="shared" si="398"/>
        <v>0</v>
      </c>
      <c r="AE1287" t="s">
        <v>50</v>
      </c>
      <c r="AF1287">
        <f>IF(AE1287="website",1,0)</f>
        <v>0</v>
      </c>
    </row>
    <row r="1288" spans="1:32">
      <c r="A1288" t="s">
        <v>1936</v>
      </c>
      <c r="B1288" t="s">
        <v>33</v>
      </c>
      <c r="C1288" s="3">
        <f t="shared" si="380"/>
        <v>0</v>
      </c>
      <c r="D1288">
        <f t="shared" si="381"/>
        <v>1</v>
      </c>
      <c r="E1288" t="s">
        <v>890</v>
      </c>
      <c r="F1288" t="s">
        <v>716</v>
      </c>
      <c r="G1288" s="1">
        <v>35892</v>
      </c>
      <c r="H1288" s="2">
        <f t="shared" ca="1" si="382"/>
        <v>28</v>
      </c>
      <c r="I1288" s="2">
        <f t="shared" ca="1" si="383"/>
        <v>4.2857142857142858E-2</v>
      </c>
      <c r="J1288" t="s">
        <v>36</v>
      </c>
      <c r="K1288" t="s">
        <v>37</v>
      </c>
      <c r="L1288">
        <f t="shared" si="384"/>
        <v>1</v>
      </c>
      <c r="M1288">
        <f t="shared" si="385"/>
        <v>0</v>
      </c>
      <c r="N1288">
        <f t="shared" si="386"/>
        <v>0</v>
      </c>
      <c r="O1288" t="s">
        <v>38</v>
      </c>
      <c r="P1288">
        <f t="shared" si="387"/>
        <v>1</v>
      </c>
      <c r="Q1288">
        <f t="shared" si="388"/>
        <v>0</v>
      </c>
      <c r="R1288">
        <f t="shared" si="389"/>
        <v>0</v>
      </c>
      <c r="S1288">
        <f t="shared" si="390"/>
        <v>0</v>
      </c>
      <c r="T1288">
        <f t="shared" si="391"/>
        <v>0</v>
      </c>
      <c r="U1288">
        <f t="shared" si="392"/>
        <v>0</v>
      </c>
      <c r="V1288">
        <f t="shared" si="393"/>
        <v>0</v>
      </c>
      <c r="W1288" t="s">
        <v>58</v>
      </c>
      <c r="X1288">
        <f t="shared" si="394"/>
        <v>0</v>
      </c>
      <c r="Y1288">
        <f t="shared" si="395"/>
        <v>1</v>
      </c>
      <c r="Z1288">
        <v>4</v>
      </c>
      <c r="AA1288">
        <f t="shared" si="396"/>
        <v>0.75</v>
      </c>
      <c r="AB1288" t="s">
        <v>46</v>
      </c>
      <c r="AC1288">
        <f t="shared" si="397"/>
        <v>0</v>
      </c>
      <c r="AD1288">
        <f t="shared" si="398"/>
        <v>0</v>
      </c>
      <c r="AE1288" t="s">
        <v>41</v>
      </c>
      <c r="AF1288">
        <f>IF(AE1288="website",1,0)</f>
        <v>1</v>
      </c>
    </row>
    <row r="1289" spans="1:32">
      <c r="A1289" t="s">
        <v>1937</v>
      </c>
      <c r="B1289" t="s">
        <v>33</v>
      </c>
      <c r="C1289" s="3">
        <f t="shared" si="380"/>
        <v>0</v>
      </c>
      <c r="D1289">
        <f t="shared" si="381"/>
        <v>1</v>
      </c>
      <c r="E1289" t="s">
        <v>629</v>
      </c>
      <c r="F1289" t="s">
        <v>861</v>
      </c>
      <c r="G1289" s="1">
        <v>14996</v>
      </c>
      <c r="H1289" s="2">
        <f t="shared" ca="1" si="382"/>
        <v>85</v>
      </c>
      <c r="I1289" s="2">
        <f t="shared" ca="1" si="383"/>
        <v>0.8571428571428571</v>
      </c>
      <c r="J1289" t="s">
        <v>45</v>
      </c>
      <c r="K1289" t="s">
        <v>153</v>
      </c>
      <c r="L1289">
        <f t="shared" si="384"/>
        <v>0</v>
      </c>
      <c r="M1289">
        <f t="shared" si="385"/>
        <v>0</v>
      </c>
      <c r="N1289">
        <f t="shared" si="386"/>
        <v>0</v>
      </c>
      <c r="O1289" t="s">
        <v>945</v>
      </c>
      <c r="P1289">
        <f t="shared" si="387"/>
        <v>0</v>
      </c>
      <c r="Q1289">
        <f t="shared" si="388"/>
        <v>0</v>
      </c>
      <c r="R1289">
        <f t="shared" si="389"/>
        <v>0</v>
      </c>
      <c r="S1289">
        <f t="shared" si="390"/>
        <v>0</v>
      </c>
      <c r="T1289">
        <f t="shared" si="391"/>
        <v>0</v>
      </c>
      <c r="U1289">
        <f t="shared" si="392"/>
        <v>0</v>
      </c>
      <c r="V1289">
        <f t="shared" si="393"/>
        <v>0</v>
      </c>
      <c r="W1289" t="s">
        <v>39</v>
      </c>
      <c r="X1289">
        <f t="shared" si="394"/>
        <v>1</v>
      </c>
      <c r="Y1289">
        <f t="shared" si="395"/>
        <v>0</v>
      </c>
      <c r="Z1289">
        <v>3</v>
      </c>
      <c r="AA1289">
        <f t="shared" si="396"/>
        <v>0.5</v>
      </c>
      <c r="AB1289" t="s">
        <v>46</v>
      </c>
      <c r="AC1289">
        <f t="shared" si="397"/>
        <v>1</v>
      </c>
      <c r="AD1289">
        <f t="shared" si="398"/>
        <v>0</v>
      </c>
      <c r="AE1289" t="s">
        <v>50</v>
      </c>
      <c r="AF1289">
        <f>IF(AE1289="website",1,0)</f>
        <v>0</v>
      </c>
    </row>
    <row r="1290" spans="1:32">
      <c r="A1290" t="s">
        <v>1938</v>
      </c>
      <c r="B1290" t="s">
        <v>33</v>
      </c>
      <c r="C1290" s="3">
        <f t="shared" si="380"/>
        <v>0</v>
      </c>
      <c r="D1290">
        <f t="shared" si="381"/>
        <v>1</v>
      </c>
      <c r="E1290" t="s">
        <v>852</v>
      </c>
      <c r="F1290" t="s">
        <v>757</v>
      </c>
      <c r="G1290" s="1">
        <v>26871</v>
      </c>
      <c r="H1290" s="2">
        <f t="shared" ca="1" si="382"/>
        <v>53</v>
      </c>
      <c r="I1290" s="2">
        <f t="shared" ca="1" si="383"/>
        <v>0.4</v>
      </c>
      <c r="J1290" t="s">
        <v>45</v>
      </c>
      <c r="K1290" t="s">
        <v>158</v>
      </c>
      <c r="L1290">
        <f t="shared" si="384"/>
        <v>0</v>
      </c>
      <c r="M1290">
        <f t="shared" si="385"/>
        <v>0</v>
      </c>
      <c r="N1290">
        <f t="shared" si="386"/>
        <v>0</v>
      </c>
      <c r="O1290" t="s">
        <v>1068</v>
      </c>
      <c r="P1290">
        <f t="shared" si="387"/>
        <v>0</v>
      </c>
      <c r="Q1290">
        <f t="shared" si="388"/>
        <v>0</v>
      </c>
      <c r="R1290">
        <f t="shared" si="389"/>
        <v>0</v>
      </c>
      <c r="S1290">
        <f t="shared" si="390"/>
        <v>0</v>
      </c>
      <c r="T1290">
        <f t="shared" si="391"/>
        <v>0</v>
      </c>
      <c r="U1290">
        <f t="shared" si="392"/>
        <v>0</v>
      </c>
      <c r="V1290">
        <f t="shared" si="393"/>
        <v>0</v>
      </c>
      <c r="W1290" t="s">
        <v>58</v>
      </c>
      <c r="X1290">
        <f t="shared" si="394"/>
        <v>0</v>
      </c>
      <c r="Y1290">
        <f t="shared" si="395"/>
        <v>1</v>
      </c>
      <c r="Z1290">
        <v>1</v>
      </c>
      <c r="AA1290">
        <f t="shared" si="396"/>
        <v>0</v>
      </c>
      <c r="AB1290" t="s">
        <v>40</v>
      </c>
      <c r="AC1290">
        <f t="shared" si="397"/>
        <v>1</v>
      </c>
      <c r="AD1290">
        <f t="shared" si="398"/>
        <v>0</v>
      </c>
      <c r="AE1290" t="s">
        <v>50</v>
      </c>
      <c r="AF1290">
        <f>IF(AE1290="website",1,0)</f>
        <v>0</v>
      </c>
    </row>
    <row r="1291" spans="1:32">
      <c r="A1291" t="s">
        <v>1939</v>
      </c>
      <c r="B1291" t="s">
        <v>33</v>
      </c>
      <c r="C1291" s="3">
        <f t="shared" si="380"/>
        <v>0</v>
      </c>
      <c r="D1291">
        <f t="shared" si="381"/>
        <v>1</v>
      </c>
      <c r="E1291" t="s">
        <v>947</v>
      </c>
      <c r="F1291" t="s">
        <v>738</v>
      </c>
      <c r="G1291" s="1">
        <v>26961</v>
      </c>
      <c r="H1291" s="2">
        <f t="shared" ca="1" si="382"/>
        <v>52</v>
      </c>
      <c r="I1291" s="2">
        <f t="shared" ca="1" si="383"/>
        <v>0.38571428571428573</v>
      </c>
      <c r="J1291" t="s">
        <v>36</v>
      </c>
      <c r="K1291" t="s">
        <v>37</v>
      </c>
      <c r="L1291">
        <f t="shared" si="384"/>
        <v>1</v>
      </c>
      <c r="M1291">
        <f t="shared" si="385"/>
        <v>0</v>
      </c>
      <c r="N1291">
        <f t="shared" si="386"/>
        <v>0</v>
      </c>
      <c r="O1291" t="s">
        <v>565</v>
      </c>
      <c r="P1291">
        <f t="shared" si="387"/>
        <v>0</v>
      </c>
      <c r="Q1291">
        <f t="shared" si="388"/>
        <v>0</v>
      </c>
      <c r="R1291">
        <f t="shared" si="389"/>
        <v>0</v>
      </c>
      <c r="S1291">
        <f t="shared" si="390"/>
        <v>0</v>
      </c>
      <c r="T1291">
        <f t="shared" si="391"/>
        <v>0</v>
      </c>
      <c r="U1291">
        <f t="shared" si="392"/>
        <v>0</v>
      </c>
      <c r="V1291">
        <f t="shared" si="393"/>
        <v>0</v>
      </c>
      <c r="W1291" t="s">
        <v>39</v>
      </c>
      <c r="X1291">
        <f t="shared" si="394"/>
        <v>1</v>
      </c>
      <c r="Y1291">
        <f t="shared" si="395"/>
        <v>0</v>
      </c>
      <c r="Z1291">
        <v>3</v>
      </c>
      <c r="AA1291">
        <f t="shared" si="396"/>
        <v>0.5</v>
      </c>
      <c r="AB1291" t="s">
        <v>40</v>
      </c>
      <c r="AC1291">
        <f t="shared" si="397"/>
        <v>0</v>
      </c>
      <c r="AD1291">
        <f t="shared" si="398"/>
        <v>0</v>
      </c>
      <c r="AE1291" t="s">
        <v>41</v>
      </c>
      <c r="AF1291">
        <f>IF(AE1291="website",1,0)</f>
        <v>1</v>
      </c>
    </row>
    <row r="1292" spans="1:32">
      <c r="A1292" t="s">
        <v>1940</v>
      </c>
      <c r="B1292" t="s">
        <v>33</v>
      </c>
      <c r="C1292" s="3">
        <f t="shared" si="380"/>
        <v>0</v>
      </c>
      <c r="D1292">
        <f t="shared" si="381"/>
        <v>1</v>
      </c>
      <c r="E1292" t="s">
        <v>792</v>
      </c>
      <c r="F1292" t="s">
        <v>616</v>
      </c>
      <c r="G1292" s="1">
        <v>30629</v>
      </c>
      <c r="H1292" s="2">
        <f t="shared" ca="1" si="382"/>
        <v>42</v>
      </c>
      <c r="I1292" s="2">
        <f t="shared" ca="1" si="383"/>
        <v>0.24285714285714285</v>
      </c>
      <c r="J1292" t="s">
        <v>45</v>
      </c>
      <c r="K1292" t="s">
        <v>37</v>
      </c>
      <c r="L1292">
        <f t="shared" si="384"/>
        <v>1</v>
      </c>
      <c r="M1292">
        <f t="shared" si="385"/>
        <v>0</v>
      </c>
      <c r="N1292">
        <f t="shared" si="386"/>
        <v>0</v>
      </c>
      <c r="O1292" t="s">
        <v>38</v>
      </c>
      <c r="P1292">
        <f t="shared" si="387"/>
        <v>1</v>
      </c>
      <c r="Q1292">
        <f t="shared" si="388"/>
        <v>0</v>
      </c>
      <c r="R1292">
        <f t="shared" si="389"/>
        <v>0</v>
      </c>
      <c r="S1292">
        <f t="shared" si="390"/>
        <v>0</v>
      </c>
      <c r="T1292">
        <f t="shared" si="391"/>
        <v>0</v>
      </c>
      <c r="U1292">
        <f t="shared" si="392"/>
        <v>0</v>
      </c>
      <c r="V1292">
        <f t="shared" si="393"/>
        <v>0</v>
      </c>
      <c r="W1292" t="s">
        <v>58</v>
      </c>
      <c r="X1292">
        <f t="shared" si="394"/>
        <v>0</v>
      </c>
      <c r="Y1292">
        <f t="shared" si="395"/>
        <v>1</v>
      </c>
      <c r="Z1292">
        <v>5</v>
      </c>
      <c r="AA1292">
        <f t="shared" si="396"/>
        <v>1</v>
      </c>
      <c r="AB1292" t="s">
        <v>40</v>
      </c>
      <c r="AC1292">
        <f t="shared" si="397"/>
        <v>0</v>
      </c>
      <c r="AD1292">
        <f t="shared" si="398"/>
        <v>0</v>
      </c>
      <c r="AE1292" t="s">
        <v>41</v>
      </c>
      <c r="AF1292">
        <f>IF(AE1292="website",1,0)</f>
        <v>1</v>
      </c>
    </row>
    <row r="1293" spans="1:32">
      <c r="A1293" t="s">
        <v>1941</v>
      </c>
      <c r="B1293" t="s">
        <v>33</v>
      </c>
      <c r="C1293" s="3">
        <f t="shared" si="380"/>
        <v>0</v>
      </c>
      <c r="D1293">
        <f t="shared" si="381"/>
        <v>1</v>
      </c>
      <c r="E1293" t="s">
        <v>700</v>
      </c>
      <c r="F1293" t="s">
        <v>667</v>
      </c>
      <c r="G1293" s="1">
        <v>28267</v>
      </c>
      <c r="H1293" s="2">
        <f t="shared" ca="1" si="382"/>
        <v>49</v>
      </c>
      <c r="I1293" s="2">
        <f t="shared" ca="1" si="383"/>
        <v>0.34285714285714286</v>
      </c>
      <c r="J1293" t="s">
        <v>45</v>
      </c>
      <c r="K1293" t="s">
        <v>37</v>
      </c>
      <c r="L1293">
        <f t="shared" si="384"/>
        <v>1</v>
      </c>
      <c r="M1293">
        <f t="shared" si="385"/>
        <v>0</v>
      </c>
      <c r="N1293">
        <f t="shared" si="386"/>
        <v>0</v>
      </c>
      <c r="O1293" t="s">
        <v>592</v>
      </c>
      <c r="P1293">
        <f t="shared" si="387"/>
        <v>0</v>
      </c>
      <c r="Q1293">
        <f t="shared" si="388"/>
        <v>0</v>
      </c>
      <c r="R1293">
        <f t="shared" si="389"/>
        <v>0</v>
      </c>
      <c r="S1293">
        <f t="shared" si="390"/>
        <v>0</v>
      </c>
      <c r="T1293">
        <f t="shared" si="391"/>
        <v>0</v>
      </c>
      <c r="U1293">
        <f t="shared" si="392"/>
        <v>0</v>
      </c>
      <c r="V1293">
        <f t="shared" si="393"/>
        <v>0</v>
      </c>
      <c r="W1293" t="s">
        <v>58</v>
      </c>
      <c r="X1293">
        <f t="shared" si="394"/>
        <v>0</v>
      </c>
      <c r="Y1293">
        <f t="shared" si="395"/>
        <v>1</v>
      </c>
      <c r="Z1293">
        <v>5</v>
      </c>
      <c r="AA1293">
        <f t="shared" si="396"/>
        <v>1</v>
      </c>
      <c r="AB1293" t="s">
        <v>40</v>
      </c>
      <c r="AC1293">
        <f t="shared" si="397"/>
        <v>0</v>
      </c>
      <c r="AD1293">
        <f t="shared" si="398"/>
        <v>0</v>
      </c>
      <c r="AE1293" t="s">
        <v>41</v>
      </c>
      <c r="AF1293">
        <f>IF(AE1293="website",1,0)</f>
        <v>1</v>
      </c>
    </row>
    <row r="1294" spans="1:32">
      <c r="A1294" t="s">
        <v>1942</v>
      </c>
      <c r="B1294" t="s">
        <v>33</v>
      </c>
      <c r="C1294" s="3">
        <f t="shared" si="380"/>
        <v>0</v>
      </c>
      <c r="D1294">
        <f t="shared" si="381"/>
        <v>1</v>
      </c>
      <c r="E1294" t="s">
        <v>612</v>
      </c>
      <c r="F1294" t="s">
        <v>61</v>
      </c>
      <c r="G1294" s="1">
        <v>26512</v>
      </c>
      <c r="H1294" s="2">
        <f t="shared" ca="1" si="382"/>
        <v>54</v>
      </c>
      <c r="I1294" s="2">
        <f t="shared" ca="1" si="383"/>
        <v>0.41428571428571431</v>
      </c>
      <c r="J1294" t="s">
        <v>36</v>
      </c>
      <c r="K1294" t="s">
        <v>37</v>
      </c>
      <c r="L1294">
        <f t="shared" si="384"/>
        <v>1</v>
      </c>
      <c r="M1294">
        <f t="shared" si="385"/>
        <v>0</v>
      </c>
      <c r="N1294">
        <f t="shared" si="386"/>
        <v>0</v>
      </c>
      <c r="O1294" t="s">
        <v>38</v>
      </c>
      <c r="P1294">
        <f t="shared" si="387"/>
        <v>1</v>
      </c>
      <c r="Q1294">
        <f t="shared" si="388"/>
        <v>0</v>
      </c>
      <c r="R1294">
        <f t="shared" si="389"/>
        <v>0</v>
      </c>
      <c r="S1294">
        <f t="shared" si="390"/>
        <v>0</v>
      </c>
      <c r="T1294">
        <f t="shared" si="391"/>
        <v>0</v>
      </c>
      <c r="U1294">
        <f t="shared" si="392"/>
        <v>0</v>
      </c>
      <c r="V1294">
        <f t="shared" si="393"/>
        <v>0</v>
      </c>
      <c r="W1294" t="s">
        <v>39</v>
      </c>
      <c r="X1294">
        <f t="shared" si="394"/>
        <v>1</v>
      </c>
      <c r="Y1294">
        <f t="shared" si="395"/>
        <v>0</v>
      </c>
      <c r="Z1294">
        <v>1</v>
      </c>
      <c r="AA1294">
        <f t="shared" si="396"/>
        <v>0</v>
      </c>
      <c r="AB1294" t="s">
        <v>46</v>
      </c>
      <c r="AC1294">
        <f t="shared" si="397"/>
        <v>1</v>
      </c>
      <c r="AD1294">
        <f t="shared" si="398"/>
        <v>0</v>
      </c>
      <c r="AE1294" t="s">
        <v>50</v>
      </c>
      <c r="AF1294">
        <f>IF(AE1294="website",1,0)</f>
        <v>0</v>
      </c>
    </row>
    <row r="1295" spans="1:32">
      <c r="A1295" t="s">
        <v>1943</v>
      </c>
      <c r="B1295" t="s">
        <v>33</v>
      </c>
      <c r="C1295" s="3">
        <f t="shared" si="380"/>
        <v>0</v>
      </c>
      <c r="D1295">
        <f t="shared" si="381"/>
        <v>1</v>
      </c>
      <c r="E1295" t="s">
        <v>226</v>
      </c>
      <c r="F1295" t="s">
        <v>840</v>
      </c>
      <c r="G1295" s="1">
        <v>23051</v>
      </c>
      <c r="H1295" s="2">
        <f t="shared" ca="1" si="382"/>
        <v>63</v>
      </c>
      <c r="I1295" s="2">
        <f t="shared" ca="1" si="383"/>
        <v>0.54285714285714282</v>
      </c>
      <c r="J1295" t="s">
        <v>45</v>
      </c>
      <c r="K1295" t="s">
        <v>65</v>
      </c>
      <c r="L1295">
        <f t="shared" si="384"/>
        <v>0</v>
      </c>
      <c r="M1295">
        <f t="shared" si="385"/>
        <v>1</v>
      </c>
      <c r="N1295">
        <f t="shared" si="386"/>
        <v>0</v>
      </c>
      <c r="O1295" t="s">
        <v>686</v>
      </c>
      <c r="P1295">
        <f t="shared" si="387"/>
        <v>0</v>
      </c>
      <c r="Q1295">
        <f t="shared" si="388"/>
        <v>0</v>
      </c>
      <c r="R1295">
        <f t="shared" si="389"/>
        <v>0</v>
      </c>
      <c r="S1295">
        <f t="shared" si="390"/>
        <v>0</v>
      </c>
      <c r="T1295">
        <f t="shared" si="391"/>
        <v>0</v>
      </c>
      <c r="U1295">
        <f t="shared" si="392"/>
        <v>0</v>
      </c>
      <c r="V1295">
        <f t="shared" si="393"/>
        <v>0</v>
      </c>
      <c r="W1295" t="s">
        <v>58</v>
      </c>
      <c r="X1295">
        <f t="shared" si="394"/>
        <v>0</v>
      </c>
      <c r="Y1295">
        <f t="shared" si="395"/>
        <v>1</v>
      </c>
      <c r="Z1295">
        <v>3</v>
      </c>
      <c r="AA1295">
        <f t="shared" si="396"/>
        <v>0.5</v>
      </c>
      <c r="AB1295" t="s">
        <v>40</v>
      </c>
      <c r="AC1295">
        <f t="shared" si="397"/>
        <v>1</v>
      </c>
      <c r="AD1295">
        <f t="shared" si="398"/>
        <v>0</v>
      </c>
      <c r="AE1295" t="s">
        <v>50</v>
      </c>
      <c r="AF1295">
        <f>IF(AE1295="website",1,0)</f>
        <v>0</v>
      </c>
    </row>
    <row r="1296" spans="1:32">
      <c r="A1296" t="s">
        <v>1944</v>
      </c>
      <c r="B1296" t="s">
        <v>33</v>
      </c>
      <c r="C1296" s="3">
        <f t="shared" si="380"/>
        <v>0</v>
      </c>
      <c r="D1296">
        <f t="shared" si="381"/>
        <v>1</v>
      </c>
      <c r="E1296" t="s">
        <v>612</v>
      </c>
      <c r="F1296" t="s">
        <v>773</v>
      </c>
      <c r="G1296" s="1">
        <v>33715</v>
      </c>
      <c r="H1296" s="2">
        <f t="shared" ca="1" si="382"/>
        <v>34</v>
      </c>
      <c r="I1296" s="2">
        <f t="shared" ca="1" si="383"/>
        <v>0.12857142857142856</v>
      </c>
      <c r="J1296" t="s">
        <v>36</v>
      </c>
      <c r="K1296" t="s">
        <v>37</v>
      </c>
      <c r="L1296">
        <f t="shared" si="384"/>
        <v>1</v>
      </c>
      <c r="M1296">
        <f t="shared" si="385"/>
        <v>0</v>
      </c>
      <c r="N1296">
        <f t="shared" si="386"/>
        <v>0</v>
      </c>
      <c r="O1296" t="s">
        <v>38</v>
      </c>
      <c r="P1296">
        <f t="shared" si="387"/>
        <v>1</v>
      </c>
      <c r="Q1296">
        <f t="shared" si="388"/>
        <v>0</v>
      </c>
      <c r="R1296">
        <f t="shared" si="389"/>
        <v>0</v>
      </c>
      <c r="S1296">
        <f t="shared" si="390"/>
        <v>0</v>
      </c>
      <c r="T1296">
        <f t="shared" si="391"/>
        <v>0</v>
      </c>
      <c r="U1296">
        <f t="shared" si="392"/>
        <v>0</v>
      </c>
      <c r="V1296">
        <f t="shared" si="393"/>
        <v>0</v>
      </c>
      <c r="W1296" t="s">
        <v>58</v>
      </c>
      <c r="X1296">
        <f t="shared" si="394"/>
        <v>0</v>
      </c>
      <c r="Y1296">
        <f t="shared" si="395"/>
        <v>1</v>
      </c>
      <c r="Z1296">
        <v>1</v>
      </c>
      <c r="AA1296">
        <f t="shared" si="396"/>
        <v>0</v>
      </c>
      <c r="AB1296" t="s">
        <v>40</v>
      </c>
      <c r="AC1296">
        <f t="shared" si="397"/>
        <v>0</v>
      </c>
      <c r="AD1296">
        <f t="shared" si="398"/>
        <v>0</v>
      </c>
      <c r="AE1296" t="s">
        <v>41</v>
      </c>
      <c r="AF1296">
        <f>IF(AE1296="website",1,0)</f>
        <v>1</v>
      </c>
    </row>
    <row r="1297" spans="1:32">
      <c r="A1297" t="s">
        <v>1945</v>
      </c>
      <c r="B1297" t="s">
        <v>33</v>
      </c>
      <c r="C1297" s="3">
        <f t="shared" si="380"/>
        <v>0</v>
      </c>
      <c r="D1297">
        <f t="shared" si="381"/>
        <v>1</v>
      </c>
      <c r="E1297" t="s">
        <v>903</v>
      </c>
      <c r="F1297" t="s">
        <v>716</v>
      </c>
      <c r="G1297" s="1">
        <v>23164</v>
      </c>
      <c r="H1297" s="2">
        <f t="shared" ca="1" si="382"/>
        <v>63</v>
      </c>
      <c r="I1297" s="2">
        <f t="shared" ca="1" si="383"/>
        <v>0.54285714285714282</v>
      </c>
      <c r="J1297" t="s">
        <v>45</v>
      </c>
      <c r="K1297" t="s">
        <v>37</v>
      </c>
      <c r="L1297">
        <f t="shared" si="384"/>
        <v>1</v>
      </c>
      <c r="M1297">
        <f t="shared" si="385"/>
        <v>0</v>
      </c>
      <c r="N1297">
        <f t="shared" si="386"/>
        <v>0</v>
      </c>
      <c r="O1297" t="s">
        <v>305</v>
      </c>
      <c r="P1297">
        <f t="shared" si="387"/>
        <v>0</v>
      </c>
      <c r="Q1297">
        <f t="shared" si="388"/>
        <v>0</v>
      </c>
      <c r="R1297">
        <f t="shared" si="389"/>
        <v>0</v>
      </c>
      <c r="S1297">
        <f t="shared" si="390"/>
        <v>0</v>
      </c>
      <c r="T1297">
        <f t="shared" si="391"/>
        <v>0</v>
      </c>
      <c r="U1297">
        <f t="shared" si="392"/>
        <v>0</v>
      </c>
      <c r="V1297">
        <f t="shared" si="393"/>
        <v>0</v>
      </c>
      <c r="W1297" t="s">
        <v>39</v>
      </c>
      <c r="X1297">
        <f t="shared" si="394"/>
        <v>1</v>
      </c>
      <c r="Y1297">
        <f t="shared" si="395"/>
        <v>0</v>
      </c>
      <c r="Z1297">
        <v>1</v>
      </c>
      <c r="AA1297">
        <f t="shared" si="396"/>
        <v>0</v>
      </c>
      <c r="AB1297" t="s">
        <v>46</v>
      </c>
      <c r="AC1297">
        <f t="shared" si="397"/>
        <v>0</v>
      </c>
      <c r="AD1297">
        <f t="shared" si="398"/>
        <v>0</v>
      </c>
      <c r="AE1297" t="s">
        <v>41</v>
      </c>
      <c r="AF1297">
        <f>IF(AE1297="website",1,0)</f>
        <v>1</v>
      </c>
    </row>
    <row r="1298" spans="1:32">
      <c r="A1298" t="s">
        <v>1946</v>
      </c>
      <c r="B1298" t="s">
        <v>55</v>
      </c>
      <c r="C1298" s="3">
        <f t="shared" si="380"/>
        <v>1</v>
      </c>
      <c r="D1298">
        <f t="shared" si="381"/>
        <v>0</v>
      </c>
      <c r="E1298" t="s">
        <v>1164</v>
      </c>
      <c r="F1298" t="s">
        <v>57</v>
      </c>
      <c r="G1298" s="1">
        <v>30565</v>
      </c>
      <c r="H1298" s="2">
        <f t="shared" ca="1" si="382"/>
        <v>43</v>
      </c>
      <c r="I1298" s="2">
        <f t="shared" ca="1" si="383"/>
        <v>0.25714285714285712</v>
      </c>
      <c r="J1298" t="s">
        <v>45</v>
      </c>
      <c r="K1298" t="s">
        <v>113</v>
      </c>
      <c r="L1298">
        <f t="shared" si="384"/>
        <v>0</v>
      </c>
      <c r="M1298">
        <f t="shared" si="385"/>
        <v>0</v>
      </c>
      <c r="N1298">
        <f t="shared" si="386"/>
        <v>1</v>
      </c>
      <c r="O1298" t="s">
        <v>114</v>
      </c>
      <c r="P1298">
        <f t="shared" si="387"/>
        <v>0</v>
      </c>
      <c r="Q1298">
        <f t="shared" si="388"/>
        <v>0</v>
      </c>
      <c r="R1298">
        <f t="shared" si="389"/>
        <v>0</v>
      </c>
      <c r="S1298">
        <f t="shared" si="390"/>
        <v>1</v>
      </c>
      <c r="T1298">
        <f t="shared" si="391"/>
        <v>0</v>
      </c>
      <c r="U1298">
        <f t="shared" si="392"/>
        <v>0</v>
      </c>
      <c r="V1298">
        <f t="shared" si="393"/>
        <v>0</v>
      </c>
      <c r="W1298" t="s">
        <v>39</v>
      </c>
      <c r="X1298">
        <f t="shared" si="394"/>
        <v>1</v>
      </c>
      <c r="Y1298">
        <f t="shared" si="395"/>
        <v>0</v>
      </c>
      <c r="Z1298">
        <v>5</v>
      </c>
      <c r="AA1298">
        <f t="shared" si="396"/>
        <v>1</v>
      </c>
      <c r="AB1298" t="s">
        <v>46</v>
      </c>
      <c r="AC1298">
        <f t="shared" si="397"/>
        <v>0</v>
      </c>
      <c r="AD1298">
        <f t="shared" si="398"/>
        <v>0</v>
      </c>
      <c r="AE1298" t="s">
        <v>41</v>
      </c>
      <c r="AF1298">
        <f>IF(AE1298="website",1,0)</f>
        <v>1</v>
      </c>
    </row>
    <row r="1299" spans="1:32">
      <c r="A1299" t="s">
        <v>1947</v>
      </c>
      <c r="B1299" t="s">
        <v>33</v>
      </c>
      <c r="C1299" s="3">
        <f t="shared" si="380"/>
        <v>0</v>
      </c>
      <c r="D1299">
        <f t="shared" si="381"/>
        <v>1</v>
      </c>
      <c r="E1299" t="s">
        <v>619</v>
      </c>
      <c r="F1299" t="s">
        <v>117</v>
      </c>
      <c r="G1299" s="1">
        <v>25054</v>
      </c>
      <c r="H1299" s="2">
        <f t="shared" ca="1" si="382"/>
        <v>58</v>
      </c>
      <c r="I1299" s="2">
        <f t="shared" ca="1" si="383"/>
        <v>0.47142857142857142</v>
      </c>
      <c r="J1299" t="s">
        <v>36</v>
      </c>
      <c r="K1299" t="s">
        <v>37</v>
      </c>
      <c r="L1299">
        <f t="shared" si="384"/>
        <v>1</v>
      </c>
      <c r="M1299">
        <f t="shared" si="385"/>
        <v>0</v>
      </c>
      <c r="N1299">
        <f t="shared" si="386"/>
        <v>0</v>
      </c>
      <c r="O1299" t="s">
        <v>38</v>
      </c>
      <c r="P1299">
        <f t="shared" si="387"/>
        <v>1</v>
      </c>
      <c r="Q1299">
        <f t="shared" si="388"/>
        <v>0</v>
      </c>
      <c r="R1299">
        <f t="shared" si="389"/>
        <v>0</v>
      </c>
      <c r="S1299">
        <f t="shared" si="390"/>
        <v>0</v>
      </c>
      <c r="T1299">
        <f t="shared" si="391"/>
        <v>0</v>
      </c>
      <c r="U1299">
        <f t="shared" si="392"/>
        <v>0</v>
      </c>
      <c r="V1299">
        <f t="shared" si="393"/>
        <v>0</v>
      </c>
      <c r="W1299" t="s">
        <v>39</v>
      </c>
      <c r="X1299">
        <f t="shared" si="394"/>
        <v>1</v>
      </c>
      <c r="Y1299">
        <f t="shared" si="395"/>
        <v>0</v>
      </c>
      <c r="Z1299">
        <v>2</v>
      </c>
      <c r="AA1299">
        <f t="shared" si="396"/>
        <v>0.25</v>
      </c>
      <c r="AB1299" t="s">
        <v>46</v>
      </c>
      <c r="AC1299">
        <f t="shared" si="397"/>
        <v>1</v>
      </c>
      <c r="AD1299">
        <f t="shared" si="398"/>
        <v>0</v>
      </c>
      <c r="AE1299" t="s">
        <v>50</v>
      </c>
      <c r="AF1299">
        <f>IF(AE1299="website",1,0)</f>
        <v>0</v>
      </c>
    </row>
    <row r="1300" spans="1:32">
      <c r="A1300" t="s">
        <v>1948</v>
      </c>
      <c r="B1300" t="s">
        <v>33</v>
      </c>
      <c r="C1300" s="3">
        <f t="shared" si="380"/>
        <v>0</v>
      </c>
      <c r="D1300">
        <f t="shared" si="381"/>
        <v>1</v>
      </c>
      <c r="E1300" t="s">
        <v>615</v>
      </c>
      <c r="F1300" t="s">
        <v>659</v>
      </c>
      <c r="G1300" s="1">
        <v>16197</v>
      </c>
      <c r="H1300" s="2">
        <f t="shared" ca="1" si="382"/>
        <v>82</v>
      </c>
      <c r="I1300" s="2">
        <f t="shared" ca="1" si="383"/>
        <v>0.81428571428571428</v>
      </c>
      <c r="J1300" t="s">
        <v>36</v>
      </c>
      <c r="K1300" t="s">
        <v>37</v>
      </c>
      <c r="L1300">
        <f t="shared" si="384"/>
        <v>1</v>
      </c>
      <c r="M1300">
        <f t="shared" si="385"/>
        <v>0</v>
      </c>
      <c r="N1300">
        <f t="shared" si="386"/>
        <v>0</v>
      </c>
      <c r="O1300" t="s">
        <v>38</v>
      </c>
      <c r="P1300">
        <f t="shared" si="387"/>
        <v>1</v>
      </c>
      <c r="Q1300">
        <f t="shared" si="388"/>
        <v>0</v>
      </c>
      <c r="R1300">
        <f t="shared" si="389"/>
        <v>0</v>
      </c>
      <c r="S1300">
        <f t="shared" si="390"/>
        <v>0</v>
      </c>
      <c r="T1300">
        <f t="shared" si="391"/>
        <v>0</v>
      </c>
      <c r="U1300">
        <f t="shared" si="392"/>
        <v>0</v>
      </c>
      <c r="V1300">
        <f t="shared" si="393"/>
        <v>0</v>
      </c>
      <c r="W1300" t="s">
        <v>58</v>
      </c>
      <c r="X1300">
        <f t="shared" si="394"/>
        <v>0</v>
      </c>
      <c r="Y1300">
        <f t="shared" si="395"/>
        <v>1</v>
      </c>
      <c r="Z1300">
        <v>3</v>
      </c>
      <c r="AA1300">
        <f t="shared" si="396"/>
        <v>0.5</v>
      </c>
      <c r="AB1300" t="s">
        <v>46</v>
      </c>
      <c r="AC1300">
        <f t="shared" si="397"/>
        <v>0</v>
      </c>
      <c r="AD1300">
        <f t="shared" si="398"/>
        <v>0</v>
      </c>
      <c r="AE1300" t="s">
        <v>41</v>
      </c>
      <c r="AF1300">
        <f>IF(AE1300="website",1,0)</f>
        <v>1</v>
      </c>
    </row>
    <row r="1301" spans="1:32">
      <c r="A1301" t="s">
        <v>1949</v>
      </c>
      <c r="B1301" t="s">
        <v>33</v>
      </c>
      <c r="C1301" s="3">
        <f t="shared" si="380"/>
        <v>0</v>
      </c>
      <c r="D1301">
        <f t="shared" si="381"/>
        <v>1</v>
      </c>
      <c r="E1301" t="s">
        <v>921</v>
      </c>
      <c r="F1301" t="s">
        <v>745</v>
      </c>
      <c r="G1301" s="1">
        <v>22287</v>
      </c>
      <c r="H1301" s="2">
        <f t="shared" ca="1" si="382"/>
        <v>65</v>
      </c>
      <c r="I1301" s="2">
        <f t="shared" ca="1" si="383"/>
        <v>0.5714285714285714</v>
      </c>
      <c r="J1301" t="s">
        <v>36</v>
      </c>
      <c r="K1301" t="s">
        <v>37</v>
      </c>
      <c r="L1301">
        <f t="shared" si="384"/>
        <v>1</v>
      </c>
      <c r="M1301">
        <f t="shared" si="385"/>
        <v>0</v>
      </c>
      <c r="N1301">
        <f t="shared" si="386"/>
        <v>0</v>
      </c>
      <c r="O1301" t="s">
        <v>38</v>
      </c>
      <c r="P1301">
        <f t="shared" si="387"/>
        <v>1</v>
      </c>
      <c r="Q1301">
        <f t="shared" si="388"/>
        <v>0</v>
      </c>
      <c r="R1301">
        <f t="shared" si="389"/>
        <v>0</v>
      </c>
      <c r="S1301">
        <f t="shared" si="390"/>
        <v>0</v>
      </c>
      <c r="T1301">
        <f t="shared" si="391"/>
        <v>0</v>
      </c>
      <c r="U1301">
        <f t="shared" si="392"/>
        <v>0</v>
      </c>
      <c r="V1301">
        <f t="shared" si="393"/>
        <v>0</v>
      </c>
      <c r="W1301" t="s">
        <v>39</v>
      </c>
      <c r="X1301">
        <f t="shared" si="394"/>
        <v>1</v>
      </c>
      <c r="Y1301">
        <f t="shared" si="395"/>
        <v>0</v>
      </c>
      <c r="Z1301">
        <v>2</v>
      </c>
      <c r="AA1301">
        <f t="shared" si="396"/>
        <v>0.25</v>
      </c>
      <c r="AB1301" t="s">
        <v>46</v>
      </c>
      <c r="AC1301">
        <f t="shared" si="397"/>
        <v>0</v>
      </c>
      <c r="AD1301">
        <f t="shared" si="398"/>
        <v>0</v>
      </c>
      <c r="AE1301" t="s">
        <v>41</v>
      </c>
      <c r="AF1301">
        <f>IF(AE1301="website",1,0)</f>
        <v>1</v>
      </c>
    </row>
    <row r="1302" spans="1:32">
      <c r="A1302" t="s">
        <v>1950</v>
      </c>
      <c r="B1302" t="s">
        <v>33</v>
      </c>
      <c r="C1302" s="3">
        <f t="shared" si="380"/>
        <v>0</v>
      </c>
      <c r="D1302">
        <f t="shared" si="381"/>
        <v>1</v>
      </c>
      <c r="E1302" t="s">
        <v>1140</v>
      </c>
      <c r="F1302" t="s">
        <v>823</v>
      </c>
      <c r="G1302" s="1">
        <v>20440</v>
      </c>
      <c r="H1302" s="2">
        <f t="shared" ca="1" si="382"/>
        <v>70</v>
      </c>
      <c r="I1302" s="2">
        <f t="shared" ca="1" si="383"/>
        <v>0.6428571428571429</v>
      </c>
      <c r="J1302" t="s">
        <v>45</v>
      </c>
      <c r="K1302" t="s">
        <v>37</v>
      </c>
      <c r="L1302">
        <f t="shared" si="384"/>
        <v>1</v>
      </c>
      <c r="M1302">
        <f t="shared" si="385"/>
        <v>0</v>
      </c>
      <c r="N1302">
        <f t="shared" si="386"/>
        <v>0</v>
      </c>
      <c r="O1302" t="s">
        <v>305</v>
      </c>
      <c r="P1302">
        <f t="shared" si="387"/>
        <v>0</v>
      </c>
      <c r="Q1302">
        <f t="shared" si="388"/>
        <v>0</v>
      </c>
      <c r="R1302">
        <f t="shared" si="389"/>
        <v>0</v>
      </c>
      <c r="S1302">
        <f t="shared" si="390"/>
        <v>0</v>
      </c>
      <c r="T1302">
        <f t="shared" si="391"/>
        <v>0</v>
      </c>
      <c r="U1302">
        <f t="shared" si="392"/>
        <v>0</v>
      </c>
      <c r="V1302">
        <f t="shared" si="393"/>
        <v>0</v>
      </c>
      <c r="W1302" t="s">
        <v>39</v>
      </c>
      <c r="X1302">
        <f t="shared" si="394"/>
        <v>1</v>
      </c>
      <c r="Y1302">
        <f t="shared" si="395"/>
        <v>0</v>
      </c>
      <c r="Z1302">
        <v>2</v>
      </c>
      <c r="AA1302">
        <f t="shared" si="396"/>
        <v>0.25</v>
      </c>
      <c r="AB1302" t="s">
        <v>46</v>
      </c>
      <c r="AC1302">
        <f t="shared" si="397"/>
        <v>1</v>
      </c>
      <c r="AD1302">
        <f t="shared" si="398"/>
        <v>0</v>
      </c>
      <c r="AE1302" t="s">
        <v>50</v>
      </c>
      <c r="AF1302">
        <f>IF(AE1302="website",1,0)</f>
        <v>0</v>
      </c>
    </row>
    <row r="1303" spans="1:32">
      <c r="A1303" t="s">
        <v>1951</v>
      </c>
      <c r="B1303" t="s">
        <v>33</v>
      </c>
      <c r="C1303" s="3">
        <f t="shared" si="380"/>
        <v>0</v>
      </c>
      <c r="D1303">
        <f t="shared" si="381"/>
        <v>1</v>
      </c>
      <c r="E1303" t="s">
        <v>1099</v>
      </c>
      <c r="F1303" t="s">
        <v>366</v>
      </c>
      <c r="G1303" s="1">
        <v>35174</v>
      </c>
      <c r="H1303" s="2">
        <f t="shared" ca="1" si="382"/>
        <v>30</v>
      </c>
      <c r="I1303" s="2">
        <f t="shared" ca="1" si="383"/>
        <v>7.1428571428571425E-2</v>
      </c>
      <c r="J1303" t="s">
        <v>45</v>
      </c>
      <c r="K1303" t="s">
        <v>37</v>
      </c>
      <c r="L1303">
        <f t="shared" si="384"/>
        <v>1</v>
      </c>
      <c r="M1303">
        <f t="shared" si="385"/>
        <v>0</v>
      </c>
      <c r="N1303">
        <f t="shared" si="386"/>
        <v>0</v>
      </c>
      <c r="O1303" t="s">
        <v>97</v>
      </c>
      <c r="P1303">
        <f t="shared" si="387"/>
        <v>0</v>
      </c>
      <c r="Q1303">
        <f t="shared" si="388"/>
        <v>0</v>
      </c>
      <c r="R1303">
        <f t="shared" si="389"/>
        <v>0</v>
      </c>
      <c r="S1303">
        <f t="shared" si="390"/>
        <v>0</v>
      </c>
      <c r="T1303">
        <f t="shared" si="391"/>
        <v>1</v>
      </c>
      <c r="U1303">
        <f t="shared" si="392"/>
        <v>0</v>
      </c>
      <c r="V1303">
        <f t="shared" si="393"/>
        <v>0</v>
      </c>
      <c r="W1303" t="s">
        <v>58</v>
      </c>
      <c r="X1303">
        <f t="shared" si="394"/>
        <v>0</v>
      </c>
      <c r="Y1303">
        <f t="shared" si="395"/>
        <v>1</v>
      </c>
      <c r="Z1303">
        <v>5</v>
      </c>
      <c r="AA1303">
        <f t="shared" si="396"/>
        <v>1</v>
      </c>
      <c r="AB1303" t="s">
        <v>46</v>
      </c>
      <c r="AC1303">
        <f t="shared" si="397"/>
        <v>0</v>
      </c>
      <c r="AD1303">
        <f t="shared" si="398"/>
        <v>0</v>
      </c>
      <c r="AE1303" t="s">
        <v>41</v>
      </c>
      <c r="AF1303">
        <f>IF(AE1303="website",1,0)</f>
        <v>1</v>
      </c>
    </row>
    <row r="1304" spans="1:32">
      <c r="A1304" t="s">
        <v>1952</v>
      </c>
      <c r="B1304" t="s">
        <v>33</v>
      </c>
      <c r="C1304" s="3">
        <f t="shared" si="380"/>
        <v>0</v>
      </c>
      <c r="D1304">
        <f t="shared" si="381"/>
        <v>1</v>
      </c>
      <c r="E1304" t="s">
        <v>288</v>
      </c>
      <c r="F1304" t="s">
        <v>364</v>
      </c>
      <c r="G1304" s="1">
        <v>22880</v>
      </c>
      <c r="H1304" s="2">
        <f t="shared" ca="1" si="382"/>
        <v>64</v>
      </c>
      <c r="I1304" s="2">
        <f t="shared" ca="1" si="383"/>
        <v>0.55714285714285716</v>
      </c>
      <c r="J1304" t="s">
        <v>45</v>
      </c>
      <c r="K1304" t="s">
        <v>37</v>
      </c>
      <c r="L1304">
        <f t="shared" si="384"/>
        <v>1</v>
      </c>
      <c r="M1304">
        <f t="shared" si="385"/>
        <v>0</v>
      </c>
      <c r="N1304">
        <f t="shared" si="386"/>
        <v>0</v>
      </c>
      <c r="O1304" t="s">
        <v>97</v>
      </c>
      <c r="P1304">
        <f t="shared" si="387"/>
        <v>0</v>
      </c>
      <c r="Q1304">
        <f t="shared" si="388"/>
        <v>0</v>
      </c>
      <c r="R1304">
        <f t="shared" si="389"/>
        <v>0</v>
      </c>
      <c r="S1304">
        <f t="shared" si="390"/>
        <v>0</v>
      </c>
      <c r="T1304">
        <f t="shared" si="391"/>
        <v>1</v>
      </c>
      <c r="U1304">
        <f t="shared" si="392"/>
        <v>0</v>
      </c>
      <c r="V1304">
        <f t="shared" si="393"/>
        <v>0</v>
      </c>
      <c r="W1304" t="s">
        <v>39</v>
      </c>
      <c r="X1304">
        <f t="shared" si="394"/>
        <v>1</v>
      </c>
      <c r="Y1304">
        <f t="shared" si="395"/>
        <v>0</v>
      </c>
      <c r="Z1304">
        <v>3</v>
      </c>
      <c r="AA1304">
        <f t="shared" si="396"/>
        <v>0.5</v>
      </c>
      <c r="AB1304" t="s">
        <v>40</v>
      </c>
      <c r="AC1304">
        <f t="shared" si="397"/>
        <v>0</v>
      </c>
      <c r="AD1304">
        <f t="shared" si="398"/>
        <v>0</v>
      </c>
      <c r="AE1304" t="s">
        <v>41</v>
      </c>
      <c r="AF1304">
        <f>IF(AE1304="website",1,0)</f>
        <v>1</v>
      </c>
    </row>
    <row r="1305" spans="1:32">
      <c r="A1305" t="s">
        <v>1953</v>
      </c>
      <c r="B1305" t="s">
        <v>33</v>
      </c>
      <c r="C1305" s="3">
        <f t="shared" si="380"/>
        <v>0</v>
      </c>
      <c r="D1305">
        <f t="shared" si="381"/>
        <v>1</v>
      </c>
      <c r="E1305" t="s">
        <v>1695</v>
      </c>
      <c r="F1305" t="s">
        <v>876</v>
      </c>
      <c r="G1305" s="1">
        <v>31206</v>
      </c>
      <c r="H1305" s="2">
        <f t="shared" ca="1" si="382"/>
        <v>41</v>
      </c>
      <c r="I1305" s="2">
        <f t="shared" ca="1" si="383"/>
        <v>0.22857142857142856</v>
      </c>
      <c r="J1305" t="s">
        <v>36</v>
      </c>
      <c r="K1305" t="s">
        <v>37</v>
      </c>
      <c r="L1305">
        <f t="shared" si="384"/>
        <v>1</v>
      </c>
      <c r="M1305">
        <f t="shared" si="385"/>
        <v>0</v>
      </c>
      <c r="N1305">
        <f t="shared" si="386"/>
        <v>0</v>
      </c>
      <c r="O1305" t="s">
        <v>38</v>
      </c>
      <c r="P1305">
        <f t="shared" si="387"/>
        <v>1</v>
      </c>
      <c r="Q1305">
        <f t="shared" si="388"/>
        <v>0</v>
      </c>
      <c r="R1305">
        <f t="shared" si="389"/>
        <v>0</v>
      </c>
      <c r="S1305">
        <f t="shared" si="390"/>
        <v>0</v>
      </c>
      <c r="T1305">
        <f t="shared" si="391"/>
        <v>0</v>
      </c>
      <c r="U1305">
        <f t="shared" si="392"/>
        <v>0</v>
      </c>
      <c r="V1305">
        <f t="shared" si="393"/>
        <v>0</v>
      </c>
      <c r="W1305" t="s">
        <v>58</v>
      </c>
      <c r="X1305">
        <f t="shared" si="394"/>
        <v>0</v>
      </c>
      <c r="Y1305">
        <f t="shared" si="395"/>
        <v>1</v>
      </c>
      <c r="Z1305">
        <v>1</v>
      </c>
      <c r="AA1305">
        <f t="shared" si="396"/>
        <v>0</v>
      </c>
      <c r="AB1305" t="s">
        <v>46</v>
      </c>
      <c r="AC1305">
        <f t="shared" si="397"/>
        <v>0</v>
      </c>
      <c r="AD1305">
        <f t="shared" si="398"/>
        <v>0</v>
      </c>
      <c r="AE1305" t="s">
        <v>41</v>
      </c>
      <c r="AF1305">
        <f>IF(AE1305="website",1,0)</f>
        <v>1</v>
      </c>
    </row>
    <row r="1306" spans="1:32">
      <c r="A1306" t="s">
        <v>1954</v>
      </c>
      <c r="B1306" t="s">
        <v>33</v>
      </c>
      <c r="C1306" s="3">
        <f t="shared" si="380"/>
        <v>0</v>
      </c>
      <c r="D1306">
        <f t="shared" si="381"/>
        <v>1</v>
      </c>
      <c r="E1306" t="s">
        <v>567</v>
      </c>
      <c r="F1306" t="s">
        <v>366</v>
      </c>
      <c r="G1306" s="1">
        <v>28750</v>
      </c>
      <c r="H1306" s="2">
        <f t="shared" ca="1" si="382"/>
        <v>48</v>
      </c>
      <c r="I1306" s="2">
        <f t="shared" ca="1" si="383"/>
        <v>0.32857142857142857</v>
      </c>
      <c r="J1306" t="s">
        <v>36</v>
      </c>
      <c r="K1306" t="s">
        <v>37</v>
      </c>
      <c r="L1306">
        <f t="shared" si="384"/>
        <v>1</v>
      </c>
      <c r="M1306">
        <f t="shared" si="385"/>
        <v>0</v>
      </c>
      <c r="N1306">
        <f t="shared" si="386"/>
        <v>0</v>
      </c>
      <c r="O1306" t="s">
        <v>785</v>
      </c>
      <c r="P1306">
        <f t="shared" si="387"/>
        <v>0</v>
      </c>
      <c r="Q1306">
        <f t="shared" si="388"/>
        <v>0</v>
      </c>
      <c r="R1306">
        <f t="shared" si="389"/>
        <v>0</v>
      </c>
      <c r="S1306">
        <f t="shared" si="390"/>
        <v>0</v>
      </c>
      <c r="T1306">
        <f t="shared" si="391"/>
        <v>0</v>
      </c>
      <c r="U1306">
        <f t="shared" si="392"/>
        <v>0</v>
      </c>
      <c r="V1306">
        <f t="shared" si="393"/>
        <v>0</v>
      </c>
      <c r="W1306" t="s">
        <v>39</v>
      </c>
      <c r="X1306">
        <f t="shared" si="394"/>
        <v>1</v>
      </c>
      <c r="Y1306">
        <f t="shared" si="395"/>
        <v>0</v>
      </c>
      <c r="Z1306">
        <v>4</v>
      </c>
      <c r="AA1306">
        <f t="shared" si="396"/>
        <v>0.75</v>
      </c>
      <c r="AB1306" t="s">
        <v>46</v>
      </c>
      <c r="AC1306">
        <f t="shared" si="397"/>
        <v>0</v>
      </c>
      <c r="AD1306">
        <f t="shared" si="398"/>
        <v>0</v>
      </c>
      <c r="AE1306" t="s">
        <v>41</v>
      </c>
      <c r="AF1306">
        <f>IF(AE1306="website",1,0)</f>
        <v>1</v>
      </c>
    </row>
    <row r="1307" spans="1:32">
      <c r="A1307" t="s">
        <v>1955</v>
      </c>
      <c r="B1307" t="s">
        <v>33</v>
      </c>
      <c r="C1307" s="3">
        <f t="shared" si="380"/>
        <v>0</v>
      </c>
      <c r="D1307">
        <f t="shared" si="381"/>
        <v>1</v>
      </c>
      <c r="E1307" t="s">
        <v>1256</v>
      </c>
      <c r="F1307" t="s">
        <v>730</v>
      </c>
      <c r="G1307" s="1">
        <v>17610</v>
      </c>
      <c r="H1307" s="2">
        <f t="shared" ca="1" si="382"/>
        <v>78</v>
      </c>
      <c r="I1307" s="2">
        <f t="shared" ca="1" si="383"/>
        <v>0.75714285714285712</v>
      </c>
      <c r="J1307" t="s">
        <v>36</v>
      </c>
      <c r="K1307" t="s">
        <v>37</v>
      </c>
      <c r="L1307">
        <f t="shared" si="384"/>
        <v>1</v>
      </c>
      <c r="M1307">
        <f t="shared" si="385"/>
        <v>0</v>
      </c>
      <c r="N1307">
        <f t="shared" si="386"/>
        <v>0</v>
      </c>
      <c r="O1307" t="s">
        <v>565</v>
      </c>
      <c r="P1307">
        <f t="shared" si="387"/>
        <v>0</v>
      </c>
      <c r="Q1307">
        <f t="shared" si="388"/>
        <v>0</v>
      </c>
      <c r="R1307">
        <f t="shared" si="389"/>
        <v>0</v>
      </c>
      <c r="S1307">
        <f t="shared" si="390"/>
        <v>0</v>
      </c>
      <c r="T1307">
        <f t="shared" si="391"/>
        <v>0</v>
      </c>
      <c r="U1307">
        <f t="shared" si="392"/>
        <v>0</v>
      </c>
      <c r="V1307">
        <f t="shared" si="393"/>
        <v>0</v>
      </c>
      <c r="W1307" t="s">
        <v>39</v>
      </c>
      <c r="X1307">
        <f t="shared" si="394"/>
        <v>1</v>
      </c>
      <c r="Y1307">
        <f t="shared" si="395"/>
        <v>0</v>
      </c>
      <c r="Z1307">
        <v>5</v>
      </c>
      <c r="AA1307">
        <f t="shared" si="396"/>
        <v>1</v>
      </c>
      <c r="AB1307" t="s">
        <v>46</v>
      </c>
      <c r="AC1307">
        <f t="shared" si="397"/>
        <v>0</v>
      </c>
      <c r="AD1307">
        <f t="shared" si="398"/>
        <v>0</v>
      </c>
      <c r="AE1307" t="s">
        <v>41</v>
      </c>
      <c r="AF1307">
        <f>IF(AE1307="website",1,0)</f>
        <v>1</v>
      </c>
    </row>
    <row r="1308" spans="1:32">
      <c r="A1308" t="s">
        <v>1956</v>
      </c>
      <c r="B1308" t="s">
        <v>33</v>
      </c>
      <c r="C1308" s="3">
        <f t="shared" si="380"/>
        <v>0</v>
      </c>
      <c r="D1308">
        <f t="shared" si="381"/>
        <v>1</v>
      </c>
      <c r="E1308" t="s">
        <v>476</v>
      </c>
      <c r="F1308" t="s">
        <v>709</v>
      </c>
      <c r="G1308" s="1">
        <v>34014</v>
      </c>
      <c r="H1308" s="2">
        <f t="shared" ca="1" si="382"/>
        <v>33</v>
      </c>
      <c r="I1308" s="2">
        <f t="shared" ca="1" si="383"/>
        <v>0.11428571428571428</v>
      </c>
      <c r="J1308" t="s">
        <v>36</v>
      </c>
      <c r="K1308" t="s">
        <v>37</v>
      </c>
      <c r="L1308">
        <f t="shared" si="384"/>
        <v>1</v>
      </c>
      <c r="M1308">
        <f t="shared" si="385"/>
        <v>0</v>
      </c>
      <c r="N1308">
        <f t="shared" si="386"/>
        <v>0</v>
      </c>
      <c r="O1308" t="s">
        <v>137</v>
      </c>
      <c r="P1308">
        <f t="shared" si="387"/>
        <v>0</v>
      </c>
      <c r="Q1308">
        <f t="shared" si="388"/>
        <v>0</v>
      </c>
      <c r="R1308">
        <f t="shared" si="389"/>
        <v>0</v>
      </c>
      <c r="S1308">
        <f t="shared" si="390"/>
        <v>0</v>
      </c>
      <c r="T1308">
        <f t="shared" si="391"/>
        <v>0</v>
      </c>
      <c r="U1308">
        <f t="shared" si="392"/>
        <v>0</v>
      </c>
      <c r="V1308">
        <f t="shared" si="393"/>
        <v>0</v>
      </c>
      <c r="W1308" t="s">
        <v>39</v>
      </c>
      <c r="X1308">
        <f t="shared" si="394"/>
        <v>1</v>
      </c>
      <c r="Y1308">
        <f t="shared" si="395"/>
        <v>0</v>
      </c>
      <c r="Z1308">
        <v>5</v>
      </c>
      <c r="AA1308">
        <f t="shared" si="396"/>
        <v>1</v>
      </c>
      <c r="AB1308" t="s">
        <v>46</v>
      </c>
      <c r="AC1308">
        <f t="shared" si="397"/>
        <v>1</v>
      </c>
      <c r="AD1308">
        <f t="shared" si="398"/>
        <v>0</v>
      </c>
      <c r="AE1308" t="s">
        <v>50</v>
      </c>
      <c r="AF1308">
        <f>IF(AE1308="website",1,0)</f>
        <v>0</v>
      </c>
    </row>
    <row r="1309" spans="1:32">
      <c r="A1309" t="s">
        <v>1957</v>
      </c>
      <c r="B1309" t="s">
        <v>33</v>
      </c>
      <c r="C1309" s="3">
        <f t="shared" si="380"/>
        <v>0</v>
      </c>
      <c r="D1309">
        <f t="shared" si="381"/>
        <v>1</v>
      </c>
      <c r="E1309" t="s">
        <v>997</v>
      </c>
      <c r="F1309" t="s">
        <v>557</v>
      </c>
      <c r="G1309" s="1">
        <v>36589</v>
      </c>
      <c r="H1309" s="2">
        <f t="shared" ca="1" si="382"/>
        <v>26</v>
      </c>
      <c r="I1309" s="2">
        <f t="shared" ca="1" si="383"/>
        <v>1.4285714285714285E-2</v>
      </c>
      <c r="J1309" t="s">
        <v>45</v>
      </c>
      <c r="K1309" t="s">
        <v>37</v>
      </c>
      <c r="L1309">
        <f t="shared" si="384"/>
        <v>1</v>
      </c>
      <c r="M1309">
        <f t="shared" si="385"/>
        <v>0</v>
      </c>
      <c r="N1309">
        <f t="shared" si="386"/>
        <v>0</v>
      </c>
      <c r="O1309" t="s">
        <v>38</v>
      </c>
      <c r="P1309">
        <f t="shared" si="387"/>
        <v>1</v>
      </c>
      <c r="Q1309">
        <f t="shared" si="388"/>
        <v>0</v>
      </c>
      <c r="R1309">
        <f t="shared" si="389"/>
        <v>0</v>
      </c>
      <c r="S1309">
        <f t="shared" si="390"/>
        <v>0</v>
      </c>
      <c r="T1309">
        <f t="shared" si="391"/>
        <v>0</v>
      </c>
      <c r="U1309">
        <f t="shared" si="392"/>
        <v>0</v>
      </c>
      <c r="V1309">
        <f t="shared" si="393"/>
        <v>0</v>
      </c>
      <c r="W1309" t="s">
        <v>58</v>
      </c>
      <c r="X1309">
        <f t="shared" si="394"/>
        <v>0</v>
      </c>
      <c r="Y1309">
        <f t="shared" si="395"/>
        <v>1</v>
      </c>
      <c r="Z1309">
        <v>5</v>
      </c>
      <c r="AA1309">
        <f t="shared" si="396"/>
        <v>1</v>
      </c>
      <c r="AB1309" t="s">
        <v>46</v>
      </c>
      <c r="AC1309">
        <f t="shared" si="397"/>
        <v>1</v>
      </c>
      <c r="AD1309">
        <f t="shared" si="398"/>
        <v>0</v>
      </c>
      <c r="AE1309" t="s">
        <v>50</v>
      </c>
      <c r="AF1309">
        <f>IF(AE1309="website",1,0)</f>
        <v>0</v>
      </c>
    </row>
    <row r="1310" spans="1:32">
      <c r="A1310" t="s">
        <v>1958</v>
      </c>
      <c r="B1310" t="s">
        <v>33</v>
      </c>
      <c r="C1310" s="3">
        <f t="shared" si="380"/>
        <v>0</v>
      </c>
      <c r="D1310">
        <f t="shared" si="381"/>
        <v>1</v>
      </c>
      <c r="E1310" t="s">
        <v>787</v>
      </c>
      <c r="F1310" t="s">
        <v>641</v>
      </c>
      <c r="G1310" s="1">
        <v>36500</v>
      </c>
      <c r="H1310" s="2">
        <f t="shared" ca="1" si="382"/>
        <v>26</v>
      </c>
      <c r="I1310" s="2">
        <f t="shared" ca="1" si="383"/>
        <v>1.4285714285714285E-2</v>
      </c>
      <c r="J1310" t="s">
        <v>45</v>
      </c>
      <c r="K1310" t="s">
        <v>37</v>
      </c>
      <c r="L1310">
        <f t="shared" si="384"/>
        <v>1</v>
      </c>
      <c r="M1310">
        <f t="shared" si="385"/>
        <v>0</v>
      </c>
      <c r="N1310">
        <f t="shared" si="386"/>
        <v>0</v>
      </c>
      <c r="O1310" t="s">
        <v>38</v>
      </c>
      <c r="P1310">
        <f t="shared" si="387"/>
        <v>1</v>
      </c>
      <c r="Q1310">
        <f t="shared" si="388"/>
        <v>0</v>
      </c>
      <c r="R1310">
        <f t="shared" si="389"/>
        <v>0</v>
      </c>
      <c r="S1310">
        <f t="shared" si="390"/>
        <v>0</v>
      </c>
      <c r="T1310">
        <f t="shared" si="391"/>
        <v>0</v>
      </c>
      <c r="U1310">
        <f t="shared" si="392"/>
        <v>0</v>
      </c>
      <c r="V1310">
        <f t="shared" si="393"/>
        <v>0</v>
      </c>
      <c r="W1310" t="s">
        <v>39</v>
      </c>
      <c r="X1310">
        <f t="shared" si="394"/>
        <v>1</v>
      </c>
      <c r="Y1310">
        <f t="shared" si="395"/>
        <v>0</v>
      </c>
      <c r="Z1310">
        <v>5</v>
      </c>
      <c r="AA1310">
        <f t="shared" si="396"/>
        <v>1</v>
      </c>
      <c r="AB1310" t="s">
        <v>46</v>
      </c>
      <c r="AC1310">
        <f t="shared" si="397"/>
        <v>0</v>
      </c>
      <c r="AD1310">
        <f t="shared" si="398"/>
        <v>0</v>
      </c>
      <c r="AE1310" t="s">
        <v>41</v>
      </c>
      <c r="AF1310">
        <f>IF(AE1310="website",1,0)</f>
        <v>1</v>
      </c>
    </row>
    <row r="1311" spans="1:32">
      <c r="A1311" t="s">
        <v>1959</v>
      </c>
      <c r="B1311" t="s">
        <v>33</v>
      </c>
      <c r="C1311" s="3">
        <f t="shared" si="380"/>
        <v>0</v>
      </c>
      <c r="D1311">
        <f t="shared" si="381"/>
        <v>1</v>
      </c>
      <c r="E1311" t="s">
        <v>894</v>
      </c>
      <c r="F1311" t="s">
        <v>653</v>
      </c>
      <c r="G1311" s="1">
        <v>20213</v>
      </c>
      <c r="H1311" s="2">
        <f t="shared" ca="1" si="382"/>
        <v>71</v>
      </c>
      <c r="I1311" s="2">
        <f t="shared" ca="1" si="383"/>
        <v>0.65714285714285714</v>
      </c>
      <c r="J1311" t="s">
        <v>36</v>
      </c>
      <c r="K1311" t="s">
        <v>37</v>
      </c>
      <c r="L1311">
        <f t="shared" si="384"/>
        <v>1</v>
      </c>
      <c r="M1311">
        <f t="shared" si="385"/>
        <v>0</v>
      </c>
      <c r="N1311">
        <f t="shared" si="386"/>
        <v>0</v>
      </c>
      <c r="O1311" t="s">
        <v>717</v>
      </c>
      <c r="P1311">
        <f t="shared" si="387"/>
        <v>0</v>
      </c>
      <c r="Q1311">
        <f t="shared" si="388"/>
        <v>0</v>
      </c>
      <c r="R1311">
        <f t="shared" si="389"/>
        <v>0</v>
      </c>
      <c r="S1311">
        <f t="shared" si="390"/>
        <v>0</v>
      </c>
      <c r="T1311">
        <f t="shared" si="391"/>
        <v>0</v>
      </c>
      <c r="U1311">
        <f t="shared" si="392"/>
        <v>0</v>
      </c>
      <c r="V1311">
        <f t="shared" si="393"/>
        <v>0</v>
      </c>
      <c r="W1311" t="s">
        <v>39</v>
      </c>
      <c r="X1311">
        <f t="shared" si="394"/>
        <v>1</v>
      </c>
      <c r="Y1311">
        <f t="shared" si="395"/>
        <v>0</v>
      </c>
      <c r="Z1311">
        <v>5</v>
      </c>
      <c r="AA1311">
        <f t="shared" si="396"/>
        <v>1</v>
      </c>
      <c r="AB1311" t="s">
        <v>46</v>
      </c>
      <c r="AC1311">
        <f t="shared" si="397"/>
        <v>1</v>
      </c>
      <c r="AD1311">
        <f t="shared" si="398"/>
        <v>0</v>
      </c>
      <c r="AE1311" t="s">
        <v>50</v>
      </c>
      <c r="AF1311">
        <f>IF(AE1311="website",1,0)</f>
        <v>0</v>
      </c>
    </row>
    <row r="1312" spans="1:32">
      <c r="A1312" t="s">
        <v>1960</v>
      </c>
      <c r="B1312" t="s">
        <v>33</v>
      </c>
      <c r="C1312" s="3">
        <f t="shared" si="380"/>
        <v>0</v>
      </c>
      <c r="D1312">
        <f t="shared" si="381"/>
        <v>1</v>
      </c>
      <c r="E1312" t="s">
        <v>690</v>
      </c>
      <c r="F1312" t="s">
        <v>887</v>
      </c>
      <c r="G1312" s="1">
        <v>14837</v>
      </c>
      <c r="H1312" s="2">
        <f t="shared" ca="1" si="382"/>
        <v>86</v>
      </c>
      <c r="I1312" s="2">
        <f t="shared" ca="1" si="383"/>
        <v>0.87142857142857144</v>
      </c>
      <c r="J1312" t="s">
        <v>45</v>
      </c>
      <c r="K1312" t="s">
        <v>248</v>
      </c>
      <c r="L1312">
        <f t="shared" si="384"/>
        <v>0</v>
      </c>
      <c r="M1312">
        <f t="shared" si="385"/>
        <v>0</v>
      </c>
      <c r="N1312">
        <f t="shared" si="386"/>
        <v>0</v>
      </c>
      <c r="O1312" t="s">
        <v>582</v>
      </c>
      <c r="P1312">
        <f t="shared" si="387"/>
        <v>0</v>
      </c>
      <c r="Q1312">
        <f t="shared" si="388"/>
        <v>0</v>
      </c>
      <c r="R1312">
        <f t="shared" si="389"/>
        <v>0</v>
      </c>
      <c r="S1312">
        <f t="shared" si="390"/>
        <v>0</v>
      </c>
      <c r="T1312">
        <f t="shared" si="391"/>
        <v>0</v>
      </c>
      <c r="U1312">
        <f t="shared" si="392"/>
        <v>0</v>
      </c>
      <c r="V1312">
        <f t="shared" si="393"/>
        <v>0</v>
      </c>
      <c r="W1312" t="s">
        <v>39</v>
      </c>
      <c r="X1312">
        <f t="shared" si="394"/>
        <v>1</v>
      </c>
      <c r="Y1312">
        <f t="shared" si="395"/>
        <v>0</v>
      </c>
      <c r="Z1312">
        <v>4</v>
      </c>
      <c r="AA1312">
        <f t="shared" si="396"/>
        <v>0.75</v>
      </c>
      <c r="AB1312" t="s">
        <v>40</v>
      </c>
      <c r="AC1312">
        <f t="shared" si="397"/>
        <v>0</v>
      </c>
      <c r="AD1312">
        <f t="shared" si="398"/>
        <v>1</v>
      </c>
      <c r="AE1312" t="s">
        <v>90</v>
      </c>
      <c r="AF1312">
        <f>IF(AE1312="website",1,0)</f>
        <v>0</v>
      </c>
    </row>
    <row r="1313" spans="1:32">
      <c r="A1313" t="s">
        <v>1961</v>
      </c>
      <c r="B1313" t="s">
        <v>33</v>
      </c>
      <c r="C1313" s="3">
        <f t="shared" si="380"/>
        <v>0</v>
      </c>
      <c r="D1313">
        <f t="shared" si="381"/>
        <v>1</v>
      </c>
      <c r="E1313" t="s">
        <v>997</v>
      </c>
      <c r="F1313" t="s">
        <v>691</v>
      </c>
      <c r="G1313" s="1">
        <v>15587</v>
      </c>
      <c r="H1313" s="2">
        <f t="shared" ca="1" si="382"/>
        <v>84</v>
      </c>
      <c r="I1313" s="2">
        <f t="shared" ca="1" si="383"/>
        <v>0.84285714285714286</v>
      </c>
      <c r="J1313" t="s">
        <v>45</v>
      </c>
      <c r="K1313" t="s">
        <v>37</v>
      </c>
      <c r="L1313">
        <f t="shared" si="384"/>
        <v>1</v>
      </c>
      <c r="M1313">
        <f t="shared" si="385"/>
        <v>0</v>
      </c>
      <c r="N1313">
        <f t="shared" si="386"/>
        <v>0</v>
      </c>
      <c r="O1313" t="s">
        <v>717</v>
      </c>
      <c r="P1313">
        <f t="shared" si="387"/>
        <v>0</v>
      </c>
      <c r="Q1313">
        <f t="shared" si="388"/>
        <v>0</v>
      </c>
      <c r="R1313">
        <f t="shared" si="389"/>
        <v>0</v>
      </c>
      <c r="S1313">
        <f t="shared" si="390"/>
        <v>0</v>
      </c>
      <c r="T1313">
        <f t="shared" si="391"/>
        <v>0</v>
      </c>
      <c r="U1313">
        <f t="shared" si="392"/>
        <v>0</v>
      </c>
      <c r="V1313">
        <f t="shared" si="393"/>
        <v>0</v>
      </c>
      <c r="W1313" t="s">
        <v>39</v>
      </c>
      <c r="X1313">
        <f t="shared" si="394"/>
        <v>1</v>
      </c>
      <c r="Y1313">
        <f t="shared" si="395"/>
        <v>0</v>
      </c>
      <c r="Z1313">
        <v>5</v>
      </c>
      <c r="AA1313">
        <f t="shared" si="396"/>
        <v>1</v>
      </c>
      <c r="AB1313" t="s">
        <v>46</v>
      </c>
      <c r="AC1313">
        <f t="shared" si="397"/>
        <v>0</v>
      </c>
      <c r="AD1313">
        <f t="shared" si="398"/>
        <v>0</v>
      </c>
      <c r="AE1313" t="s">
        <v>41</v>
      </c>
      <c r="AF1313">
        <f>IF(AE1313="website",1,0)</f>
        <v>1</v>
      </c>
    </row>
    <row r="1314" spans="1:32">
      <c r="A1314" t="s">
        <v>1962</v>
      </c>
      <c r="B1314" t="s">
        <v>33</v>
      </c>
      <c r="C1314" s="3">
        <f t="shared" si="380"/>
        <v>0</v>
      </c>
      <c r="D1314">
        <f t="shared" si="381"/>
        <v>1</v>
      </c>
      <c r="E1314" t="s">
        <v>804</v>
      </c>
      <c r="F1314" t="s">
        <v>885</v>
      </c>
      <c r="G1314" s="1">
        <v>26375</v>
      </c>
      <c r="H1314" s="2">
        <f t="shared" ca="1" si="382"/>
        <v>54</v>
      </c>
      <c r="I1314" s="2">
        <f t="shared" ca="1" si="383"/>
        <v>0.41428571428571431</v>
      </c>
      <c r="J1314" t="s">
        <v>36</v>
      </c>
      <c r="K1314" t="s">
        <v>819</v>
      </c>
      <c r="L1314">
        <f t="shared" si="384"/>
        <v>0</v>
      </c>
      <c r="M1314">
        <f t="shared" si="385"/>
        <v>0</v>
      </c>
      <c r="N1314">
        <f t="shared" si="386"/>
        <v>0</v>
      </c>
      <c r="O1314" t="s">
        <v>1562</v>
      </c>
      <c r="P1314">
        <f t="shared" si="387"/>
        <v>0</v>
      </c>
      <c r="Q1314">
        <f t="shared" si="388"/>
        <v>0</v>
      </c>
      <c r="R1314">
        <f t="shared" si="389"/>
        <v>0</v>
      </c>
      <c r="S1314">
        <f t="shared" si="390"/>
        <v>0</v>
      </c>
      <c r="T1314">
        <f t="shared" si="391"/>
        <v>0</v>
      </c>
      <c r="U1314">
        <f t="shared" si="392"/>
        <v>0</v>
      </c>
      <c r="V1314">
        <f t="shared" si="393"/>
        <v>0</v>
      </c>
      <c r="W1314" t="s">
        <v>58</v>
      </c>
      <c r="X1314">
        <f t="shared" si="394"/>
        <v>0</v>
      </c>
      <c r="Y1314">
        <f t="shared" si="395"/>
        <v>1</v>
      </c>
      <c r="Z1314">
        <v>3</v>
      </c>
      <c r="AA1314">
        <f t="shared" si="396"/>
        <v>0.5</v>
      </c>
      <c r="AB1314" t="s">
        <v>46</v>
      </c>
      <c r="AC1314">
        <f t="shared" si="397"/>
        <v>0</v>
      </c>
      <c r="AD1314">
        <f t="shared" si="398"/>
        <v>0</v>
      </c>
      <c r="AE1314" t="s">
        <v>41</v>
      </c>
      <c r="AF1314">
        <f>IF(AE1314="website",1,0)</f>
        <v>1</v>
      </c>
    </row>
    <row r="1315" spans="1:32">
      <c r="A1315" t="s">
        <v>1963</v>
      </c>
      <c r="B1315" t="s">
        <v>33</v>
      </c>
      <c r="C1315" s="3">
        <f t="shared" si="380"/>
        <v>0</v>
      </c>
      <c r="D1315">
        <f t="shared" si="381"/>
        <v>1</v>
      </c>
      <c r="E1315" t="s">
        <v>476</v>
      </c>
      <c r="F1315" t="s">
        <v>364</v>
      </c>
      <c r="G1315" s="1">
        <v>23637</v>
      </c>
      <c r="H1315" s="2">
        <f t="shared" ca="1" si="382"/>
        <v>62</v>
      </c>
      <c r="I1315" s="2">
        <f t="shared" ca="1" si="383"/>
        <v>0.52857142857142858</v>
      </c>
      <c r="J1315" t="s">
        <v>36</v>
      </c>
      <c r="K1315" t="s">
        <v>37</v>
      </c>
      <c r="L1315">
        <f t="shared" si="384"/>
        <v>1</v>
      </c>
      <c r="M1315">
        <f t="shared" si="385"/>
        <v>0</v>
      </c>
      <c r="N1315">
        <f t="shared" si="386"/>
        <v>0</v>
      </c>
      <c r="O1315" t="s">
        <v>97</v>
      </c>
      <c r="P1315">
        <f t="shared" si="387"/>
        <v>0</v>
      </c>
      <c r="Q1315">
        <f t="shared" si="388"/>
        <v>0</v>
      </c>
      <c r="R1315">
        <f t="shared" si="389"/>
        <v>0</v>
      </c>
      <c r="S1315">
        <f t="shared" si="390"/>
        <v>0</v>
      </c>
      <c r="T1315">
        <f t="shared" si="391"/>
        <v>1</v>
      </c>
      <c r="U1315">
        <f t="shared" si="392"/>
        <v>0</v>
      </c>
      <c r="V1315">
        <f t="shared" si="393"/>
        <v>0</v>
      </c>
      <c r="W1315" t="s">
        <v>39</v>
      </c>
      <c r="X1315">
        <f t="shared" si="394"/>
        <v>1</v>
      </c>
      <c r="Y1315">
        <f t="shared" si="395"/>
        <v>0</v>
      </c>
      <c r="Z1315">
        <v>3</v>
      </c>
      <c r="AA1315">
        <f t="shared" si="396"/>
        <v>0.5</v>
      </c>
      <c r="AB1315" t="s">
        <v>46</v>
      </c>
      <c r="AC1315">
        <f t="shared" si="397"/>
        <v>0</v>
      </c>
      <c r="AD1315">
        <f t="shared" si="398"/>
        <v>0</v>
      </c>
      <c r="AE1315" t="s">
        <v>41</v>
      </c>
      <c r="AF1315">
        <f>IF(AE1315="website",1,0)</f>
        <v>1</v>
      </c>
    </row>
    <row r="1316" spans="1:32">
      <c r="A1316" t="s">
        <v>1964</v>
      </c>
      <c r="B1316" t="s">
        <v>33</v>
      </c>
      <c r="C1316" s="3">
        <f t="shared" si="380"/>
        <v>0</v>
      </c>
      <c r="D1316">
        <f t="shared" si="381"/>
        <v>1</v>
      </c>
      <c r="E1316" t="s">
        <v>910</v>
      </c>
      <c r="F1316" t="s">
        <v>714</v>
      </c>
      <c r="G1316" s="1">
        <v>17891</v>
      </c>
      <c r="H1316" s="2">
        <f t="shared" ca="1" si="382"/>
        <v>77</v>
      </c>
      <c r="I1316" s="2">
        <f t="shared" ca="1" si="383"/>
        <v>0.74285714285714288</v>
      </c>
      <c r="J1316" t="s">
        <v>45</v>
      </c>
      <c r="K1316" t="s">
        <v>37</v>
      </c>
      <c r="L1316">
        <f t="shared" si="384"/>
        <v>1</v>
      </c>
      <c r="M1316">
        <f t="shared" si="385"/>
        <v>0</v>
      </c>
      <c r="N1316">
        <f t="shared" si="386"/>
        <v>0</v>
      </c>
      <c r="O1316" t="s">
        <v>137</v>
      </c>
      <c r="P1316">
        <f t="shared" si="387"/>
        <v>0</v>
      </c>
      <c r="Q1316">
        <f t="shared" si="388"/>
        <v>0</v>
      </c>
      <c r="R1316">
        <f t="shared" si="389"/>
        <v>0</v>
      </c>
      <c r="S1316">
        <f t="shared" si="390"/>
        <v>0</v>
      </c>
      <c r="T1316">
        <f t="shared" si="391"/>
        <v>0</v>
      </c>
      <c r="U1316">
        <f t="shared" si="392"/>
        <v>0</v>
      </c>
      <c r="V1316">
        <f t="shared" si="393"/>
        <v>0</v>
      </c>
      <c r="W1316" t="s">
        <v>39</v>
      </c>
      <c r="X1316">
        <f t="shared" si="394"/>
        <v>1</v>
      </c>
      <c r="Y1316">
        <f t="shared" si="395"/>
        <v>0</v>
      </c>
      <c r="Z1316">
        <v>3</v>
      </c>
      <c r="AA1316">
        <f t="shared" si="396"/>
        <v>0.5</v>
      </c>
      <c r="AB1316" t="s">
        <v>46</v>
      </c>
      <c r="AC1316">
        <f t="shared" si="397"/>
        <v>1</v>
      </c>
      <c r="AD1316">
        <f t="shared" si="398"/>
        <v>0</v>
      </c>
      <c r="AE1316" t="s">
        <v>50</v>
      </c>
      <c r="AF1316">
        <f>IF(AE1316="website",1,0)</f>
        <v>0</v>
      </c>
    </row>
    <row r="1317" spans="1:32">
      <c r="A1317" t="s">
        <v>1965</v>
      </c>
      <c r="B1317" t="s">
        <v>33</v>
      </c>
      <c r="C1317" s="3">
        <f t="shared" si="380"/>
        <v>0</v>
      </c>
      <c r="D1317">
        <f t="shared" si="381"/>
        <v>1</v>
      </c>
      <c r="E1317" t="s">
        <v>766</v>
      </c>
      <c r="F1317" t="s">
        <v>904</v>
      </c>
      <c r="G1317" s="1">
        <v>34098</v>
      </c>
      <c r="H1317" s="2">
        <f t="shared" ca="1" si="382"/>
        <v>33</v>
      </c>
      <c r="I1317" s="2">
        <f t="shared" ca="1" si="383"/>
        <v>0.11428571428571428</v>
      </c>
      <c r="J1317" t="s">
        <v>36</v>
      </c>
      <c r="K1317" t="s">
        <v>37</v>
      </c>
      <c r="L1317">
        <f t="shared" si="384"/>
        <v>1</v>
      </c>
      <c r="M1317">
        <f t="shared" si="385"/>
        <v>0</v>
      </c>
      <c r="N1317">
        <f t="shared" si="386"/>
        <v>0</v>
      </c>
      <c r="O1317" t="s">
        <v>137</v>
      </c>
      <c r="P1317">
        <f t="shared" si="387"/>
        <v>0</v>
      </c>
      <c r="Q1317">
        <f t="shared" si="388"/>
        <v>0</v>
      </c>
      <c r="R1317">
        <f t="shared" si="389"/>
        <v>0</v>
      </c>
      <c r="S1317">
        <f t="shared" si="390"/>
        <v>0</v>
      </c>
      <c r="T1317">
        <f t="shared" si="391"/>
        <v>0</v>
      </c>
      <c r="U1317">
        <f t="shared" si="392"/>
        <v>0</v>
      </c>
      <c r="V1317">
        <f t="shared" si="393"/>
        <v>0</v>
      </c>
      <c r="W1317" t="s">
        <v>39</v>
      </c>
      <c r="X1317">
        <f t="shared" si="394"/>
        <v>1</v>
      </c>
      <c r="Y1317">
        <f t="shared" si="395"/>
        <v>0</v>
      </c>
      <c r="Z1317">
        <v>2</v>
      </c>
      <c r="AA1317">
        <f t="shared" si="396"/>
        <v>0.25</v>
      </c>
      <c r="AB1317" t="s">
        <v>40</v>
      </c>
      <c r="AC1317">
        <f t="shared" si="397"/>
        <v>0</v>
      </c>
      <c r="AD1317">
        <f t="shared" si="398"/>
        <v>0</v>
      </c>
      <c r="AE1317" t="s">
        <v>41</v>
      </c>
      <c r="AF1317">
        <f>IF(AE1317="website",1,0)</f>
        <v>1</v>
      </c>
    </row>
    <row r="1318" spans="1:32">
      <c r="A1318" t="s">
        <v>1966</v>
      </c>
      <c r="B1318" t="s">
        <v>55</v>
      </c>
      <c r="C1318" s="3">
        <f t="shared" si="380"/>
        <v>1</v>
      </c>
      <c r="D1318">
        <f t="shared" si="381"/>
        <v>0</v>
      </c>
      <c r="E1318" t="s">
        <v>688</v>
      </c>
      <c r="F1318" t="s">
        <v>57</v>
      </c>
      <c r="G1318" s="1">
        <v>26995</v>
      </c>
      <c r="H1318" s="2">
        <f t="shared" ca="1" si="382"/>
        <v>52</v>
      </c>
      <c r="I1318" s="2">
        <f t="shared" ca="1" si="383"/>
        <v>0.38571428571428573</v>
      </c>
      <c r="J1318" t="s">
        <v>45</v>
      </c>
      <c r="K1318" t="s">
        <v>37</v>
      </c>
      <c r="L1318">
        <f t="shared" si="384"/>
        <v>1</v>
      </c>
      <c r="M1318">
        <f t="shared" si="385"/>
        <v>0</v>
      </c>
      <c r="N1318">
        <f t="shared" si="386"/>
        <v>0</v>
      </c>
      <c r="O1318" t="s">
        <v>183</v>
      </c>
      <c r="P1318">
        <f t="shared" si="387"/>
        <v>0</v>
      </c>
      <c r="Q1318">
        <f t="shared" si="388"/>
        <v>0</v>
      </c>
      <c r="R1318">
        <f t="shared" si="389"/>
        <v>0</v>
      </c>
      <c r="S1318">
        <f t="shared" si="390"/>
        <v>0</v>
      </c>
      <c r="T1318">
        <f t="shared" si="391"/>
        <v>0</v>
      </c>
      <c r="U1318">
        <f t="shared" si="392"/>
        <v>0</v>
      </c>
      <c r="V1318">
        <f t="shared" si="393"/>
        <v>0</v>
      </c>
      <c r="W1318" t="s">
        <v>39</v>
      </c>
      <c r="X1318">
        <f t="shared" si="394"/>
        <v>1</v>
      </c>
      <c r="Y1318">
        <f t="shared" si="395"/>
        <v>0</v>
      </c>
      <c r="Z1318">
        <v>2</v>
      </c>
      <c r="AA1318">
        <f t="shared" si="396"/>
        <v>0.25</v>
      </c>
      <c r="AB1318" t="s">
        <v>40</v>
      </c>
      <c r="AC1318">
        <f t="shared" si="397"/>
        <v>0</v>
      </c>
      <c r="AD1318">
        <f t="shared" si="398"/>
        <v>0</v>
      </c>
      <c r="AE1318" t="s">
        <v>41</v>
      </c>
      <c r="AF1318">
        <f>IF(AE1318="website",1,0)</f>
        <v>1</v>
      </c>
    </row>
    <row r="1319" spans="1:32">
      <c r="A1319" t="s">
        <v>1967</v>
      </c>
      <c r="B1319" t="s">
        <v>33</v>
      </c>
      <c r="C1319" s="3">
        <f t="shared" si="380"/>
        <v>0</v>
      </c>
      <c r="D1319">
        <f t="shared" si="381"/>
        <v>1</v>
      </c>
      <c r="E1319" t="s">
        <v>683</v>
      </c>
      <c r="F1319" t="s">
        <v>748</v>
      </c>
      <c r="G1319" s="1">
        <v>15724</v>
      </c>
      <c r="H1319" s="2">
        <f t="shared" ca="1" si="382"/>
        <v>83</v>
      </c>
      <c r="I1319" s="2">
        <f t="shared" ca="1" si="383"/>
        <v>0.82857142857142863</v>
      </c>
      <c r="J1319" t="s">
        <v>45</v>
      </c>
      <c r="K1319" t="s">
        <v>37</v>
      </c>
      <c r="L1319">
        <f t="shared" si="384"/>
        <v>1</v>
      </c>
      <c r="M1319">
        <f t="shared" si="385"/>
        <v>0</v>
      </c>
      <c r="N1319">
        <f t="shared" si="386"/>
        <v>0</v>
      </c>
      <c r="O1319" t="s">
        <v>592</v>
      </c>
      <c r="P1319">
        <f t="shared" si="387"/>
        <v>0</v>
      </c>
      <c r="Q1319">
        <f t="shared" si="388"/>
        <v>0</v>
      </c>
      <c r="R1319">
        <f t="shared" si="389"/>
        <v>0</v>
      </c>
      <c r="S1319">
        <f t="shared" si="390"/>
        <v>0</v>
      </c>
      <c r="T1319">
        <f t="shared" si="391"/>
        <v>0</v>
      </c>
      <c r="U1319">
        <f t="shared" si="392"/>
        <v>0</v>
      </c>
      <c r="V1319">
        <f t="shared" si="393"/>
        <v>0</v>
      </c>
      <c r="W1319" t="s">
        <v>39</v>
      </c>
      <c r="X1319">
        <f t="shared" si="394"/>
        <v>1</v>
      </c>
      <c r="Y1319">
        <f t="shared" si="395"/>
        <v>0</v>
      </c>
      <c r="Z1319">
        <v>1</v>
      </c>
      <c r="AA1319">
        <f t="shared" si="396"/>
        <v>0</v>
      </c>
      <c r="AB1319" t="s">
        <v>46</v>
      </c>
      <c r="AC1319">
        <f t="shared" si="397"/>
        <v>0</v>
      </c>
      <c r="AD1319">
        <f t="shared" si="398"/>
        <v>0</v>
      </c>
      <c r="AE1319" t="s">
        <v>41</v>
      </c>
      <c r="AF1319">
        <f>IF(AE1319="website",1,0)</f>
        <v>1</v>
      </c>
    </row>
    <row r="1320" spans="1:32">
      <c r="A1320" t="s">
        <v>1968</v>
      </c>
      <c r="B1320" t="s">
        <v>33</v>
      </c>
      <c r="C1320" s="3">
        <f t="shared" si="380"/>
        <v>0</v>
      </c>
      <c r="D1320">
        <f t="shared" si="381"/>
        <v>1</v>
      </c>
      <c r="E1320" t="s">
        <v>317</v>
      </c>
      <c r="F1320" t="s">
        <v>659</v>
      </c>
      <c r="G1320" s="1">
        <v>19953</v>
      </c>
      <c r="H1320" s="2">
        <f t="shared" ca="1" si="382"/>
        <v>72</v>
      </c>
      <c r="I1320" s="2">
        <f t="shared" ca="1" si="383"/>
        <v>0.67142857142857137</v>
      </c>
      <c r="J1320" t="s">
        <v>36</v>
      </c>
      <c r="K1320" t="s">
        <v>37</v>
      </c>
      <c r="L1320">
        <f t="shared" si="384"/>
        <v>1</v>
      </c>
      <c r="M1320">
        <f t="shared" si="385"/>
        <v>0</v>
      </c>
      <c r="N1320">
        <f t="shared" si="386"/>
        <v>0</v>
      </c>
      <c r="O1320" t="s">
        <v>600</v>
      </c>
      <c r="P1320">
        <f t="shared" si="387"/>
        <v>0</v>
      </c>
      <c r="Q1320">
        <f t="shared" si="388"/>
        <v>0</v>
      </c>
      <c r="R1320">
        <f t="shared" si="389"/>
        <v>0</v>
      </c>
      <c r="S1320">
        <f t="shared" si="390"/>
        <v>0</v>
      </c>
      <c r="T1320">
        <f t="shared" si="391"/>
        <v>0</v>
      </c>
      <c r="U1320">
        <f t="shared" si="392"/>
        <v>0</v>
      </c>
      <c r="V1320">
        <f t="shared" si="393"/>
        <v>0</v>
      </c>
      <c r="W1320" t="s">
        <v>39</v>
      </c>
      <c r="X1320">
        <f t="shared" si="394"/>
        <v>1</v>
      </c>
      <c r="Y1320">
        <f t="shared" si="395"/>
        <v>0</v>
      </c>
      <c r="Z1320">
        <v>3</v>
      </c>
      <c r="AA1320">
        <f t="shared" si="396"/>
        <v>0.5</v>
      </c>
      <c r="AB1320" t="s">
        <v>40</v>
      </c>
      <c r="AC1320">
        <f t="shared" si="397"/>
        <v>0</v>
      </c>
      <c r="AD1320">
        <f t="shared" si="398"/>
        <v>1</v>
      </c>
      <c r="AE1320" t="s">
        <v>90</v>
      </c>
      <c r="AF1320">
        <f>IF(AE1320="website",1,0)</f>
        <v>0</v>
      </c>
    </row>
    <row r="1321" spans="1:32">
      <c r="A1321" t="s">
        <v>1969</v>
      </c>
      <c r="B1321" t="s">
        <v>33</v>
      </c>
      <c r="C1321" s="3">
        <f t="shared" si="380"/>
        <v>0</v>
      </c>
      <c r="D1321">
        <f t="shared" si="381"/>
        <v>1</v>
      </c>
      <c r="E1321" t="s">
        <v>598</v>
      </c>
      <c r="F1321" t="s">
        <v>641</v>
      </c>
      <c r="G1321" s="1">
        <v>25326</v>
      </c>
      <c r="H1321" s="2">
        <f t="shared" ca="1" si="382"/>
        <v>57</v>
      </c>
      <c r="I1321" s="2">
        <f t="shared" ca="1" si="383"/>
        <v>0.45714285714285713</v>
      </c>
      <c r="J1321" t="s">
        <v>45</v>
      </c>
      <c r="K1321" t="s">
        <v>37</v>
      </c>
      <c r="L1321">
        <f t="shared" si="384"/>
        <v>1</v>
      </c>
      <c r="M1321">
        <f t="shared" si="385"/>
        <v>0</v>
      </c>
      <c r="N1321">
        <f t="shared" si="386"/>
        <v>0</v>
      </c>
      <c r="O1321" t="s">
        <v>38</v>
      </c>
      <c r="P1321">
        <f t="shared" si="387"/>
        <v>1</v>
      </c>
      <c r="Q1321">
        <f t="shared" si="388"/>
        <v>0</v>
      </c>
      <c r="R1321">
        <f t="shared" si="389"/>
        <v>0</v>
      </c>
      <c r="S1321">
        <f t="shared" si="390"/>
        <v>0</v>
      </c>
      <c r="T1321">
        <f t="shared" si="391"/>
        <v>0</v>
      </c>
      <c r="U1321">
        <f t="shared" si="392"/>
        <v>0</v>
      </c>
      <c r="V1321">
        <f t="shared" si="393"/>
        <v>0</v>
      </c>
      <c r="W1321" t="s">
        <v>58</v>
      </c>
      <c r="X1321">
        <f t="shared" si="394"/>
        <v>0</v>
      </c>
      <c r="Y1321">
        <f t="shared" si="395"/>
        <v>1</v>
      </c>
      <c r="Z1321">
        <v>1</v>
      </c>
      <c r="AA1321">
        <f t="shared" si="396"/>
        <v>0</v>
      </c>
      <c r="AB1321" t="s">
        <v>46</v>
      </c>
      <c r="AC1321">
        <f t="shared" si="397"/>
        <v>0</v>
      </c>
      <c r="AD1321">
        <f t="shared" si="398"/>
        <v>0</v>
      </c>
      <c r="AE1321" t="s">
        <v>41</v>
      </c>
      <c r="AF1321">
        <f>IF(AE1321="website",1,0)</f>
        <v>1</v>
      </c>
    </row>
    <row r="1322" spans="1:32">
      <c r="A1322" t="s">
        <v>1970</v>
      </c>
      <c r="B1322" t="s">
        <v>33</v>
      </c>
      <c r="C1322" s="3">
        <f t="shared" si="380"/>
        <v>0</v>
      </c>
      <c r="D1322">
        <f t="shared" si="381"/>
        <v>1</v>
      </c>
      <c r="E1322" t="s">
        <v>690</v>
      </c>
      <c r="F1322" t="s">
        <v>885</v>
      </c>
      <c r="G1322" s="1">
        <v>33127</v>
      </c>
      <c r="H1322" s="2">
        <f t="shared" ca="1" si="382"/>
        <v>36</v>
      </c>
      <c r="I1322" s="2">
        <f t="shared" ca="1" si="383"/>
        <v>0.15714285714285714</v>
      </c>
      <c r="J1322" t="s">
        <v>45</v>
      </c>
      <c r="K1322" t="s">
        <v>37</v>
      </c>
      <c r="L1322">
        <f t="shared" si="384"/>
        <v>1</v>
      </c>
      <c r="M1322">
        <f t="shared" si="385"/>
        <v>0</v>
      </c>
      <c r="N1322">
        <f t="shared" si="386"/>
        <v>0</v>
      </c>
      <c r="O1322" t="s">
        <v>137</v>
      </c>
      <c r="P1322">
        <f t="shared" si="387"/>
        <v>0</v>
      </c>
      <c r="Q1322">
        <f t="shared" si="388"/>
        <v>0</v>
      </c>
      <c r="R1322">
        <f t="shared" si="389"/>
        <v>0</v>
      </c>
      <c r="S1322">
        <f t="shared" si="390"/>
        <v>0</v>
      </c>
      <c r="T1322">
        <f t="shared" si="391"/>
        <v>0</v>
      </c>
      <c r="U1322">
        <f t="shared" si="392"/>
        <v>0</v>
      </c>
      <c r="V1322">
        <f t="shared" si="393"/>
        <v>0</v>
      </c>
      <c r="W1322" t="s">
        <v>58</v>
      </c>
      <c r="X1322">
        <f t="shared" si="394"/>
        <v>0</v>
      </c>
      <c r="Y1322">
        <f t="shared" si="395"/>
        <v>1</v>
      </c>
      <c r="Z1322">
        <v>5</v>
      </c>
      <c r="AA1322">
        <f t="shared" si="396"/>
        <v>1</v>
      </c>
      <c r="AB1322" t="s">
        <v>46</v>
      </c>
      <c r="AC1322">
        <f t="shared" si="397"/>
        <v>0</v>
      </c>
      <c r="AD1322">
        <f t="shared" si="398"/>
        <v>1</v>
      </c>
      <c r="AE1322" t="s">
        <v>90</v>
      </c>
      <c r="AF1322">
        <f>IF(AE1322="website",1,0)</f>
        <v>0</v>
      </c>
    </row>
    <row r="1323" spans="1:32">
      <c r="A1323" t="s">
        <v>1971</v>
      </c>
      <c r="B1323" t="s">
        <v>33</v>
      </c>
      <c r="C1323" s="3">
        <f t="shared" si="380"/>
        <v>0</v>
      </c>
      <c r="D1323">
        <f t="shared" si="381"/>
        <v>1</v>
      </c>
      <c r="E1323" t="s">
        <v>839</v>
      </c>
      <c r="F1323" t="s">
        <v>641</v>
      </c>
      <c r="G1323" s="1">
        <v>34694</v>
      </c>
      <c r="H1323" s="2">
        <f t="shared" ca="1" si="382"/>
        <v>31</v>
      </c>
      <c r="I1323" s="2">
        <f t="shared" ca="1" si="383"/>
        <v>8.5714285714285715E-2</v>
      </c>
      <c r="J1323" t="s">
        <v>36</v>
      </c>
      <c r="K1323" t="s">
        <v>37</v>
      </c>
      <c r="L1323">
        <f t="shared" si="384"/>
        <v>1</v>
      </c>
      <c r="M1323">
        <f t="shared" si="385"/>
        <v>0</v>
      </c>
      <c r="N1323">
        <f t="shared" si="386"/>
        <v>0</v>
      </c>
      <c r="O1323" t="s">
        <v>38</v>
      </c>
      <c r="P1323">
        <f t="shared" si="387"/>
        <v>1</v>
      </c>
      <c r="Q1323">
        <f t="shared" si="388"/>
        <v>0</v>
      </c>
      <c r="R1323">
        <f t="shared" si="389"/>
        <v>0</v>
      </c>
      <c r="S1323">
        <f t="shared" si="390"/>
        <v>0</v>
      </c>
      <c r="T1323">
        <f t="shared" si="391"/>
        <v>0</v>
      </c>
      <c r="U1323">
        <f t="shared" si="392"/>
        <v>0</v>
      </c>
      <c r="V1323">
        <f t="shared" si="393"/>
        <v>0</v>
      </c>
      <c r="W1323" t="s">
        <v>39</v>
      </c>
      <c r="X1323">
        <f t="shared" si="394"/>
        <v>1</v>
      </c>
      <c r="Y1323">
        <f t="shared" si="395"/>
        <v>0</v>
      </c>
      <c r="Z1323">
        <v>5</v>
      </c>
      <c r="AA1323">
        <f t="shared" si="396"/>
        <v>1</v>
      </c>
      <c r="AB1323" t="s">
        <v>46</v>
      </c>
      <c r="AC1323">
        <f t="shared" si="397"/>
        <v>1</v>
      </c>
      <c r="AD1323">
        <f t="shared" si="398"/>
        <v>0</v>
      </c>
      <c r="AE1323" t="s">
        <v>50</v>
      </c>
      <c r="AF1323">
        <f>IF(AE1323="website",1,0)</f>
        <v>0</v>
      </c>
    </row>
    <row r="1324" spans="1:32">
      <c r="A1324" t="s">
        <v>1972</v>
      </c>
      <c r="B1324" t="s">
        <v>33</v>
      </c>
      <c r="C1324" s="3">
        <f t="shared" si="380"/>
        <v>0</v>
      </c>
      <c r="D1324">
        <f t="shared" si="381"/>
        <v>1</v>
      </c>
      <c r="E1324" t="s">
        <v>596</v>
      </c>
      <c r="F1324" t="s">
        <v>620</v>
      </c>
      <c r="G1324" s="1">
        <v>23220</v>
      </c>
      <c r="H1324" s="2">
        <f t="shared" ca="1" si="382"/>
        <v>63</v>
      </c>
      <c r="I1324" s="2">
        <f t="shared" ca="1" si="383"/>
        <v>0.54285714285714282</v>
      </c>
      <c r="J1324" t="s">
        <v>45</v>
      </c>
      <c r="K1324" t="s">
        <v>37</v>
      </c>
      <c r="L1324">
        <f t="shared" si="384"/>
        <v>1</v>
      </c>
      <c r="M1324">
        <f t="shared" si="385"/>
        <v>0</v>
      </c>
      <c r="N1324">
        <f t="shared" si="386"/>
        <v>0</v>
      </c>
      <c r="O1324" t="s">
        <v>183</v>
      </c>
      <c r="P1324">
        <f t="shared" si="387"/>
        <v>0</v>
      </c>
      <c r="Q1324">
        <f t="shared" si="388"/>
        <v>0</v>
      </c>
      <c r="R1324">
        <f t="shared" si="389"/>
        <v>0</v>
      </c>
      <c r="S1324">
        <f t="shared" si="390"/>
        <v>0</v>
      </c>
      <c r="T1324">
        <f t="shared" si="391"/>
        <v>0</v>
      </c>
      <c r="U1324">
        <f t="shared" si="392"/>
        <v>0</v>
      </c>
      <c r="V1324">
        <f t="shared" si="393"/>
        <v>0</v>
      </c>
      <c r="W1324" t="s">
        <v>39</v>
      </c>
      <c r="X1324">
        <f t="shared" si="394"/>
        <v>1</v>
      </c>
      <c r="Y1324">
        <f t="shared" si="395"/>
        <v>0</v>
      </c>
      <c r="Z1324">
        <v>3</v>
      </c>
      <c r="AA1324">
        <f t="shared" si="396"/>
        <v>0.5</v>
      </c>
      <c r="AB1324" t="s">
        <v>46</v>
      </c>
      <c r="AC1324">
        <f t="shared" si="397"/>
        <v>0</v>
      </c>
      <c r="AD1324">
        <f t="shared" si="398"/>
        <v>0</v>
      </c>
      <c r="AE1324" t="s">
        <v>41</v>
      </c>
      <c r="AF1324">
        <f>IF(AE1324="website",1,0)</f>
        <v>1</v>
      </c>
    </row>
    <row r="1325" spans="1:32">
      <c r="A1325" t="s">
        <v>1973</v>
      </c>
      <c r="B1325" t="s">
        <v>33</v>
      </c>
      <c r="C1325" s="3">
        <f t="shared" si="380"/>
        <v>0</v>
      </c>
      <c r="D1325">
        <f t="shared" si="381"/>
        <v>1</v>
      </c>
      <c r="E1325" t="s">
        <v>744</v>
      </c>
      <c r="F1325" t="s">
        <v>308</v>
      </c>
      <c r="G1325" s="1">
        <v>33715</v>
      </c>
      <c r="H1325" s="2">
        <f t="shared" ca="1" si="382"/>
        <v>34</v>
      </c>
      <c r="I1325" s="2">
        <f t="shared" ca="1" si="383"/>
        <v>0.12857142857142856</v>
      </c>
      <c r="J1325" t="s">
        <v>45</v>
      </c>
      <c r="K1325" t="s">
        <v>37</v>
      </c>
      <c r="L1325">
        <f t="shared" si="384"/>
        <v>1</v>
      </c>
      <c r="M1325">
        <f t="shared" si="385"/>
        <v>0</v>
      </c>
      <c r="N1325">
        <f t="shared" si="386"/>
        <v>0</v>
      </c>
      <c r="O1325" t="s">
        <v>97</v>
      </c>
      <c r="P1325">
        <f t="shared" si="387"/>
        <v>0</v>
      </c>
      <c r="Q1325">
        <f t="shared" si="388"/>
        <v>0</v>
      </c>
      <c r="R1325">
        <f t="shared" si="389"/>
        <v>0</v>
      </c>
      <c r="S1325">
        <f t="shared" si="390"/>
        <v>0</v>
      </c>
      <c r="T1325">
        <f t="shared" si="391"/>
        <v>1</v>
      </c>
      <c r="U1325">
        <f t="shared" si="392"/>
        <v>0</v>
      </c>
      <c r="V1325">
        <f t="shared" si="393"/>
        <v>0</v>
      </c>
      <c r="W1325" t="s">
        <v>58</v>
      </c>
      <c r="X1325">
        <f t="shared" si="394"/>
        <v>0</v>
      </c>
      <c r="Y1325">
        <f t="shared" si="395"/>
        <v>1</v>
      </c>
      <c r="Z1325">
        <v>2</v>
      </c>
      <c r="AA1325">
        <f t="shared" si="396"/>
        <v>0.25</v>
      </c>
      <c r="AB1325" t="s">
        <v>40</v>
      </c>
      <c r="AC1325">
        <f t="shared" si="397"/>
        <v>1</v>
      </c>
      <c r="AD1325">
        <f t="shared" si="398"/>
        <v>0</v>
      </c>
      <c r="AE1325" t="s">
        <v>50</v>
      </c>
      <c r="AF1325">
        <f>IF(AE1325="website",1,0)</f>
        <v>0</v>
      </c>
    </row>
    <row r="1326" spans="1:32">
      <c r="A1326" t="s">
        <v>1974</v>
      </c>
      <c r="B1326" t="s">
        <v>33</v>
      </c>
      <c r="C1326" s="3">
        <f t="shared" si="380"/>
        <v>0</v>
      </c>
      <c r="D1326">
        <f t="shared" si="381"/>
        <v>1</v>
      </c>
      <c r="E1326" t="s">
        <v>936</v>
      </c>
      <c r="F1326" t="s">
        <v>562</v>
      </c>
      <c r="G1326" s="1">
        <v>27372</v>
      </c>
      <c r="H1326" s="2">
        <f t="shared" ca="1" si="382"/>
        <v>51</v>
      </c>
      <c r="I1326" s="2">
        <f t="shared" ca="1" si="383"/>
        <v>0.37142857142857144</v>
      </c>
      <c r="J1326" t="s">
        <v>45</v>
      </c>
      <c r="K1326" t="s">
        <v>65</v>
      </c>
      <c r="L1326">
        <f t="shared" si="384"/>
        <v>0</v>
      </c>
      <c r="M1326">
        <f t="shared" si="385"/>
        <v>1</v>
      </c>
      <c r="N1326">
        <f t="shared" si="386"/>
        <v>0</v>
      </c>
      <c r="O1326" t="s">
        <v>843</v>
      </c>
      <c r="P1326">
        <f t="shared" si="387"/>
        <v>0</v>
      </c>
      <c r="Q1326">
        <f t="shared" si="388"/>
        <v>0</v>
      </c>
      <c r="R1326">
        <f t="shared" si="389"/>
        <v>0</v>
      </c>
      <c r="S1326">
        <f t="shared" si="390"/>
        <v>0</v>
      </c>
      <c r="T1326">
        <f t="shared" si="391"/>
        <v>0</v>
      </c>
      <c r="U1326">
        <f t="shared" si="392"/>
        <v>0</v>
      </c>
      <c r="V1326">
        <f t="shared" si="393"/>
        <v>0</v>
      </c>
      <c r="W1326" t="s">
        <v>39</v>
      </c>
      <c r="X1326">
        <f t="shared" si="394"/>
        <v>1</v>
      </c>
      <c r="Y1326">
        <f t="shared" si="395"/>
        <v>0</v>
      </c>
      <c r="Z1326">
        <v>5</v>
      </c>
      <c r="AA1326">
        <f t="shared" si="396"/>
        <v>1</v>
      </c>
      <c r="AB1326" t="s">
        <v>40</v>
      </c>
      <c r="AC1326">
        <f t="shared" si="397"/>
        <v>1</v>
      </c>
      <c r="AD1326">
        <f t="shared" si="398"/>
        <v>0</v>
      </c>
      <c r="AE1326" t="s">
        <v>50</v>
      </c>
      <c r="AF1326">
        <f>IF(AE1326="website",1,0)</f>
        <v>0</v>
      </c>
    </row>
    <row r="1327" spans="1:32">
      <c r="A1327" t="s">
        <v>1975</v>
      </c>
      <c r="B1327" t="s">
        <v>33</v>
      </c>
      <c r="C1327" s="3">
        <f t="shared" si="380"/>
        <v>0</v>
      </c>
      <c r="D1327">
        <f t="shared" si="381"/>
        <v>1</v>
      </c>
      <c r="E1327" t="s">
        <v>575</v>
      </c>
      <c r="F1327" t="s">
        <v>1270</v>
      </c>
      <c r="G1327" s="1">
        <v>16214</v>
      </c>
      <c r="H1327" s="2">
        <f t="shared" ca="1" si="382"/>
        <v>82</v>
      </c>
      <c r="I1327" s="2">
        <f t="shared" ca="1" si="383"/>
        <v>0.81428571428571428</v>
      </c>
      <c r="J1327" t="s">
        <v>45</v>
      </c>
      <c r="K1327" t="s">
        <v>37</v>
      </c>
      <c r="L1327">
        <f t="shared" si="384"/>
        <v>1</v>
      </c>
      <c r="M1327">
        <f t="shared" si="385"/>
        <v>0</v>
      </c>
      <c r="N1327">
        <f t="shared" si="386"/>
        <v>0</v>
      </c>
      <c r="O1327" t="s">
        <v>137</v>
      </c>
      <c r="P1327">
        <f t="shared" si="387"/>
        <v>0</v>
      </c>
      <c r="Q1327">
        <f t="shared" si="388"/>
        <v>0</v>
      </c>
      <c r="R1327">
        <f t="shared" si="389"/>
        <v>0</v>
      </c>
      <c r="S1327">
        <f t="shared" si="390"/>
        <v>0</v>
      </c>
      <c r="T1327">
        <f t="shared" si="391"/>
        <v>0</v>
      </c>
      <c r="U1327">
        <f t="shared" si="392"/>
        <v>0</v>
      </c>
      <c r="V1327">
        <f t="shared" si="393"/>
        <v>0</v>
      </c>
      <c r="W1327" t="s">
        <v>58</v>
      </c>
      <c r="X1327">
        <f t="shared" si="394"/>
        <v>0</v>
      </c>
      <c r="Y1327">
        <f t="shared" si="395"/>
        <v>1</v>
      </c>
      <c r="Z1327">
        <v>4</v>
      </c>
      <c r="AA1327">
        <f t="shared" si="396"/>
        <v>0.75</v>
      </c>
      <c r="AB1327" t="s">
        <v>46</v>
      </c>
      <c r="AC1327">
        <f t="shared" si="397"/>
        <v>0</v>
      </c>
      <c r="AD1327">
        <f t="shared" si="398"/>
        <v>0</v>
      </c>
      <c r="AE1327" t="s">
        <v>41</v>
      </c>
      <c r="AF1327">
        <f>IF(AE1327="website",1,0)</f>
        <v>1</v>
      </c>
    </row>
    <row r="1328" spans="1:32">
      <c r="A1328" t="s">
        <v>1976</v>
      </c>
      <c r="B1328" t="s">
        <v>33</v>
      </c>
      <c r="C1328" s="3">
        <f t="shared" si="380"/>
        <v>0</v>
      </c>
      <c r="D1328">
        <f t="shared" si="381"/>
        <v>1</v>
      </c>
      <c r="E1328" t="s">
        <v>755</v>
      </c>
      <c r="F1328" t="s">
        <v>568</v>
      </c>
      <c r="G1328" s="1">
        <v>34103</v>
      </c>
      <c r="H1328" s="2">
        <f t="shared" ca="1" si="382"/>
        <v>33</v>
      </c>
      <c r="I1328" s="2">
        <f t="shared" ca="1" si="383"/>
        <v>0.11428571428571428</v>
      </c>
      <c r="J1328" t="s">
        <v>36</v>
      </c>
      <c r="K1328" t="s">
        <v>37</v>
      </c>
      <c r="L1328">
        <f t="shared" si="384"/>
        <v>1</v>
      </c>
      <c r="M1328">
        <f t="shared" si="385"/>
        <v>0</v>
      </c>
      <c r="N1328">
        <f t="shared" si="386"/>
        <v>0</v>
      </c>
      <c r="O1328" t="s">
        <v>38</v>
      </c>
      <c r="P1328">
        <f t="shared" si="387"/>
        <v>1</v>
      </c>
      <c r="Q1328">
        <f t="shared" si="388"/>
        <v>0</v>
      </c>
      <c r="R1328">
        <f t="shared" si="389"/>
        <v>0</v>
      </c>
      <c r="S1328">
        <f t="shared" si="390"/>
        <v>0</v>
      </c>
      <c r="T1328">
        <f t="shared" si="391"/>
        <v>0</v>
      </c>
      <c r="U1328">
        <f t="shared" si="392"/>
        <v>0</v>
      </c>
      <c r="V1328">
        <f t="shared" si="393"/>
        <v>0</v>
      </c>
      <c r="W1328" t="s">
        <v>39</v>
      </c>
      <c r="X1328">
        <f t="shared" si="394"/>
        <v>1</v>
      </c>
      <c r="Y1328">
        <f t="shared" si="395"/>
        <v>0</v>
      </c>
      <c r="Z1328">
        <v>4</v>
      </c>
      <c r="AA1328">
        <f t="shared" si="396"/>
        <v>0.75</v>
      </c>
      <c r="AB1328" t="s">
        <v>40</v>
      </c>
      <c r="AC1328">
        <f t="shared" si="397"/>
        <v>0</v>
      </c>
      <c r="AD1328">
        <f t="shared" si="398"/>
        <v>0</v>
      </c>
      <c r="AE1328" t="s">
        <v>41</v>
      </c>
      <c r="AF1328">
        <f>IF(AE1328="website",1,0)</f>
        <v>1</v>
      </c>
    </row>
    <row r="1329" spans="1:32">
      <c r="A1329" t="s">
        <v>1977</v>
      </c>
      <c r="B1329" t="s">
        <v>33</v>
      </c>
      <c r="C1329" s="3">
        <f t="shared" si="380"/>
        <v>0</v>
      </c>
      <c r="D1329">
        <f t="shared" si="381"/>
        <v>1</v>
      </c>
      <c r="E1329" t="s">
        <v>1370</v>
      </c>
      <c r="F1329" t="s">
        <v>861</v>
      </c>
      <c r="G1329" s="1">
        <v>20659</v>
      </c>
      <c r="H1329" s="2">
        <f t="shared" ca="1" si="382"/>
        <v>70</v>
      </c>
      <c r="I1329" s="2">
        <f t="shared" ca="1" si="383"/>
        <v>0.6428571428571429</v>
      </c>
      <c r="J1329" t="s">
        <v>36</v>
      </c>
      <c r="K1329" t="s">
        <v>37</v>
      </c>
      <c r="L1329">
        <f t="shared" si="384"/>
        <v>1</v>
      </c>
      <c r="M1329">
        <f t="shared" si="385"/>
        <v>0</v>
      </c>
      <c r="N1329">
        <f t="shared" si="386"/>
        <v>0</v>
      </c>
      <c r="O1329" t="s">
        <v>565</v>
      </c>
      <c r="P1329">
        <f t="shared" si="387"/>
        <v>0</v>
      </c>
      <c r="Q1329">
        <f t="shared" si="388"/>
        <v>0</v>
      </c>
      <c r="R1329">
        <f t="shared" si="389"/>
        <v>0</v>
      </c>
      <c r="S1329">
        <f t="shared" si="390"/>
        <v>0</v>
      </c>
      <c r="T1329">
        <f t="shared" si="391"/>
        <v>0</v>
      </c>
      <c r="U1329">
        <f t="shared" si="392"/>
        <v>0</v>
      </c>
      <c r="V1329">
        <f t="shared" si="393"/>
        <v>0</v>
      </c>
      <c r="W1329" t="s">
        <v>39</v>
      </c>
      <c r="X1329">
        <f t="shared" si="394"/>
        <v>1</v>
      </c>
      <c r="Y1329">
        <f t="shared" si="395"/>
        <v>0</v>
      </c>
      <c r="Z1329">
        <v>4</v>
      </c>
      <c r="AA1329">
        <f t="shared" si="396"/>
        <v>0.75</v>
      </c>
      <c r="AB1329" t="s">
        <v>46</v>
      </c>
      <c r="AC1329">
        <f t="shared" si="397"/>
        <v>0</v>
      </c>
      <c r="AD1329">
        <f t="shared" si="398"/>
        <v>0</v>
      </c>
      <c r="AE1329" t="s">
        <v>41</v>
      </c>
      <c r="AF1329">
        <f>IF(AE1329="website",1,0)</f>
        <v>1</v>
      </c>
    </row>
    <row r="1330" spans="1:32">
      <c r="A1330" t="s">
        <v>1978</v>
      </c>
      <c r="B1330" t="s">
        <v>33</v>
      </c>
      <c r="C1330" s="3">
        <f t="shared" si="380"/>
        <v>0</v>
      </c>
      <c r="D1330">
        <f t="shared" si="381"/>
        <v>1</v>
      </c>
      <c r="E1330" t="s">
        <v>941</v>
      </c>
      <c r="F1330" t="s">
        <v>538</v>
      </c>
      <c r="G1330" s="1">
        <v>24956</v>
      </c>
      <c r="H1330" s="2">
        <f t="shared" ca="1" si="382"/>
        <v>58</v>
      </c>
      <c r="I1330" s="2">
        <f t="shared" ca="1" si="383"/>
        <v>0.47142857142857142</v>
      </c>
      <c r="J1330" t="s">
        <v>45</v>
      </c>
      <c r="K1330" t="s">
        <v>37</v>
      </c>
      <c r="L1330">
        <f t="shared" si="384"/>
        <v>1</v>
      </c>
      <c r="M1330">
        <f t="shared" si="385"/>
        <v>0</v>
      </c>
      <c r="N1330">
        <f t="shared" si="386"/>
        <v>0</v>
      </c>
      <c r="O1330" t="s">
        <v>38</v>
      </c>
      <c r="P1330">
        <f t="shared" si="387"/>
        <v>1</v>
      </c>
      <c r="Q1330">
        <f t="shared" si="388"/>
        <v>0</v>
      </c>
      <c r="R1330">
        <f t="shared" si="389"/>
        <v>0</v>
      </c>
      <c r="S1330">
        <f t="shared" si="390"/>
        <v>0</v>
      </c>
      <c r="T1330">
        <f t="shared" si="391"/>
        <v>0</v>
      </c>
      <c r="U1330">
        <f t="shared" si="392"/>
        <v>0</v>
      </c>
      <c r="V1330">
        <f t="shared" si="393"/>
        <v>0</v>
      </c>
      <c r="W1330" t="s">
        <v>58</v>
      </c>
      <c r="X1330">
        <f t="shared" si="394"/>
        <v>0</v>
      </c>
      <c r="Y1330">
        <f t="shared" si="395"/>
        <v>1</v>
      </c>
      <c r="Z1330">
        <v>3</v>
      </c>
      <c r="AA1330">
        <f t="shared" si="396"/>
        <v>0.5</v>
      </c>
      <c r="AB1330" t="s">
        <v>40</v>
      </c>
      <c r="AC1330">
        <f t="shared" si="397"/>
        <v>1</v>
      </c>
      <c r="AD1330">
        <f t="shared" si="398"/>
        <v>0</v>
      </c>
      <c r="AE1330" t="s">
        <v>50</v>
      </c>
      <c r="AF1330">
        <f>IF(AE1330="website",1,0)</f>
        <v>0</v>
      </c>
    </row>
    <row r="1331" spans="1:32">
      <c r="A1331" t="s">
        <v>1979</v>
      </c>
      <c r="B1331" t="s">
        <v>33</v>
      </c>
      <c r="C1331" s="3">
        <f t="shared" si="380"/>
        <v>0</v>
      </c>
      <c r="D1331">
        <f t="shared" si="381"/>
        <v>1</v>
      </c>
      <c r="E1331" t="s">
        <v>649</v>
      </c>
      <c r="F1331" t="s">
        <v>659</v>
      </c>
      <c r="G1331" s="1">
        <v>27516</v>
      </c>
      <c r="H1331" s="2">
        <f t="shared" ca="1" si="382"/>
        <v>51</v>
      </c>
      <c r="I1331" s="2">
        <f t="shared" ca="1" si="383"/>
        <v>0.37142857142857144</v>
      </c>
      <c r="J1331" t="s">
        <v>36</v>
      </c>
      <c r="K1331" t="s">
        <v>37</v>
      </c>
      <c r="L1331">
        <f t="shared" si="384"/>
        <v>1</v>
      </c>
      <c r="M1331">
        <f t="shared" si="385"/>
        <v>0</v>
      </c>
      <c r="N1331">
        <f t="shared" si="386"/>
        <v>0</v>
      </c>
      <c r="O1331" t="s">
        <v>137</v>
      </c>
      <c r="P1331">
        <f t="shared" si="387"/>
        <v>0</v>
      </c>
      <c r="Q1331">
        <f t="shared" si="388"/>
        <v>0</v>
      </c>
      <c r="R1331">
        <f t="shared" si="389"/>
        <v>0</v>
      </c>
      <c r="S1331">
        <f t="shared" si="390"/>
        <v>0</v>
      </c>
      <c r="T1331">
        <f t="shared" si="391"/>
        <v>0</v>
      </c>
      <c r="U1331">
        <f t="shared" si="392"/>
        <v>0</v>
      </c>
      <c r="V1331">
        <f t="shared" si="393"/>
        <v>0</v>
      </c>
      <c r="W1331" t="s">
        <v>58</v>
      </c>
      <c r="X1331">
        <f t="shared" si="394"/>
        <v>0</v>
      </c>
      <c r="Y1331">
        <f t="shared" si="395"/>
        <v>1</v>
      </c>
      <c r="Z1331">
        <v>2</v>
      </c>
      <c r="AA1331">
        <f t="shared" si="396"/>
        <v>0.25</v>
      </c>
      <c r="AB1331" t="s">
        <v>46</v>
      </c>
      <c r="AC1331">
        <f t="shared" si="397"/>
        <v>1</v>
      </c>
      <c r="AD1331">
        <f t="shared" si="398"/>
        <v>0</v>
      </c>
      <c r="AE1331" t="s">
        <v>50</v>
      </c>
      <c r="AF1331">
        <f>IF(AE1331="website",1,0)</f>
        <v>0</v>
      </c>
    </row>
    <row r="1332" spans="1:32">
      <c r="A1332" t="s">
        <v>1980</v>
      </c>
      <c r="B1332" t="s">
        <v>33</v>
      </c>
      <c r="C1332" s="3">
        <f t="shared" si="380"/>
        <v>0</v>
      </c>
      <c r="D1332">
        <f t="shared" si="381"/>
        <v>1</v>
      </c>
      <c r="E1332" t="s">
        <v>1554</v>
      </c>
      <c r="F1332" t="s">
        <v>378</v>
      </c>
      <c r="G1332" s="1">
        <v>31691</v>
      </c>
      <c r="H1332" s="2">
        <f t="shared" ca="1" si="382"/>
        <v>39</v>
      </c>
      <c r="I1332" s="2">
        <f t="shared" ca="1" si="383"/>
        <v>0.2</v>
      </c>
      <c r="J1332" t="s">
        <v>36</v>
      </c>
      <c r="K1332" t="s">
        <v>37</v>
      </c>
      <c r="L1332">
        <f t="shared" si="384"/>
        <v>1</v>
      </c>
      <c r="M1332">
        <f t="shared" si="385"/>
        <v>0</v>
      </c>
      <c r="N1332">
        <f t="shared" si="386"/>
        <v>0</v>
      </c>
      <c r="O1332" t="s">
        <v>38</v>
      </c>
      <c r="P1332">
        <f t="shared" si="387"/>
        <v>1</v>
      </c>
      <c r="Q1332">
        <f t="shared" si="388"/>
        <v>0</v>
      </c>
      <c r="R1332">
        <f t="shared" si="389"/>
        <v>0</v>
      </c>
      <c r="S1332">
        <f t="shared" si="390"/>
        <v>0</v>
      </c>
      <c r="T1332">
        <f t="shared" si="391"/>
        <v>0</v>
      </c>
      <c r="U1332">
        <f t="shared" si="392"/>
        <v>0</v>
      </c>
      <c r="V1332">
        <f t="shared" si="393"/>
        <v>0</v>
      </c>
      <c r="W1332" t="s">
        <v>58</v>
      </c>
      <c r="X1332">
        <f t="shared" si="394"/>
        <v>0</v>
      </c>
      <c r="Y1332">
        <f t="shared" si="395"/>
        <v>1</v>
      </c>
      <c r="Z1332">
        <v>1</v>
      </c>
      <c r="AA1332">
        <f t="shared" si="396"/>
        <v>0</v>
      </c>
      <c r="AB1332" t="s">
        <v>46</v>
      </c>
      <c r="AC1332">
        <f t="shared" si="397"/>
        <v>1</v>
      </c>
      <c r="AD1332">
        <f t="shared" si="398"/>
        <v>0</v>
      </c>
      <c r="AE1332" t="s">
        <v>50</v>
      </c>
      <c r="AF1332">
        <f>IF(AE1332="website",1,0)</f>
        <v>0</v>
      </c>
    </row>
    <row r="1333" spans="1:32">
      <c r="A1333" t="s">
        <v>1981</v>
      </c>
      <c r="B1333" t="s">
        <v>33</v>
      </c>
      <c r="C1333" s="3">
        <f t="shared" si="380"/>
        <v>0</v>
      </c>
      <c r="D1333">
        <f t="shared" si="381"/>
        <v>1</v>
      </c>
      <c r="E1333" t="s">
        <v>419</v>
      </c>
      <c r="F1333" t="s">
        <v>339</v>
      </c>
      <c r="G1333" s="1">
        <v>35044</v>
      </c>
      <c r="H1333" s="2">
        <f t="shared" ca="1" si="382"/>
        <v>30</v>
      </c>
      <c r="I1333" s="2">
        <f t="shared" ca="1" si="383"/>
        <v>7.1428571428571425E-2</v>
      </c>
      <c r="J1333" t="s">
        <v>45</v>
      </c>
      <c r="K1333" t="s">
        <v>37</v>
      </c>
      <c r="L1333">
        <f t="shared" si="384"/>
        <v>1</v>
      </c>
      <c r="M1333">
        <f t="shared" si="385"/>
        <v>0</v>
      </c>
      <c r="N1333">
        <f t="shared" si="386"/>
        <v>0</v>
      </c>
      <c r="O1333" t="s">
        <v>565</v>
      </c>
      <c r="P1333">
        <f t="shared" si="387"/>
        <v>0</v>
      </c>
      <c r="Q1333">
        <f t="shared" si="388"/>
        <v>0</v>
      </c>
      <c r="R1333">
        <f t="shared" si="389"/>
        <v>0</v>
      </c>
      <c r="S1333">
        <f t="shared" si="390"/>
        <v>0</v>
      </c>
      <c r="T1333">
        <f t="shared" si="391"/>
        <v>0</v>
      </c>
      <c r="U1333">
        <f t="shared" si="392"/>
        <v>0</v>
      </c>
      <c r="V1333">
        <f t="shared" si="393"/>
        <v>0</v>
      </c>
      <c r="W1333" t="s">
        <v>58</v>
      </c>
      <c r="X1333">
        <f t="shared" si="394"/>
        <v>0</v>
      </c>
      <c r="Y1333">
        <f t="shared" si="395"/>
        <v>1</v>
      </c>
      <c r="Z1333">
        <v>5</v>
      </c>
      <c r="AA1333">
        <f t="shared" si="396"/>
        <v>1</v>
      </c>
      <c r="AB1333" t="s">
        <v>40</v>
      </c>
      <c r="AC1333">
        <f t="shared" si="397"/>
        <v>1</v>
      </c>
      <c r="AD1333">
        <f t="shared" si="398"/>
        <v>0</v>
      </c>
      <c r="AE1333" t="s">
        <v>50</v>
      </c>
      <c r="AF1333">
        <f>IF(AE1333="website",1,0)</f>
        <v>0</v>
      </c>
    </row>
    <row r="1334" spans="1:32">
      <c r="A1334" t="s">
        <v>1982</v>
      </c>
      <c r="B1334" t="s">
        <v>33</v>
      </c>
      <c r="C1334" s="3">
        <f t="shared" si="380"/>
        <v>0</v>
      </c>
      <c r="D1334">
        <f t="shared" si="381"/>
        <v>1</v>
      </c>
      <c r="E1334" t="s">
        <v>357</v>
      </c>
      <c r="F1334" t="s">
        <v>513</v>
      </c>
      <c r="G1334" s="1">
        <v>32229</v>
      </c>
      <c r="H1334" s="2">
        <f t="shared" ca="1" si="382"/>
        <v>38</v>
      </c>
      <c r="I1334" s="2">
        <f t="shared" ca="1" si="383"/>
        <v>0.18571428571428572</v>
      </c>
      <c r="J1334" t="s">
        <v>45</v>
      </c>
      <c r="K1334" t="s">
        <v>37</v>
      </c>
      <c r="L1334">
        <f t="shared" si="384"/>
        <v>1</v>
      </c>
      <c r="M1334">
        <f t="shared" si="385"/>
        <v>0</v>
      </c>
      <c r="N1334">
        <f t="shared" si="386"/>
        <v>0</v>
      </c>
      <c r="O1334" t="s">
        <v>124</v>
      </c>
      <c r="P1334">
        <f t="shared" si="387"/>
        <v>0</v>
      </c>
      <c r="Q1334">
        <f t="shared" si="388"/>
        <v>0</v>
      </c>
      <c r="R1334">
        <f t="shared" si="389"/>
        <v>0</v>
      </c>
      <c r="S1334">
        <f t="shared" si="390"/>
        <v>0</v>
      </c>
      <c r="T1334">
        <f t="shared" si="391"/>
        <v>0</v>
      </c>
      <c r="U1334">
        <f t="shared" si="392"/>
        <v>1</v>
      </c>
      <c r="V1334">
        <f t="shared" si="393"/>
        <v>0</v>
      </c>
      <c r="W1334" t="s">
        <v>58</v>
      </c>
      <c r="X1334">
        <f t="shared" si="394"/>
        <v>0</v>
      </c>
      <c r="Y1334">
        <f t="shared" si="395"/>
        <v>1</v>
      </c>
      <c r="Z1334">
        <v>2</v>
      </c>
      <c r="AA1334">
        <f t="shared" si="396"/>
        <v>0.25</v>
      </c>
      <c r="AB1334" t="s">
        <v>40</v>
      </c>
      <c r="AC1334">
        <f t="shared" si="397"/>
        <v>0</v>
      </c>
      <c r="AD1334">
        <f t="shared" si="398"/>
        <v>0</v>
      </c>
      <c r="AE1334" t="s">
        <v>41</v>
      </c>
      <c r="AF1334">
        <f>IF(AE1334="website",1,0)</f>
        <v>1</v>
      </c>
    </row>
    <row r="1335" spans="1:32">
      <c r="A1335" t="s">
        <v>1983</v>
      </c>
      <c r="B1335" t="s">
        <v>33</v>
      </c>
      <c r="C1335" s="3">
        <f t="shared" si="380"/>
        <v>0</v>
      </c>
      <c r="D1335">
        <f t="shared" si="381"/>
        <v>1</v>
      </c>
      <c r="E1335" t="s">
        <v>1061</v>
      </c>
      <c r="F1335" t="s">
        <v>112</v>
      </c>
      <c r="G1335" s="1">
        <v>24084</v>
      </c>
      <c r="H1335" s="2">
        <f t="shared" ca="1" si="382"/>
        <v>60</v>
      </c>
      <c r="I1335" s="2">
        <f t="shared" ca="1" si="383"/>
        <v>0.5</v>
      </c>
      <c r="J1335" t="s">
        <v>36</v>
      </c>
      <c r="K1335" t="s">
        <v>37</v>
      </c>
      <c r="L1335">
        <f t="shared" si="384"/>
        <v>1</v>
      </c>
      <c r="M1335">
        <f t="shared" si="385"/>
        <v>0</v>
      </c>
      <c r="N1335">
        <f t="shared" si="386"/>
        <v>0</v>
      </c>
      <c r="O1335" t="s">
        <v>38</v>
      </c>
      <c r="P1335">
        <f t="shared" si="387"/>
        <v>1</v>
      </c>
      <c r="Q1335">
        <f t="shared" si="388"/>
        <v>0</v>
      </c>
      <c r="R1335">
        <f t="shared" si="389"/>
        <v>0</v>
      </c>
      <c r="S1335">
        <f t="shared" si="390"/>
        <v>0</v>
      </c>
      <c r="T1335">
        <f t="shared" si="391"/>
        <v>0</v>
      </c>
      <c r="U1335">
        <f t="shared" si="392"/>
        <v>0</v>
      </c>
      <c r="V1335">
        <f t="shared" si="393"/>
        <v>0</v>
      </c>
      <c r="W1335" t="s">
        <v>39</v>
      </c>
      <c r="X1335">
        <f t="shared" si="394"/>
        <v>1</v>
      </c>
      <c r="Y1335">
        <f t="shared" si="395"/>
        <v>0</v>
      </c>
      <c r="Z1335">
        <v>5</v>
      </c>
      <c r="AA1335">
        <f t="shared" si="396"/>
        <v>1</v>
      </c>
      <c r="AB1335" t="s">
        <v>40</v>
      </c>
      <c r="AC1335">
        <f t="shared" si="397"/>
        <v>1</v>
      </c>
      <c r="AD1335">
        <f t="shared" si="398"/>
        <v>0</v>
      </c>
      <c r="AE1335" t="s">
        <v>50</v>
      </c>
      <c r="AF1335">
        <f>IF(AE1335="website",1,0)</f>
        <v>0</v>
      </c>
    </row>
    <row r="1336" spans="1:32">
      <c r="A1336" t="s">
        <v>1984</v>
      </c>
      <c r="B1336" t="s">
        <v>33</v>
      </c>
      <c r="C1336" s="3">
        <f t="shared" si="380"/>
        <v>0</v>
      </c>
      <c r="D1336">
        <f t="shared" si="381"/>
        <v>1</v>
      </c>
      <c r="E1336" t="s">
        <v>753</v>
      </c>
      <c r="F1336" t="s">
        <v>549</v>
      </c>
      <c r="G1336" s="1">
        <v>30072</v>
      </c>
      <c r="H1336" s="2">
        <f t="shared" ca="1" si="382"/>
        <v>44</v>
      </c>
      <c r="I1336" s="2">
        <f t="shared" ca="1" si="383"/>
        <v>0.27142857142857141</v>
      </c>
      <c r="J1336" t="s">
        <v>36</v>
      </c>
      <c r="K1336" t="s">
        <v>37</v>
      </c>
      <c r="L1336">
        <f t="shared" si="384"/>
        <v>1</v>
      </c>
      <c r="M1336">
        <f t="shared" si="385"/>
        <v>0</v>
      </c>
      <c r="N1336">
        <f t="shared" si="386"/>
        <v>0</v>
      </c>
      <c r="O1336" t="s">
        <v>76</v>
      </c>
      <c r="P1336">
        <f t="shared" si="387"/>
        <v>0</v>
      </c>
      <c r="Q1336">
        <f t="shared" si="388"/>
        <v>1</v>
      </c>
      <c r="R1336">
        <f t="shared" si="389"/>
        <v>0</v>
      </c>
      <c r="S1336">
        <f t="shared" si="390"/>
        <v>0</v>
      </c>
      <c r="T1336">
        <f t="shared" si="391"/>
        <v>0</v>
      </c>
      <c r="U1336">
        <f t="shared" si="392"/>
        <v>0</v>
      </c>
      <c r="V1336">
        <f t="shared" si="393"/>
        <v>0</v>
      </c>
      <c r="W1336" t="s">
        <v>58</v>
      </c>
      <c r="X1336">
        <f t="shared" si="394"/>
        <v>0</v>
      </c>
      <c r="Y1336">
        <f t="shared" si="395"/>
        <v>1</v>
      </c>
      <c r="Z1336">
        <v>2</v>
      </c>
      <c r="AA1336">
        <f t="shared" si="396"/>
        <v>0.25</v>
      </c>
      <c r="AB1336" t="s">
        <v>40</v>
      </c>
      <c r="AC1336">
        <f t="shared" si="397"/>
        <v>0</v>
      </c>
      <c r="AD1336">
        <f t="shared" si="398"/>
        <v>0</v>
      </c>
      <c r="AE1336" t="s">
        <v>41</v>
      </c>
      <c r="AF1336">
        <f>IF(AE1336="website",1,0)</f>
        <v>1</v>
      </c>
    </row>
    <row r="1337" spans="1:32">
      <c r="A1337" t="s">
        <v>1985</v>
      </c>
      <c r="B1337" t="s">
        <v>33</v>
      </c>
      <c r="C1337" s="3">
        <f t="shared" si="380"/>
        <v>0</v>
      </c>
      <c r="D1337">
        <f t="shared" si="381"/>
        <v>1</v>
      </c>
      <c r="E1337" t="s">
        <v>647</v>
      </c>
      <c r="F1337" t="s">
        <v>798</v>
      </c>
      <c r="G1337" s="1">
        <v>17876</v>
      </c>
      <c r="H1337" s="2">
        <f t="shared" ca="1" si="382"/>
        <v>77</v>
      </c>
      <c r="I1337" s="2">
        <f t="shared" ca="1" si="383"/>
        <v>0.74285714285714288</v>
      </c>
      <c r="J1337" t="s">
        <v>36</v>
      </c>
      <c r="K1337" t="s">
        <v>37</v>
      </c>
      <c r="L1337">
        <f t="shared" si="384"/>
        <v>1</v>
      </c>
      <c r="M1337">
        <f t="shared" si="385"/>
        <v>0</v>
      </c>
      <c r="N1337">
        <f t="shared" si="386"/>
        <v>0</v>
      </c>
      <c r="O1337" t="s">
        <v>38</v>
      </c>
      <c r="P1337">
        <f t="shared" si="387"/>
        <v>1</v>
      </c>
      <c r="Q1337">
        <f t="shared" si="388"/>
        <v>0</v>
      </c>
      <c r="R1337">
        <f t="shared" si="389"/>
        <v>0</v>
      </c>
      <c r="S1337">
        <f t="shared" si="390"/>
        <v>0</v>
      </c>
      <c r="T1337">
        <f t="shared" si="391"/>
        <v>0</v>
      </c>
      <c r="U1337">
        <f t="shared" si="392"/>
        <v>0</v>
      </c>
      <c r="V1337">
        <f t="shared" si="393"/>
        <v>0</v>
      </c>
      <c r="W1337" t="s">
        <v>39</v>
      </c>
      <c r="X1337">
        <f t="shared" si="394"/>
        <v>1</v>
      </c>
      <c r="Y1337">
        <f t="shared" si="395"/>
        <v>0</v>
      </c>
      <c r="Z1337">
        <v>5</v>
      </c>
      <c r="AA1337">
        <f t="shared" si="396"/>
        <v>1</v>
      </c>
      <c r="AB1337" t="s">
        <v>46</v>
      </c>
      <c r="AC1337">
        <f t="shared" si="397"/>
        <v>0</v>
      </c>
      <c r="AD1337">
        <f t="shared" si="398"/>
        <v>1</v>
      </c>
      <c r="AE1337" t="s">
        <v>90</v>
      </c>
      <c r="AF1337">
        <f>IF(AE1337="website",1,0)</f>
        <v>0</v>
      </c>
    </row>
    <row r="1338" spans="1:32">
      <c r="A1338" t="s">
        <v>1986</v>
      </c>
      <c r="B1338" t="s">
        <v>33</v>
      </c>
      <c r="C1338" s="3">
        <f t="shared" si="380"/>
        <v>0</v>
      </c>
      <c r="D1338">
        <f t="shared" si="381"/>
        <v>1</v>
      </c>
      <c r="E1338" t="s">
        <v>982</v>
      </c>
      <c r="F1338" t="s">
        <v>616</v>
      </c>
      <c r="G1338" s="1">
        <v>19622</v>
      </c>
      <c r="H1338" s="2">
        <f t="shared" ca="1" si="382"/>
        <v>73</v>
      </c>
      <c r="I1338" s="2">
        <f t="shared" ca="1" si="383"/>
        <v>0.68571428571428572</v>
      </c>
      <c r="J1338" t="s">
        <v>36</v>
      </c>
      <c r="K1338" t="s">
        <v>37</v>
      </c>
      <c r="L1338">
        <f t="shared" si="384"/>
        <v>1</v>
      </c>
      <c r="M1338">
        <f t="shared" si="385"/>
        <v>0</v>
      </c>
      <c r="N1338">
        <f t="shared" si="386"/>
        <v>0</v>
      </c>
      <c r="O1338" t="s">
        <v>38</v>
      </c>
      <c r="P1338">
        <f t="shared" si="387"/>
        <v>1</v>
      </c>
      <c r="Q1338">
        <f t="shared" si="388"/>
        <v>0</v>
      </c>
      <c r="R1338">
        <f t="shared" si="389"/>
        <v>0</v>
      </c>
      <c r="S1338">
        <f t="shared" si="390"/>
        <v>0</v>
      </c>
      <c r="T1338">
        <f t="shared" si="391"/>
        <v>0</v>
      </c>
      <c r="U1338">
        <f t="shared" si="392"/>
        <v>0</v>
      </c>
      <c r="V1338">
        <f t="shared" si="393"/>
        <v>0</v>
      </c>
      <c r="W1338" t="s">
        <v>58</v>
      </c>
      <c r="X1338">
        <f t="shared" si="394"/>
        <v>0</v>
      </c>
      <c r="Y1338">
        <f t="shared" si="395"/>
        <v>1</v>
      </c>
      <c r="Z1338">
        <v>5</v>
      </c>
      <c r="AA1338">
        <f t="shared" si="396"/>
        <v>1</v>
      </c>
      <c r="AB1338" t="s">
        <v>46</v>
      </c>
      <c r="AC1338">
        <f t="shared" si="397"/>
        <v>0</v>
      </c>
      <c r="AD1338">
        <f t="shared" si="398"/>
        <v>0</v>
      </c>
      <c r="AE1338" t="s">
        <v>41</v>
      </c>
      <c r="AF1338">
        <f>IF(AE1338="website",1,0)</f>
        <v>1</v>
      </c>
    </row>
    <row r="1339" spans="1:32">
      <c r="A1339" t="s">
        <v>1987</v>
      </c>
      <c r="B1339" t="s">
        <v>33</v>
      </c>
      <c r="C1339" s="3">
        <f t="shared" si="380"/>
        <v>0</v>
      </c>
      <c r="D1339">
        <f t="shared" si="381"/>
        <v>1</v>
      </c>
      <c r="E1339" t="s">
        <v>644</v>
      </c>
      <c r="F1339" t="s">
        <v>659</v>
      </c>
      <c r="G1339" s="1">
        <v>25173</v>
      </c>
      <c r="H1339" s="2">
        <f t="shared" ca="1" si="382"/>
        <v>57</v>
      </c>
      <c r="I1339" s="2">
        <f t="shared" ca="1" si="383"/>
        <v>0.45714285714285713</v>
      </c>
      <c r="J1339" t="s">
        <v>36</v>
      </c>
      <c r="K1339" t="s">
        <v>37</v>
      </c>
      <c r="L1339">
        <f t="shared" si="384"/>
        <v>1</v>
      </c>
      <c r="M1339">
        <f t="shared" si="385"/>
        <v>0</v>
      </c>
      <c r="N1339">
        <f t="shared" si="386"/>
        <v>0</v>
      </c>
      <c r="O1339" t="s">
        <v>38</v>
      </c>
      <c r="P1339">
        <f t="shared" si="387"/>
        <v>1</v>
      </c>
      <c r="Q1339">
        <f t="shared" si="388"/>
        <v>0</v>
      </c>
      <c r="R1339">
        <f t="shared" si="389"/>
        <v>0</v>
      </c>
      <c r="S1339">
        <f t="shared" si="390"/>
        <v>0</v>
      </c>
      <c r="T1339">
        <f t="shared" si="391"/>
        <v>0</v>
      </c>
      <c r="U1339">
        <f t="shared" si="392"/>
        <v>0</v>
      </c>
      <c r="V1339">
        <f t="shared" si="393"/>
        <v>0</v>
      </c>
      <c r="W1339" t="s">
        <v>39</v>
      </c>
      <c r="X1339">
        <f t="shared" si="394"/>
        <v>1</v>
      </c>
      <c r="Y1339">
        <f t="shared" si="395"/>
        <v>0</v>
      </c>
      <c r="Z1339">
        <v>2</v>
      </c>
      <c r="AA1339">
        <f t="shared" si="396"/>
        <v>0.25</v>
      </c>
      <c r="AB1339" t="s">
        <v>40</v>
      </c>
      <c r="AC1339">
        <f t="shared" si="397"/>
        <v>0</v>
      </c>
      <c r="AD1339">
        <f t="shared" si="398"/>
        <v>0</v>
      </c>
      <c r="AE1339" t="s">
        <v>41</v>
      </c>
      <c r="AF1339">
        <f>IF(AE1339="website",1,0)</f>
        <v>1</v>
      </c>
    </row>
    <row r="1340" spans="1:32">
      <c r="A1340" t="s">
        <v>1988</v>
      </c>
      <c r="B1340" t="s">
        <v>55</v>
      </c>
      <c r="C1340" s="3">
        <f t="shared" si="380"/>
        <v>1</v>
      </c>
      <c r="D1340">
        <f t="shared" si="381"/>
        <v>0</v>
      </c>
      <c r="E1340" t="s">
        <v>1422</v>
      </c>
      <c r="F1340" t="s">
        <v>57</v>
      </c>
      <c r="G1340" s="1">
        <v>22336</v>
      </c>
      <c r="H1340" s="2">
        <f t="shared" ca="1" si="382"/>
        <v>65</v>
      </c>
      <c r="I1340" s="2">
        <f t="shared" ca="1" si="383"/>
        <v>0.5714285714285714</v>
      </c>
      <c r="J1340" t="s">
        <v>45</v>
      </c>
      <c r="K1340" t="s">
        <v>37</v>
      </c>
      <c r="L1340">
        <f t="shared" si="384"/>
        <v>1</v>
      </c>
      <c r="M1340">
        <f t="shared" si="385"/>
        <v>0</v>
      </c>
      <c r="N1340">
        <f t="shared" si="386"/>
        <v>0</v>
      </c>
      <c r="O1340" t="s">
        <v>124</v>
      </c>
      <c r="P1340">
        <f t="shared" si="387"/>
        <v>0</v>
      </c>
      <c r="Q1340">
        <f t="shared" si="388"/>
        <v>0</v>
      </c>
      <c r="R1340">
        <f t="shared" si="389"/>
        <v>0</v>
      </c>
      <c r="S1340">
        <f t="shared" si="390"/>
        <v>0</v>
      </c>
      <c r="T1340">
        <f t="shared" si="391"/>
        <v>0</v>
      </c>
      <c r="U1340">
        <f t="shared" si="392"/>
        <v>1</v>
      </c>
      <c r="V1340">
        <f t="shared" si="393"/>
        <v>0</v>
      </c>
      <c r="W1340" t="s">
        <v>39</v>
      </c>
      <c r="X1340">
        <f t="shared" si="394"/>
        <v>1</v>
      </c>
      <c r="Y1340">
        <f t="shared" si="395"/>
        <v>0</v>
      </c>
      <c r="Z1340">
        <v>4</v>
      </c>
      <c r="AA1340">
        <f t="shared" si="396"/>
        <v>0.75</v>
      </c>
      <c r="AB1340" t="s">
        <v>40</v>
      </c>
      <c r="AC1340">
        <f t="shared" si="397"/>
        <v>0</v>
      </c>
      <c r="AD1340">
        <f t="shared" si="398"/>
        <v>0</v>
      </c>
      <c r="AE1340" t="s">
        <v>41</v>
      </c>
      <c r="AF1340">
        <f>IF(AE1340="website",1,0)</f>
        <v>1</v>
      </c>
    </row>
    <row r="1341" spans="1:32">
      <c r="A1341" t="s">
        <v>1989</v>
      </c>
      <c r="B1341" t="s">
        <v>55</v>
      </c>
      <c r="C1341" s="3">
        <f t="shared" si="380"/>
        <v>1</v>
      </c>
      <c r="D1341">
        <f t="shared" si="381"/>
        <v>0</v>
      </c>
      <c r="E1341" t="s">
        <v>706</v>
      </c>
      <c r="F1341" t="s">
        <v>57</v>
      </c>
      <c r="G1341" s="1">
        <v>32482</v>
      </c>
      <c r="H1341" s="2">
        <f t="shared" ca="1" si="382"/>
        <v>37</v>
      </c>
      <c r="I1341" s="2">
        <f t="shared" ca="1" si="383"/>
        <v>0.17142857142857143</v>
      </c>
      <c r="J1341" t="s">
        <v>45</v>
      </c>
      <c r="K1341" t="s">
        <v>37</v>
      </c>
      <c r="L1341">
        <f t="shared" si="384"/>
        <v>1</v>
      </c>
      <c r="M1341">
        <f t="shared" si="385"/>
        <v>0</v>
      </c>
      <c r="N1341">
        <f t="shared" si="386"/>
        <v>0</v>
      </c>
      <c r="O1341" t="s">
        <v>137</v>
      </c>
      <c r="P1341">
        <f t="shared" si="387"/>
        <v>0</v>
      </c>
      <c r="Q1341">
        <f t="shared" si="388"/>
        <v>0</v>
      </c>
      <c r="R1341">
        <f t="shared" si="389"/>
        <v>0</v>
      </c>
      <c r="S1341">
        <f t="shared" si="390"/>
        <v>0</v>
      </c>
      <c r="T1341">
        <f t="shared" si="391"/>
        <v>0</v>
      </c>
      <c r="U1341">
        <f t="shared" si="392"/>
        <v>0</v>
      </c>
      <c r="V1341">
        <f t="shared" si="393"/>
        <v>0</v>
      </c>
      <c r="W1341" t="s">
        <v>39</v>
      </c>
      <c r="X1341">
        <f t="shared" si="394"/>
        <v>1</v>
      </c>
      <c r="Y1341">
        <f t="shared" si="395"/>
        <v>0</v>
      </c>
      <c r="Z1341">
        <v>5</v>
      </c>
      <c r="AA1341">
        <f t="shared" si="396"/>
        <v>1</v>
      </c>
      <c r="AB1341" t="s">
        <v>46</v>
      </c>
      <c r="AC1341">
        <f t="shared" si="397"/>
        <v>0</v>
      </c>
      <c r="AD1341">
        <f t="shared" si="398"/>
        <v>0</v>
      </c>
      <c r="AE1341" t="s">
        <v>41</v>
      </c>
      <c r="AF1341">
        <f>IF(AE1341="website",1,0)</f>
        <v>1</v>
      </c>
    </row>
    <row r="1342" spans="1:32">
      <c r="A1342" t="s">
        <v>1990</v>
      </c>
      <c r="B1342" t="s">
        <v>33</v>
      </c>
      <c r="C1342" s="3">
        <f t="shared" si="380"/>
        <v>0</v>
      </c>
      <c r="D1342">
        <f t="shared" si="381"/>
        <v>1</v>
      </c>
      <c r="E1342" t="s">
        <v>564</v>
      </c>
      <c r="F1342" t="s">
        <v>856</v>
      </c>
      <c r="G1342" s="1">
        <v>19260</v>
      </c>
      <c r="H1342" s="2">
        <f t="shared" ca="1" si="382"/>
        <v>74</v>
      </c>
      <c r="I1342" s="2">
        <f t="shared" ca="1" si="383"/>
        <v>0.7</v>
      </c>
      <c r="J1342" t="s">
        <v>36</v>
      </c>
      <c r="K1342" t="s">
        <v>37</v>
      </c>
      <c r="L1342">
        <f t="shared" si="384"/>
        <v>1</v>
      </c>
      <c r="M1342">
        <f t="shared" si="385"/>
        <v>0</v>
      </c>
      <c r="N1342">
        <f t="shared" si="386"/>
        <v>0</v>
      </c>
      <c r="O1342" t="s">
        <v>137</v>
      </c>
      <c r="P1342">
        <f t="shared" si="387"/>
        <v>0</v>
      </c>
      <c r="Q1342">
        <f t="shared" si="388"/>
        <v>0</v>
      </c>
      <c r="R1342">
        <f t="shared" si="389"/>
        <v>0</v>
      </c>
      <c r="S1342">
        <f t="shared" si="390"/>
        <v>0</v>
      </c>
      <c r="T1342">
        <f t="shared" si="391"/>
        <v>0</v>
      </c>
      <c r="U1342">
        <f t="shared" si="392"/>
        <v>0</v>
      </c>
      <c r="V1342">
        <f t="shared" si="393"/>
        <v>0</v>
      </c>
      <c r="W1342" t="s">
        <v>39</v>
      </c>
      <c r="X1342">
        <f t="shared" si="394"/>
        <v>1</v>
      </c>
      <c r="Y1342">
        <f t="shared" si="395"/>
        <v>0</v>
      </c>
      <c r="Z1342">
        <v>5</v>
      </c>
      <c r="AA1342">
        <f t="shared" si="396"/>
        <v>1</v>
      </c>
      <c r="AB1342" t="s">
        <v>40</v>
      </c>
      <c r="AC1342">
        <f t="shared" si="397"/>
        <v>0</v>
      </c>
      <c r="AD1342">
        <f t="shared" si="398"/>
        <v>0</v>
      </c>
      <c r="AE1342" t="s">
        <v>41</v>
      </c>
      <c r="AF1342">
        <f>IF(AE1342="website",1,0)</f>
        <v>1</v>
      </c>
    </row>
    <row r="1343" spans="1:32">
      <c r="A1343" t="s">
        <v>1991</v>
      </c>
      <c r="B1343" t="s">
        <v>33</v>
      </c>
      <c r="C1343" s="3">
        <f t="shared" si="380"/>
        <v>0</v>
      </c>
      <c r="D1343">
        <f t="shared" si="381"/>
        <v>1</v>
      </c>
      <c r="E1343" t="s">
        <v>847</v>
      </c>
      <c r="F1343" t="s">
        <v>928</v>
      </c>
      <c r="G1343" s="1">
        <v>23428</v>
      </c>
      <c r="H1343" s="2">
        <f t="shared" ca="1" si="382"/>
        <v>62</v>
      </c>
      <c r="I1343" s="2">
        <f t="shared" ca="1" si="383"/>
        <v>0.52857142857142858</v>
      </c>
      <c r="J1343" t="s">
        <v>36</v>
      </c>
      <c r="K1343" t="s">
        <v>37</v>
      </c>
      <c r="L1343">
        <f t="shared" si="384"/>
        <v>1</v>
      </c>
      <c r="M1343">
        <f t="shared" si="385"/>
        <v>0</v>
      </c>
      <c r="N1343">
        <f t="shared" si="386"/>
        <v>0</v>
      </c>
      <c r="O1343" t="s">
        <v>38</v>
      </c>
      <c r="P1343">
        <f t="shared" si="387"/>
        <v>1</v>
      </c>
      <c r="Q1343">
        <f t="shared" si="388"/>
        <v>0</v>
      </c>
      <c r="R1343">
        <f t="shared" si="389"/>
        <v>0</v>
      </c>
      <c r="S1343">
        <f t="shared" si="390"/>
        <v>0</v>
      </c>
      <c r="T1343">
        <f t="shared" si="391"/>
        <v>0</v>
      </c>
      <c r="U1343">
        <f t="shared" si="392"/>
        <v>0</v>
      </c>
      <c r="V1343">
        <f t="shared" si="393"/>
        <v>0</v>
      </c>
      <c r="W1343" t="s">
        <v>39</v>
      </c>
      <c r="X1343">
        <f t="shared" si="394"/>
        <v>1</v>
      </c>
      <c r="Y1343">
        <f t="shared" si="395"/>
        <v>0</v>
      </c>
      <c r="Z1343">
        <v>1</v>
      </c>
      <c r="AA1343">
        <f t="shared" si="396"/>
        <v>0</v>
      </c>
      <c r="AB1343" t="s">
        <v>40</v>
      </c>
      <c r="AC1343">
        <f t="shared" si="397"/>
        <v>1</v>
      </c>
      <c r="AD1343">
        <f t="shared" si="398"/>
        <v>0</v>
      </c>
      <c r="AE1343" t="s">
        <v>50</v>
      </c>
      <c r="AF1343">
        <f>IF(AE1343="website",1,0)</f>
        <v>0</v>
      </c>
    </row>
    <row r="1344" spans="1:32">
      <c r="A1344" t="s">
        <v>1992</v>
      </c>
      <c r="B1344" t="s">
        <v>33</v>
      </c>
      <c r="C1344" s="3">
        <f t="shared" si="380"/>
        <v>0</v>
      </c>
      <c r="D1344">
        <f t="shared" si="381"/>
        <v>1</v>
      </c>
      <c r="E1344" t="s">
        <v>712</v>
      </c>
      <c r="F1344" t="s">
        <v>430</v>
      </c>
      <c r="G1344" s="1">
        <v>34771</v>
      </c>
      <c r="H1344" s="2">
        <f t="shared" ca="1" si="382"/>
        <v>31</v>
      </c>
      <c r="I1344" s="2">
        <f t="shared" ca="1" si="383"/>
        <v>8.5714285714285715E-2</v>
      </c>
      <c r="J1344" t="s">
        <v>36</v>
      </c>
      <c r="K1344" t="s">
        <v>65</v>
      </c>
      <c r="L1344">
        <f t="shared" si="384"/>
        <v>0</v>
      </c>
      <c r="M1344">
        <f t="shared" si="385"/>
        <v>1</v>
      </c>
      <c r="N1344">
        <f t="shared" si="386"/>
        <v>0</v>
      </c>
      <c r="O1344" t="s">
        <v>686</v>
      </c>
      <c r="P1344">
        <f t="shared" si="387"/>
        <v>0</v>
      </c>
      <c r="Q1344">
        <f t="shared" si="388"/>
        <v>0</v>
      </c>
      <c r="R1344">
        <f t="shared" si="389"/>
        <v>0</v>
      </c>
      <c r="S1344">
        <f t="shared" si="390"/>
        <v>0</v>
      </c>
      <c r="T1344">
        <f t="shared" si="391"/>
        <v>0</v>
      </c>
      <c r="U1344">
        <f t="shared" si="392"/>
        <v>0</v>
      </c>
      <c r="V1344">
        <f t="shared" si="393"/>
        <v>0</v>
      </c>
      <c r="W1344" t="s">
        <v>39</v>
      </c>
      <c r="X1344">
        <f t="shared" si="394"/>
        <v>1</v>
      </c>
      <c r="Y1344">
        <f t="shared" si="395"/>
        <v>0</v>
      </c>
      <c r="Z1344">
        <v>5</v>
      </c>
      <c r="AA1344">
        <f t="shared" si="396"/>
        <v>1</v>
      </c>
      <c r="AB1344" t="s">
        <v>46</v>
      </c>
      <c r="AC1344">
        <f t="shared" si="397"/>
        <v>1</v>
      </c>
      <c r="AD1344">
        <f t="shared" si="398"/>
        <v>0</v>
      </c>
      <c r="AE1344" t="s">
        <v>50</v>
      </c>
      <c r="AF1344">
        <f>IF(AE1344="website",1,0)</f>
        <v>0</v>
      </c>
    </row>
    <row r="1345" spans="1:32">
      <c r="A1345" t="s">
        <v>1993</v>
      </c>
      <c r="B1345" t="s">
        <v>33</v>
      </c>
      <c r="C1345" s="3">
        <f t="shared" si="380"/>
        <v>0</v>
      </c>
      <c r="D1345">
        <f t="shared" si="381"/>
        <v>1</v>
      </c>
      <c r="E1345" t="s">
        <v>744</v>
      </c>
      <c r="F1345" t="s">
        <v>685</v>
      </c>
      <c r="G1345" s="1">
        <v>27173</v>
      </c>
      <c r="H1345" s="2">
        <f t="shared" ca="1" si="382"/>
        <v>52</v>
      </c>
      <c r="I1345" s="2">
        <f t="shared" ca="1" si="383"/>
        <v>0.38571428571428573</v>
      </c>
      <c r="J1345" t="s">
        <v>45</v>
      </c>
      <c r="K1345" t="s">
        <v>37</v>
      </c>
      <c r="L1345">
        <f t="shared" si="384"/>
        <v>1</v>
      </c>
      <c r="M1345">
        <f t="shared" si="385"/>
        <v>0</v>
      </c>
      <c r="N1345">
        <f t="shared" si="386"/>
        <v>0</v>
      </c>
      <c r="O1345" t="s">
        <v>600</v>
      </c>
      <c r="P1345">
        <f t="shared" si="387"/>
        <v>0</v>
      </c>
      <c r="Q1345">
        <f t="shared" si="388"/>
        <v>0</v>
      </c>
      <c r="R1345">
        <f t="shared" si="389"/>
        <v>0</v>
      </c>
      <c r="S1345">
        <f t="shared" si="390"/>
        <v>0</v>
      </c>
      <c r="T1345">
        <f t="shared" si="391"/>
        <v>0</v>
      </c>
      <c r="U1345">
        <f t="shared" si="392"/>
        <v>0</v>
      </c>
      <c r="V1345">
        <f t="shared" si="393"/>
        <v>0</v>
      </c>
      <c r="W1345" t="s">
        <v>39</v>
      </c>
      <c r="X1345">
        <f t="shared" si="394"/>
        <v>1</v>
      </c>
      <c r="Y1345">
        <f t="shared" si="395"/>
        <v>0</v>
      </c>
      <c r="Z1345">
        <v>1</v>
      </c>
      <c r="AA1345">
        <f t="shared" si="396"/>
        <v>0</v>
      </c>
      <c r="AB1345" t="s">
        <v>46</v>
      </c>
      <c r="AC1345">
        <f t="shared" si="397"/>
        <v>1</v>
      </c>
      <c r="AD1345">
        <f t="shared" si="398"/>
        <v>0</v>
      </c>
      <c r="AE1345" t="s">
        <v>50</v>
      </c>
      <c r="AF1345">
        <f>IF(AE1345="website",1,0)</f>
        <v>0</v>
      </c>
    </row>
    <row r="1346" spans="1:32">
      <c r="A1346" t="s">
        <v>1994</v>
      </c>
      <c r="B1346" t="s">
        <v>33</v>
      </c>
      <c r="C1346" s="3">
        <f t="shared" ref="C1346:C1409" si="399">IF(B1346="company",1,0)</f>
        <v>0</v>
      </c>
      <c r="D1346">
        <f t="shared" ref="D1346:D1409" si="400">IF(B1346="individual",1,0)</f>
        <v>1</v>
      </c>
      <c r="E1346" t="s">
        <v>548</v>
      </c>
      <c r="F1346" t="s">
        <v>538</v>
      </c>
      <c r="G1346" s="1">
        <v>20570</v>
      </c>
      <c r="H1346" s="2">
        <f t="shared" ref="H1346:H1409" ca="1" si="401">DATEDIF(G1346,TODAY(),"Y")</f>
        <v>70</v>
      </c>
      <c r="I1346" s="2">
        <f t="shared" ref="I1346:I1409" ca="1" si="402">(H1346-MIN(H:H))/(MAX(H:H)-MIN(H:H))</f>
        <v>0.6428571428571429</v>
      </c>
      <c r="J1346" t="s">
        <v>36</v>
      </c>
      <c r="K1346" t="s">
        <v>37</v>
      </c>
      <c r="L1346">
        <f t="shared" ref="L1346:L1409" si="403">IF(K1346="usa",1,0)</f>
        <v>1</v>
      </c>
      <c r="M1346">
        <f t="shared" ref="M1346:M1409" si="404">IF(K1346="canada",1,0)</f>
        <v>0</v>
      </c>
      <c r="N1346">
        <f t="shared" ref="N1346:N1409" si="405">IF(K1346="germany",1,0)</f>
        <v>0</v>
      </c>
      <c r="O1346" t="s">
        <v>592</v>
      </c>
      <c r="P1346">
        <f t="shared" ref="P1346:P1409" si="406">IF(O1346="california",1,0)</f>
        <v>0</v>
      </c>
      <c r="Q1346">
        <f t="shared" ref="Q1346:Q1409" si="407">IF(O1346="oregon",1,0)</f>
        <v>0</v>
      </c>
      <c r="R1346">
        <f t="shared" ref="R1346:R1409" si="408">IF(O1346="quebec",1,0)</f>
        <v>0</v>
      </c>
      <c r="S1346">
        <f t="shared" ref="S1346:S1409" si="409">IF(O1346="berlin",1,0)</f>
        <v>0</v>
      </c>
      <c r="T1346">
        <f t="shared" ref="T1346:T1409" si="410">IF(O1346="arizona",1,0)</f>
        <v>0</v>
      </c>
      <c r="U1346">
        <f t="shared" ref="U1346:U1409" si="411">IF(O1346="nevada",1,0)</f>
        <v>0</v>
      </c>
      <c r="V1346">
        <f t="shared" ref="V1346:V1409" si="412">IF(O1346="colardo",1,0)</f>
        <v>0</v>
      </c>
      <c r="W1346" t="s">
        <v>39</v>
      </c>
      <c r="X1346">
        <f t="shared" ref="X1346:X1409" si="413">IF(W1346="home",1,0)</f>
        <v>1</v>
      </c>
      <c r="Y1346">
        <f t="shared" ref="Y1346:Y1409" si="414">IF(W1346="investment",1,0)</f>
        <v>0</v>
      </c>
      <c r="Z1346">
        <v>5</v>
      </c>
      <c r="AA1346">
        <f t="shared" ref="AA1346:AA1409" si="415">(Z1346-1)/4</f>
        <v>1</v>
      </c>
      <c r="AB1346" t="s">
        <v>46</v>
      </c>
      <c r="AC1346">
        <f t="shared" ref="AC1346:AC1409" si="416">IF(AE1346="agency",1,0)</f>
        <v>0</v>
      </c>
      <c r="AD1346">
        <f t="shared" ref="AD1346:AD1409" si="417">IF(AE1346="client",1,0)</f>
        <v>0</v>
      </c>
      <c r="AE1346" t="s">
        <v>41</v>
      </c>
      <c r="AF1346">
        <f>IF(AE1346="website",1,0)</f>
        <v>1</v>
      </c>
    </row>
    <row r="1347" spans="1:32">
      <c r="A1347" t="s">
        <v>1995</v>
      </c>
      <c r="B1347" t="s">
        <v>55</v>
      </c>
      <c r="C1347" s="3">
        <f t="shared" si="399"/>
        <v>1</v>
      </c>
      <c r="D1347">
        <f t="shared" si="400"/>
        <v>0</v>
      </c>
      <c r="E1347" t="s">
        <v>1905</v>
      </c>
      <c r="F1347" t="s">
        <v>57</v>
      </c>
      <c r="G1347" s="1">
        <v>31854</v>
      </c>
      <c r="H1347" s="2">
        <f t="shared" ca="1" si="401"/>
        <v>39</v>
      </c>
      <c r="I1347" s="2">
        <f t="shared" ca="1" si="402"/>
        <v>0.2</v>
      </c>
      <c r="J1347" t="s">
        <v>36</v>
      </c>
      <c r="K1347" t="s">
        <v>37</v>
      </c>
      <c r="L1347">
        <f t="shared" si="403"/>
        <v>1</v>
      </c>
      <c r="M1347">
        <f t="shared" si="404"/>
        <v>0</v>
      </c>
      <c r="N1347">
        <f t="shared" si="405"/>
        <v>0</v>
      </c>
      <c r="O1347" t="s">
        <v>137</v>
      </c>
      <c r="P1347">
        <f t="shared" si="406"/>
        <v>0</v>
      </c>
      <c r="Q1347">
        <f t="shared" si="407"/>
        <v>0</v>
      </c>
      <c r="R1347">
        <f t="shared" si="408"/>
        <v>0</v>
      </c>
      <c r="S1347">
        <f t="shared" si="409"/>
        <v>0</v>
      </c>
      <c r="T1347">
        <f t="shared" si="410"/>
        <v>0</v>
      </c>
      <c r="U1347">
        <f t="shared" si="411"/>
        <v>0</v>
      </c>
      <c r="V1347">
        <f t="shared" si="412"/>
        <v>0</v>
      </c>
      <c r="W1347" t="s">
        <v>58</v>
      </c>
      <c r="X1347">
        <f t="shared" si="413"/>
        <v>0</v>
      </c>
      <c r="Y1347">
        <f t="shared" si="414"/>
        <v>1</v>
      </c>
      <c r="Z1347">
        <v>4</v>
      </c>
      <c r="AA1347">
        <f t="shared" si="415"/>
        <v>0.75</v>
      </c>
      <c r="AB1347" t="s">
        <v>46</v>
      </c>
      <c r="AC1347">
        <f t="shared" si="416"/>
        <v>1</v>
      </c>
      <c r="AD1347">
        <f t="shared" si="417"/>
        <v>0</v>
      </c>
      <c r="AE1347" t="s">
        <v>50</v>
      </c>
      <c r="AF1347">
        <f>IF(AE1347="website",1,0)</f>
        <v>0</v>
      </c>
    </row>
    <row r="1348" spans="1:32">
      <c r="A1348" t="s">
        <v>1996</v>
      </c>
      <c r="B1348" t="s">
        <v>33</v>
      </c>
      <c r="C1348" s="3">
        <f t="shared" si="399"/>
        <v>0</v>
      </c>
      <c r="D1348">
        <f t="shared" si="400"/>
        <v>1</v>
      </c>
      <c r="E1348" t="s">
        <v>658</v>
      </c>
      <c r="F1348" t="s">
        <v>659</v>
      </c>
      <c r="G1348" s="1">
        <v>20498</v>
      </c>
      <c r="H1348" s="2">
        <f t="shared" ca="1" si="401"/>
        <v>70</v>
      </c>
      <c r="I1348" s="2">
        <f t="shared" ca="1" si="402"/>
        <v>0.6428571428571429</v>
      </c>
      <c r="J1348" t="s">
        <v>45</v>
      </c>
      <c r="K1348" t="s">
        <v>37</v>
      </c>
      <c r="L1348">
        <f t="shared" si="403"/>
        <v>1</v>
      </c>
      <c r="M1348">
        <f t="shared" si="404"/>
        <v>0</v>
      </c>
      <c r="N1348">
        <f t="shared" si="405"/>
        <v>0</v>
      </c>
      <c r="O1348" t="s">
        <v>565</v>
      </c>
      <c r="P1348">
        <f t="shared" si="406"/>
        <v>0</v>
      </c>
      <c r="Q1348">
        <f t="shared" si="407"/>
        <v>0</v>
      </c>
      <c r="R1348">
        <f t="shared" si="408"/>
        <v>0</v>
      </c>
      <c r="S1348">
        <f t="shared" si="409"/>
        <v>0</v>
      </c>
      <c r="T1348">
        <f t="shared" si="410"/>
        <v>0</v>
      </c>
      <c r="U1348">
        <f t="shared" si="411"/>
        <v>0</v>
      </c>
      <c r="V1348">
        <f t="shared" si="412"/>
        <v>0</v>
      </c>
      <c r="W1348" t="s">
        <v>39</v>
      </c>
      <c r="X1348">
        <f t="shared" si="413"/>
        <v>1</v>
      </c>
      <c r="Y1348">
        <f t="shared" si="414"/>
        <v>0</v>
      </c>
      <c r="Z1348">
        <v>2</v>
      </c>
      <c r="AA1348">
        <f t="shared" si="415"/>
        <v>0.25</v>
      </c>
      <c r="AB1348" t="s">
        <v>46</v>
      </c>
      <c r="AC1348">
        <f t="shared" si="416"/>
        <v>0</v>
      </c>
      <c r="AD1348">
        <f t="shared" si="417"/>
        <v>1</v>
      </c>
      <c r="AE1348" t="s">
        <v>90</v>
      </c>
      <c r="AF1348">
        <f>IF(AE1348="website",1,0)</f>
        <v>0</v>
      </c>
    </row>
    <row r="1349" spans="1:32">
      <c r="A1349" t="s">
        <v>1997</v>
      </c>
      <c r="B1349" t="s">
        <v>33</v>
      </c>
      <c r="C1349" s="3">
        <f t="shared" si="399"/>
        <v>0</v>
      </c>
      <c r="D1349">
        <f t="shared" si="400"/>
        <v>1</v>
      </c>
      <c r="E1349" t="s">
        <v>598</v>
      </c>
      <c r="F1349" t="s">
        <v>573</v>
      </c>
      <c r="G1349" s="1">
        <v>35992</v>
      </c>
      <c r="H1349" s="2">
        <f t="shared" ca="1" si="401"/>
        <v>28</v>
      </c>
      <c r="I1349" s="2">
        <f t="shared" ca="1" si="402"/>
        <v>4.2857142857142858E-2</v>
      </c>
      <c r="J1349" t="s">
        <v>45</v>
      </c>
      <c r="K1349" t="s">
        <v>37</v>
      </c>
      <c r="L1349">
        <f t="shared" si="403"/>
        <v>1</v>
      </c>
      <c r="M1349">
        <f t="shared" si="404"/>
        <v>0</v>
      </c>
      <c r="N1349">
        <f t="shared" si="405"/>
        <v>0</v>
      </c>
      <c r="O1349" t="s">
        <v>76</v>
      </c>
      <c r="P1349">
        <f t="shared" si="406"/>
        <v>0</v>
      </c>
      <c r="Q1349">
        <f t="shared" si="407"/>
        <v>1</v>
      </c>
      <c r="R1349">
        <f t="shared" si="408"/>
        <v>0</v>
      </c>
      <c r="S1349">
        <f t="shared" si="409"/>
        <v>0</v>
      </c>
      <c r="T1349">
        <f t="shared" si="410"/>
        <v>0</v>
      </c>
      <c r="U1349">
        <f t="shared" si="411"/>
        <v>0</v>
      </c>
      <c r="V1349">
        <f t="shared" si="412"/>
        <v>0</v>
      </c>
      <c r="W1349" t="s">
        <v>39</v>
      </c>
      <c r="X1349">
        <f t="shared" si="413"/>
        <v>1</v>
      </c>
      <c r="Y1349">
        <f t="shared" si="414"/>
        <v>0</v>
      </c>
      <c r="Z1349">
        <v>4</v>
      </c>
      <c r="AA1349">
        <f t="shared" si="415"/>
        <v>0.75</v>
      </c>
      <c r="AB1349" t="s">
        <v>40</v>
      </c>
      <c r="AC1349">
        <f t="shared" si="416"/>
        <v>0</v>
      </c>
      <c r="AD1349">
        <f t="shared" si="417"/>
        <v>1</v>
      </c>
      <c r="AE1349" t="s">
        <v>90</v>
      </c>
      <c r="AF1349">
        <f>IF(AE1349="website",1,0)</f>
        <v>0</v>
      </c>
    </row>
    <row r="1350" spans="1:32">
      <c r="A1350" t="s">
        <v>1998</v>
      </c>
      <c r="B1350" t="s">
        <v>33</v>
      </c>
      <c r="C1350" s="3">
        <f t="shared" si="399"/>
        <v>0</v>
      </c>
      <c r="D1350">
        <f t="shared" si="400"/>
        <v>1</v>
      </c>
      <c r="E1350" t="s">
        <v>647</v>
      </c>
      <c r="F1350" t="s">
        <v>616</v>
      </c>
      <c r="G1350" s="1">
        <v>29996</v>
      </c>
      <c r="H1350" s="2">
        <f t="shared" ca="1" si="401"/>
        <v>44</v>
      </c>
      <c r="I1350" s="2">
        <f t="shared" ca="1" si="402"/>
        <v>0.27142857142857141</v>
      </c>
      <c r="J1350" t="s">
        <v>36</v>
      </c>
      <c r="K1350" t="s">
        <v>37</v>
      </c>
      <c r="L1350">
        <f t="shared" si="403"/>
        <v>1</v>
      </c>
      <c r="M1350">
        <f t="shared" si="404"/>
        <v>0</v>
      </c>
      <c r="N1350">
        <f t="shared" si="405"/>
        <v>0</v>
      </c>
      <c r="O1350" t="s">
        <v>305</v>
      </c>
      <c r="P1350">
        <f t="shared" si="406"/>
        <v>0</v>
      </c>
      <c r="Q1350">
        <f t="shared" si="407"/>
        <v>0</v>
      </c>
      <c r="R1350">
        <f t="shared" si="408"/>
        <v>0</v>
      </c>
      <c r="S1350">
        <f t="shared" si="409"/>
        <v>0</v>
      </c>
      <c r="T1350">
        <f t="shared" si="410"/>
        <v>0</v>
      </c>
      <c r="U1350">
        <f t="shared" si="411"/>
        <v>0</v>
      </c>
      <c r="V1350">
        <f t="shared" si="412"/>
        <v>0</v>
      </c>
      <c r="W1350" t="s">
        <v>58</v>
      </c>
      <c r="X1350">
        <f t="shared" si="413"/>
        <v>0</v>
      </c>
      <c r="Y1350">
        <f t="shared" si="414"/>
        <v>1</v>
      </c>
      <c r="Z1350">
        <v>3</v>
      </c>
      <c r="AA1350">
        <f t="shared" si="415"/>
        <v>0.5</v>
      </c>
      <c r="AB1350" t="s">
        <v>46</v>
      </c>
      <c r="AC1350">
        <f t="shared" si="416"/>
        <v>0</v>
      </c>
      <c r="AD1350">
        <f t="shared" si="417"/>
        <v>0</v>
      </c>
      <c r="AE1350" t="s">
        <v>41</v>
      </c>
      <c r="AF1350">
        <f>IF(AE1350="website",1,0)</f>
        <v>1</v>
      </c>
    </row>
    <row r="1351" spans="1:32">
      <c r="A1351" t="s">
        <v>1999</v>
      </c>
      <c r="B1351" t="s">
        <v>33</v>
      </c>
      <c r="C1351" s="3">
        <f t="shared" si="399"/>
        <v>0</v>
      </c>
      <c r="D1351">
        <f t="shared" si="400"/>
        <v>1</v>
      </c>
      <c r="E1351" t="s">
        <v>699</v>
      </c>
      <c r="F1351" t="s">
        <v>904</v>
      </c>
      <c r="G1351" s="1">
        <v>33375</v>
      </c>
      <c r="H1351" s="2">
        <f t="shared" ca="1" si="401"/>
        <v>35</v>
      </c>
      <c r="I1351" s="2">
        <f t="shared" ca="1" si="402"/>
        <v>0.14285714285714285</v>
      </c>
      <c r="J1351" t="s">
        <v>36</v>
      </c>
      <c r="K1351" t="s">
        <v>113</v>
      </c>
      <c r="L1351">
        <f t="shared" si="403"/>
        <v>0</v>
      </c>
      <c r="M1351">
        <f t="shared" si="404"/>
        <v>0</v>
      </c>
      <c r="N1351">
        <f t="shared" si="405"/>
        <v>1</v>
      </c>
      <c r="O1351" t="s">
        <v>675</v>
      </c>
      <c r="P1351">
        <f t="shared" si="406"/>
        <v>0</v>
      </c>
      <c r="Q1351">
        <f t="shared" si="407"/>
        <v>0</v>
      </c>
      <c r="R1351">
        <f t="shared" si="408"/>
        <v>0</v>
      </c>
      <c r="S1351">
        <f t="shared" si="409"/>
        <v>0</v>
      </c>
      <c r="T1351">
        <f t="shared" si="410"/>
        <v>0</v>
      </c>
      <c r="U1351">
        <f t="shared" si="411"/>
        <v>0</v>
      </c>
      <c r="V1351">
        <f t="shared" si="412"/>
        <v>0</v>
      </c>
      <c r="W1351" t="s">
        <v>39</v>
      </c>
      <c r="X1351">
        <f t="shared" si="413"/>
        <v>1</v>
      </c>
      <c r="Y1351">
        <f t="shared" si="414"/>
        <v>0</v>
      </c>
      <c r="Z1351">
        <v>5</v>
      </c>
      <c r="AA1351">
        <f t="shared" si="415"/>
        <v>1</v>
      </c>
      <c r="AB1351" t="s">
        <v>46</v>
      </c>
      <c r="AC1351">
        <f t="shared" si="416"/>
        <v>0</v>
      </c>
      <c r="AD1351">
        <f t="shared" si="417"/>
        <v>0</v>
      </c>
      <c r="AE1351" t="s">
        <v>41</v>
      </c>
      <c r="AF1351">
        <f>IF(AE1351="website",1,0)</f>
        <v>1</v>
      </c>
    </row>
    <row r="1352" spans="1:32">
      <c r="A1352" t="s">
        <v>2000</v>
      </c>
      <c r="B1352" t="s">
        <v>33</v>
      </c>
      <c r="C1352" s="3">
        <f t="shared" si="399"/>
        <v>0</v>
      </c>
      <c r="D1352">
        <f t="shared" si="400"/>
        <v>1</v>
      </c>
      <c r="E1352" t="s">
        <v>921</v>
      </c>
      <c r="F1352" t="s">
        <v>738</v>
      </c>
      <c r="G1352" s="1">
        <v>31952</v>
      </c>
      <c r="H1352" s="2">
        <f t="shared" ca="1" si="401"/>
        <v>39</v>
      </c>
      <c r="I1352" s="2">
        <f t="shared" ca="1" si="402"/>
        <v>0.2</v>
      </c>
      <c r="J1352" t="s">
        <v>36</v>
      </c>
      <c r="K1352" t="s">
        <v>819</v>
      </c>
      <c r="L1352">
        <f t="shared" si="403"/>
        <v>0</v>
      </c>
      <c r="M1352">
        <f t="shared" si="404"/>
        <v>0</v>
      </c>
      <c r="N1352">
        <f t="shared" si="405"/>
        <v>0</v>
      </c>
      <c r="O1352" t="s">
        <v>1177</v>
      </c>
      <c r="P1352">
        <f t="shared" si="406"/>
        <v>0</v>
      </c>
      <c r="Q1352">
        <f t="shared" si="407"/>
        <v>0</v>
      </c>
      <c r="R1352">
        <f t="shared" si="408"/>
        <v>0</v>
      </c>
      <c r="S1352">
        <f t="shared" si="409"/>
        <v>0</v>
      </c>
      <c r="T1352">
        <f t="shared" si="410"/>
        <v>0</v>
      </c>
      <c r="U1352">
        <f t="shared" si="411"/>
        <v>0</v>
      </c>
      <c r="V1352">
        <f t="shared" si="412"/>
        <v>0</v>
      </c>
      <c r="W1352" t="s">
        <v>39</v>
      </c>
      <c r="X1352">
        <f t="shared" si="413"/>
        <v>1</v>
      </c>
      <c r="Y1352">
        <f t="shared" si="414"/>
        <v>0</v>
      </c>
      <c r="Z1352">
        <v>2</v>
      </c>
      <c r="AA1352">
        <f t="shared" si="415"/>
        <v>0.25</v>
      </c>
      <c r="AB1352" t="s">
        <v>46</v>
      </c>
      <c r="AC1352">
        <f t="shared" si="416"/>
        <v>0</v>
      </c>
      <c r="AD1352">
        <f t="shared" si="417"/>
        <v>1</v>
      </c>
      <c r="AE1352" t="s">
        <v>90</v>
      </c>
      <c r="AF1352">
        <f>IF(AE1352="website",1,0)</f>
        <v>0</v>
      </c>
    </row>
    <row r="1353" spans="1:32">
      <c r="A1353" t="s">
        <v>2001</v>
      </c>
      <c r="B1353" t="s">
        <v>33</v>
      </c>
      <c r="C1353" s="3">
        <f t="shared" si="399"/>
        <v>0</v>
      </c>
      <c r="D1353">
        <f t="shared" si="400"/>
        <v>1</v>
      </c>
      <c r="E1353" t="s">
        <v>1140</v>
      </c>
      <c r="F1353" t="s">
        <v>656</v>
      </c>
      <c r="G1353" s="1">
        <v>32583</v>
      </c>
      <c r="H1353" s="2">
        <f t="shared" ca="1" si="401"/>
        <v>37</v>
      </c>
      <c r="I1353" s="2">
        <f t="shared" ca="1" si="402"/>
        <v>0.17142857142857143</v>
      </c>
      <c r="J1353" t="s">
        <v>45</v>
      </c>
      <c r="K1353" t="s">
        <v>37</v>
      </c>
      <c r="L1353">
        <f t="shared" si="403"/>
        <v>1</v>
      </c>
      <c r="M1353">
        <f t="shared" si="404"/>
        <v>0</v>
      </c>
      <c r="N1353">
        <f t="shared" si="405"/>
        <v>0</v>
      </c>
      <c r="O1353" t="s">
        <v>38</v>
      </c>
      <c r="P1353">
        <f t="shared" si="406"/>
        <v>1</v>
      </c>
      <c r="Q1353">
        <f t="shared" si="407"/>
        <v>0</v>
      </c>
      <c r="R1353">
        <f t="shared" si="408"/>
        <v>0</v>
      </c>
      <c r="S1353">
        <f t="shared" si="409"/>
        <v>0</v>
      </c>
      <c r="T1353">
        <f t="shared" si="410"/>
        <v>0</v>
      </c>
      <c r="U1353">
        <f t="shared" si="411"/>
        <v>0</v>
      </c>
      <c r="V1353">
        <f t="shared" si="412"/>
        <v>0</v>
      </c>
      <c r="W1353" t="s">
        <v>39</v>
      </c>
      <c r="X1353">
        <f t="shared" si="413"/>
        <v>1</v>
      </c>
      <c r="Y1353">
        <f t="shared" si="414"/>
        <v>0</v>
      </c>
      <c r="Z1353">
        <v>2</v>
      </c>
      <c r="AA1353">
        <f t="shared" si="415"/>
        <v>0.25</v>
      </c>
      <c r="AB1353" t="s">
        <v>40</v>
      </c>
      <c r="AC1353">
        <f t="shared" si="416"/>
        <v>1</v>
      </c>
      <c r="AD1353">
        <f t="shared" si="417"/>
        <v>0</v>
      </c>
      <c r="AE1353" t="s">
        <v>50</v>
      </c>
      <c r="AF1353">
        <f>IF(AE1353="website",1,0)</f>
        <v>0</v>
      </c>
    </row>
    <row r="1354" spans="1:32">
      <c r="A1354" t="s">
        <v>2002</v>
      </c>
      <c r="B1354" t="s">
        <v>33</v>
      </c>
      <c r="C1354" s="3">
        <f t="shared" si="399"/>
        <v>0</v>
      </c>
      <c r="D1354">
        <f t="shared" si="400"/>
        <v>1</v>
      </c>
      <c r="E1354" t="s">
        <v>1010</v>
      </c>
      <c r="F1354" t="s">
        <v>911</v>
      </c>
      <c r="G1354" s="1">
        <v>35718</v>
      </c>
      <c r="H1354" s="2">
        <f t="shared" ca="1" si="401"/>
        <v>28</v>
      </c>
      <c r="I1354" s="2">
        <f t="shared" ca="1" si="402"/>
        <v>4.2857142857142858E-2</v>
      </c>
      <c r="J1354" t="s">
        <v>36</v>
      </c>
      <c r="K1354" t="s">
        <v>65</v>
      </c>
      <c r="L1354">
        <f t="shared" si="403"/>
        <v>0</v>
      </c>
      <c r="M1354">
        <f t="shared" si="404"/>
        <v>1</v>
      </c>
      <c r="N1354">
        <f t="shared" si="405"/>
        <v>0</v>
      </c>
      <c r="O1354" t="s">
        <v>843</v>
      </c>
      <c r="P1354">
        <f t="shared" si="406"/>
        <v>0</v>
      </c>
      <c r="Q1354">
        <f t="shared" si="407"/>
        <v>0</v>
      </c>
      <c r="R1354">
        <f t="shared" si="408"/>
        <v>0</v>
      </c>
      <c r="S1354">
        <f t="shared" si="409"/>
        <v>0</v>
      </c>
      <c r="T1354">
        <f t="shared" si="410"/>
        <v>0</v>
      </c>
      <c r="U1354">
        <f t="shared" si="411"/>
        <v>0</v>
      </c>
      <c r="V1354">
        <f t="shared" si="412"/>
        <v>0</v>
      </c>
      <c r="W1354" t="s">
        <v>39</v>
      </c>
      <c r="X1354">
        <f t="shared" si="413"/>
        <v>1</v>
      </c>
      <c r="Y1354">
        <f t="shared" si="414"/>
        <v>0</v>
      </c>
      <c r="Z1354">
        <v>1</v>
      </c>
      <c r="AA1354">
        <f t="shared" si="415"/>
        <v>0</v>
      </c>
      <c r="AB1354" t="s">
        <v>46</v>
      </c>
      <c r="AC1354">
        <f t="shared" si="416"/>
        <v>1</v>
      </c>
      <c r="AD1354">
        <f t="shared" si="417"/>
        <v>0</v>
      </c>
      <c r="AE1354" t="s">
        <v>50</v>
      </c>
      <c r="AF1354">
        <f>IF(AE1354="website",1,0)</f>
        <v>0</v>
      </c>
    </row>
    <row r="1355" spans="1:32">
      <c r="A1355" t="s">
        <v>2003</v>
      </c>
      <c r="B1355" t="s">
        <v>33</v>
      </c>
      <c r="C1355" s="3">
        <f t="shared" si="399"/>
        <v>0</v>
      </c>
      <c r="D1355">
        <f t="shared" si="400"/>
        <v>1</v>
      </c>
      <c r="E1355" t="s">
        <v>152</v>
      </c>
      <c r="F1355" t="s">
        <v>616</v>
      </c>
      <c r="G1355" s="1">
        <v>15075</v>
      </c>
      <c r="H1355" s="2">
        <f t="shared" ca="1" si="401"/>
        <v>85</v>
      </c>
      <c r="I1355" s="2">
        <f t="shared" ca="1" si="402"/>
        <v>0.8571428571428571</v>
      </c>
      <c r="J1355" t="s">
        <v>45</v>
      </c>
      <c r="K1355" t="s">
        <v>37</v>
      </c>
      <c r="L1355">
        <f t="shared" si="403"/>
        <v>1</v>
      </c>
      <c r="M1355">
        <f t="shared" si="404"/>
        <v>0</v>
      </c>
      <c r="N1355">
        <f t="shared" si="405"/>
        <v>0</v>
      </c>
      <c r="O1355" t="s">
        <v>600</v>
      </c>
      <c r="P1355">
        <f t="shared" si="406"/>
        <v>0</v>
      </c>
      <c r="Q1355">
        <f t="shared" si="407"/>
        <v>0</v>
      </c>
      <c r="R1355">
        <f t="shared" si="408"/>
        <v>0</v>
      </c>
      <c r="S1355">
        <f t="shared" si="409"/>
        <v>0</v>
      </c>
      <c r="T1355">
        <f t="shared" si="410"/>
        <v>0</v>
      </c>
      <c r="U1355">
        <f t="shared" si="411"/>
        <v>0</v>
      </c>
      <c r="V1355">
        <f t="shared" si="412"/>
        <v>0</v>
      </c>
      <c r="W1355" t="s">
        <v>39</v>
      </c>
      <c r="X1355">
        <f t="shared" si="413"/>
        <v>1</v>
      </c>
      <c r="Y1355">
        <f t="shared" si="414"/>
        <v>0</v>
      </c>
      <c r="Z1355">
        <v>5</v>
      </c>
      <c r="AA1355">
        <f t="shared" si="415"/>
        <v>1</v>
      </c>
      <c r="AB1355" t="s">
        <v>46</v>
      </c>
      <c r="AC1355">
        <f t="shared" si="416"/>
        <v>0</v>
      </c>
      <c r="AD1355">
        <f t="shared" si="417"/>
        <v>0</v>
      </c>
      <c r="AE1355" t="s">
        <v>41</v>
      </c>
      <c r="AF1355">
        <f>IF(AE1355="website",1,0)</f>
        <v>1</v>
      </c>
    </row>
    <row r="1356" spans="1:32">
      <c r="A1356" t="s">
        <v>2004</v>
      </c>
      <c r="B1356" t="s">
        <v>33</v>
      </c>
      <c r="C1356" s="3">
        <f t="shared" si="399"/>
        <v>0</v>
      </c>
      <c r="D1356">
        <f t="shared" si="400"/>
        <v>1</v>
      </c>
      <c r="E1356" t="s">
        <v>681</v>
      </c>
      <c r="F1356" t="s">
        <v>703</v>
      </c>
      <c r="G1356" s="1">
        <v>24433</v>
      </c>
      <c r="H1356" s="2">
        <f t="shared" ca="1" si="401"/>
        <v>59</v>
      </c>
      <c r="I1356" s="2">
        <f t="shared" ca="1" si="402"/>
        <v>0.48571428571428571</v>
      </c>
      <c r="J1356" t="s">
        <v>36</v>
      </c>
      <c r="K1356" t="s">
        <v>37</v>
      </c>
      <c r="L1356">
        <f t="shared" si="403"/>
        <v>1</v>
      </c>
      <c r="M1356">
        <f t="shared" si="404"/>
        <v>0</v>
      </c>
      <c r="N1356">
        <f t="shared" si="405"/>
        <v>0</v>
      </c>
      <c r="O1356" t="s">
        <v>38</v>
      </c>
      <c r="P1356">
        <f t="shared" si="406"/>
        <v>1</v>
      </c>
      <c r="Q1356">
        <f t="shared" si="407"/>
        <v>0</v>
      </c>
      <c r="R1356">
        <f t="shared" si="408"/>
        <v>0</v>
      </c>
      <c r="S1356">
        <f t="shared" si="409"/>
        <v>0</v>
      </c>
      <c r="T1356">
        <f t="shared" si="410"/>
        <v>0</v>
      </c>
      <c r="U1356">
        <f t="shared" si="411"/>
        <v>0</v>
      </c>
      <c r="V1356">
        <f t="shared" si="412"/>
        <v>0</v>
      </c>
      <c r="W1356" t="s">
        <v>58</v>
      </c>
      <c r="X1356">
        <f t="shared" si="413"/>
        <v>0</v>
      </c>
      <c r="Y1356">
        <f t="shared" si="414"/>
        <v>1</v>
      </c>
      <c r="Z1356">
        <v>2</v>
      </c>
      <c r="AA1356">
        <f t="shared" si="415"/>
        <v>0.25</v>
      </c>
      <c r="AB1356" t="s">
        <v>40</v>
      </c>
      <c r="AC1356">
        <f t="shared" si="416"/>
        <v>0</v>
      </c>
      <c r="AD1356">
        <f t="shared" si="417"/>
        <v>1</v>
      </c>
      <c r="AE1356" t="s">
        <v>90</v>
      </c>
      <c r="AF1356">
        <f>IF(AE1356="website",1,0)</f>
        <v>0</v>
      </c>
    </row>
    <row r="1357" spans="1:32">
      <c r="A1357" t="s">
        <v>2005</v>
      </c>
      <c r="B1357" t="s">
        <v>33</v>
      </c>
      <c r="C1357" s="3">
        <f t="shared" si="399"/>
        <v>0</v>
      </c>
      <c r="D1357">
        <f t="shared" si="400"/>
        <v>1</v>
      </c>
      <c r="E1357" t="s">
        <v>625</v>
      </c>
      <c r="F1357" t="s">
        <v>730</v>
      </c>
      <c r="G1357" s="1">
        <v>34419</v>
      </c>
      <c r="H1357" s="2">
        <f t="shared" ca="1" si="401"/>
        <v>32</v>
      </c>
      <c r="I1357" s="2">
        <f t="shared" ca="1" si="402"/>
        <v>0.1</v>
      </c>
      <c r="J1357" t="s">
        <v>45</v>
      </c>
      <c r="K1357" t="s">
        <v>37</v>
      </c>
      <c r="L1357">
        <f t="shared" si="403"/>
        <v>1</v>
      </c>
      <c r="M1357">
        <f t="shared" si="404"/>
        <v>0</v>
      </c>
      <c r="N1357">
        <f t="shared" si="405"/>
        <v>0</v>
      </c>
      <c r="O1357" t="s">
        <v>76</v>
      </c>
      <c r="P1357">
        <f t="shared" si="406"/>
        <v>0</v>
      </c>
      <c r="Q1357">
        <f t="shared" si="407"/>
        <v>1</v>
      </c>
      <c r="R1357">
        <f t="shared" si="408"/>
        <v>0</v>
      </c>
      <c r="S1357">
        <f t="shared" si="409"/>
        <v>0</v>
      </c>
      <c r="T1357">
        <f t="shared" si="410"/>
        <v>0</v>
      </c>
      <c r="U1357">
        <f t="shared" si="411"/>
        <v>0</v>
      </c>
      <c r="V1357">
        <f t="shared" si="412"/>
        <v>0</v>
      </c>
      <c r="W1357" t="s">
        <v>58</v>
      </c>
      <c r="X1357">
        <f t="shared" si="413"/>
        <v>0</v>
      </c>
      <c r="Y1357">
        <f t="shared" si="414"/>
        <v>1</v>
      </c>
      <c r="Z1357">
        <v>4</v>
      </c>
      <c r="AA1357">
        <f t="shared" si="415"/>
        <v>0.75</v>
      </c>
      <c r="AB1357" t="s">
        <v>46</v>
      </c>
      <c r="AC1357">
        <f t="shared" si="416"/>
        <v>1</v>
      </c>
      <c r="AD1357">
        <f t="shared" si="417"/>
        <v>0</v>
      </c>
      <c r="AE1357" t="s">
        <v>50</v>
      </c>
      <c r="AF1357">
        <f>IF(AE1357="website",1,0)</f>
        <v>0</v>
      </c>
    </row>
    <row r="1358" spans="1:32">
      <c r="A1358" t="s">
        <v>2006</v>
      </c>
      <c r="B1358" t="s">
        <v>33</v>
      </c>
      <c r="C1358" s="3">
        <f t="shared" si="399"/>
        <v>0</v>
      </c>
      <c r="D1358">
        <f t="shared" si="400"/>
        <v>1</v>
      </c>
      <c r="E1358" t="s">
        <v>784</v>
      </c>
      <c r="F1358" t="s">
        <v>726</v>
      </c>
      <c r="G1358" s="1">
        <v>31837</v>
      </c>
      <c r="H1358" s="2">
        <f t="shared" ca="1" si="401"/>
        <v>39</v>
      </c>
      <c r="I1358" s="2">
        <f t="shared" ca="1" si="402"/>
        <v>0.2</v>
      </c>
      <c r="J1358" t="s">
        <v>36</v>
      </c>
      <c r="K1358" t="s">
        <v>37</v>
      </c>
      <c r="L1358">
        <f t="shared" si="403"/>
        <v>1</v>
      </c>
      <c r="M1358">
        <f t="shared" si="404"/>
        <v>0</v>
      </c>
      <c r="N1358">
        <f t="shared" si="405"/>
        <v>0</v>
      </c>
      <c r="O1358" t="s">
        <v>38</v>
      </c>
      <c r="P1358">
        <f t="shared" si="406"/>
        <v>1</v>
      </c>
      <c r="Q1358">
        <f t="shared" si="407"/>
        <v>0</v>
      </c>
      <c r="R1358">
        <f t="shared" si="408"/>
        <v>0</v>
      </c>
      <c r="S1358">
        <f t="shared" si="409"/>
        <v>0</v>
      </c>
      <c r="T1358">
        <f t="shared" si="410"/>
        <v>0</v>
      </c>
      <c r="U1358">
        <f t="shared" si="411"/>
        <v>0</v>
      </c>
      <c r="V1358">
        <f t="shared" si="412"/>
        <v>0</v>
      </c>
      <c r="W1358" t="s">
        <v>39</v>
      </c>
      <c r="X1358">
        <f t="shared" si="413"/>
        <v>1</v>
      </c>
      <c r="Y1358">
        <f t="shared" si="414"/>
        <v>0</v>
      </c>
      <c r="Z1358">
        <v>5</v>
      </c>
      <c r="AA1358">
        <f t="shared" si="415"/>
        <v>1</v>
      </c>
      <c r="AB1358" t="s">
        <v>40</v>
      </c>
      <c r="AC1358">
        <f t="shared" si="416"/>
        <v>0</v>
      </c>
      <c r="AD1358">
        <f t="shared" si="417"/>
        <v>0</v>
      </c>
      <c r="AE1358" t="s">
        <v>41</v>
      </c>
      <c r="AF1358">
        <f>IF(AE1358="website",1,0)</f>
        <v>1</v>
      </c>
    </row>
    <row r="1359" spans="1:32">
      <c r="A1359" t="s">
        <v>2007</v>
      </c>
      <c r="B1359" t="s">
        <v>33</v>
      </c>
      <c r="C1359" s="3">
        <f t="shared" si="399"/>
        <v>0</v>
      </c>
      <c r="D1359">
        <f t="shared" si="400"/>
        <v>1</v>
      </c>
      <c r="E1359" t="s">
        <v>1032</v>
      </c>
      <c r="F1359" t="s">
        <v>117</v>
      </c>
      <c r="G1359" s="1">
        <v>15711</v>
      </c>
      <c r="H1359" s="2">
        <f t="shared" ca="1" si="401"/>
        <v>83</v>
      </c>
      <c r="I1359" s="2">
        <f t="shared" ca="1" si="402"/>
        <v>0.82857142857142863</v>
      </c>
      <c r="J1359" t="s">
        <v>45</v>
      </c>
      <c r="K1359" t="s">
        <v>37</v>
      </c>
      <c r="L1359">
        <f t="shared" si="403"/>
        <v>1</v>
      </c>
      <c r="M1359">
        <f t="shared" si="404"/>
        <v>0</v>
      </c>
      <c r="N1359">
        <f t="shared" si="405"/>
        <v>0</v>
      </c>
      <c r="O1359" t="s">
        <v>592</v>
      </c>
      <c r="P1359">
        <f t="shared" si="406"/>
        <v>0</v>
      </c>
      <c r="Q1359">
        <f t="shared" si="407"/>
        <v>0</v>
      </c>
      <c r="R1359">
        <f t="shared" si="408"/>
        <v>0</v>
      </c>
      <c r="S1359">
        <f t="shared" si="409"/>
        <v>0</v>
      </c>
      <c r="T1359">
        <f t="shared" si="410"/>
        <v>0</v>
      </c>
      <c r="U1359">
        <f t="shared" si="411"/>
        <v>0</v>
      </c>
      <c r="V1359">
        <f t="shared" si="412"/>
        <v>0</v>
      </c>
      <c r="W1359" t="s">
        <v>39</v>
      </c>
      <c r="X1359">
        <f t="shared" si="413"/>
        <v>1</v>
      </c>
      <c r="Y1359">
        <f t="shared" si="414"/>
        <v>0</v>
      </c>
      <c r="Z1359">
        <v>4</v>
      </c>
      <c r="AA1359">
        <f t="shared" si="415"/>
        <v>0.75</v>
      </c>
      <c r="AB1359" t="s">
        <v>46</v>
      </c>
      <c r="AC1359">
        <f t="shared" si="416"/>
        <v>1</v>
      </c>
      <c r="AD1359">
        <f t="shared" si="417"/>
        <v>0</v>
      </c>
      <c r="AE1359" t="s">
        <v>50</v>
      </c>
      <c r="AF1359">
        <f>IF(AE1359="website",1,0)</f>
        <v>0</v>
      </c>
    </row>
    <row r="1360" spans="1:32">
      <c r="A1360" t="s">
        <v>2008</v>
      </c>
      <c r="B1360" t="s">
        <v>33</v>
      </c>
      <c r="C1360" s="3">
        <f t="shared" si="399"/>
        <v>0</v>
      </c>
      <c r="D1360">
        <f t="shared" si="400"/>
        <v>1</v>
      </c>
      <c r="E1360" t="s">
        <v>1073</v>
      </c>
      <c r="F1360" t="s">
        <v>703</v>
      </c>
      <c r="G1360" s="1">
        <v>27600</v>
      </c>
      <c r="H1360" s="2">
        <f t="shared" ca="1" si="401"/>
        <v>51</v>
      </c>
      <c r="I1360" s="2">
        <f t="shared" ca="1" si="402"/>
        <v>0.37142857142857144</v>
      </c>
      <c r="J1360" t="s">
        <v>45</v>
      </c>
      <c r="K1360" t="s">
        <v>37</v>
      </c>
      <c r="L1360">
        <f t="shared" si="403"/>
        <v>1</v>
      </c>
      <c r="M1360">
        <f t="shared" si="404"/>
        <v>0</v>
      </c>
      <c r="N1360">
        <f t="shared" si="405"/>
        <v>0</v>
      </c>
      <c r="O1360" t="s">
        <v>305</v>
      </c>
      <c r="P1360">
        <f t="shared" si="406"/>
        <v>0</v>
      </c>
      <c r="Q1360">
        <f t="shared" si="407"/>
        <v>0</v>
      </c>
      <c r="R1360">
        <f t="shared" si="408"/>
        <v>0</v>
      </c>
      <c r="S1360">
        <f t="shared" si="409"/>
        <v>0</v>
      </c>
      <c r="T1360">
        <f t="shared" si="410"/>
        <v>0</v>
      </c>
      <c r="U1360">
        <f t="shared" si="411"/>
        <v>0</v>
      </c>
      <c r="V1360">
        <f t="shared" si="412"/>
        <v>0</v>
      </c>
      <c r="W1360" t="s">
        <v>39</v>
      </c>
      <c r="X1360">
        <f t="shared" si="413"/>
        <v>1</v>
      </c>
      <c r="Y1360">
        <f t="shared" si="414"/>
        <v>0</v>
      </c>
      <c r="Z1360">
        <v>3</v>
      </c>
      <c r="AA1360">
        <f t="shared" si="415"/>
        <v>0.5</v>
      </c>
      <c r="AB1360" t="s">
        <v>46</v>
      </c>
      <c r="AC1360">
        <f t="shared" si="416"/>
        <v>1</v>
      </c>
      <c r="AD1360">
        <f t="shared" si="417"/>
        <v>0</v>
      </c>
      <c r="AE1360" t="s">
        <v>50</v>
      </c>
      <c r="AF1360">
        <f>IF(AE1360="website",1,0)</f>
        <v>0</v>
      </c>
    </row>
    <row r="1361" spans="1:32">
      <c r="A1361" t="s">
        <v>2009</v>
      </c>
      <c r="B1361" t="s">
        <v>33</v>
      </c>
      <c r="C1361" s="3">
        <f t="shared" si="399"/>
        <v>0</v>
      </c>
      <c r="D1361">
        <f t="shared" si="400"/>
        <v>1</v>
      </c>
      <c r="E1361" t="s">
        <v>772</v>
      </c>
      <c r="F1361" t="s">
        <v>112</v>
      </c>
      <c r="G1361" s="1">
        <v>33204</v>
      </c>
      <c r="H1361" s="2">
        <f t="shared" ca="1" si="401"/>
        <v>35</v>
      </c>
      <c r="I1361" s="2">
        <f t="shared" ca="1" si="402"/>
        <v>0.14285714285714285</v>
      </c>
      <c r="J1361" t="s">
        <v>45</v>
      </c>
      <c r="K1361" t="s">
        <v>37</v>
      </c>
      <c r="L1361">
        <f t="shared" si="403"/>
        <v>1</v>
      </c>
      <c r="M1361">
        <f t="shared" si="404"/>
        <v>0</v>
      </c>
      <c r="N1361">
        <f t="shared" si="405"/>
        <v>0</v>
      </c>
      <c r="O1361" t="s">
        <v>305</v>
      </c>
      <c r="P1361">
        <f t="shared" si="406"/>
        <v>0</v>
      </c>
      <c r="Q1361">
        <f t="shared" si="407"/>
        <v>0</v>
      </c>
      <c r="R1361">
        <f t="shared" si="408"/>
        <v>0</v>
      </c>
      <c r="S1361">
        <f t="shared" si="409"/>
        <v>0</v>
      </c>
      <c r="T1361">
        <f t="shared" si="410"/>
        <v>0</v>
      </c>
      <c r="U1361">
        <f t="shared" si="411"/>
        <v>0</v>
      </c>
      <c r="V1361">
        <f t="shared" si="412"/>
        <v>0</v>
      </c>
      <c r="W1361" t="s">
        <v>39</v>
      </c>
      <c r="X1361">
        <f t="shared" si="413"/>
        <v>1</v>
      </c>
      <c r="Y1361">
        <f t="shared" si="414"/>
        <v>0</v>
      </c>
      <c r="Z1361">
        <v>4</v>
      </c>
      <c r="AA1361">
        <f t="shared" si="415"/>
        <v>0.75</v>
      </c>
      <c r="AB1361" t="s">
        <v>46</v>
      </c>
      <c r="AC1361">
        <f t="shared" si="416"/>
        <v>1</v>
      </c>
      <c r="AD1361">
        <f t="shared" si="417"/>
        <v>0</v>
      </c>
      <c r="AE1361" t="s">
        <v>50</v>
      </c>
      <c r="AF1361">
        <f>IF(AE1361="website",1,0)</f>
        <v>0</v>
      </c>
    </row>
    <row r="1362" spans="1:32">
      <c r="A1362" t="s">
        <v>2010</v>
      </c>
      <c r="B1362" t="s">
        <v>33</v>
      </c>
      <c r="C1362" s="3">
        <f t="shared" si="399"/>
        <v>0</v>
      </c>
      <c r="D1362">
        <f t="shared" si="400"/>
        <v>1</v>
      </c>
      <c r="E1362" t="s">
        <v>587</v>
      </c>
      <c r="F1362" t="s">
        <v>703</v>
      </c>
      <c r="G1362" s="1">
        <v>15908</v>
      </c>
      <c r="H1362" s="2">
        <f t="shared" ca="1" si="401"/>
        <v>83</v>
      </c>
      <c r="I1362" s="2">
        <f t="shared" ca="1" si="402"/>
        <v>0.82857142857142863</v>
      </c>
      <c r="J1362" t="s">
        <v>36</v>
      </c>
      <c r="K1362" t="s">
        <v>37</v>
      </c>
      <c r="L1362">
        <f t="shared" si="403"/>
        <v>1</v>
      </c>
      <c r="M1362">
        <f t="shared" si="404"/>
        <v>0</v>
      </c>
      <c r="N1362">
        <f t="shared" si="405"/>
        <v>0</v>
      </c>
      <c r="O1362" t="s">
        <v>38</v>
      </c>
      <c r="P1362">
        <f t="shared" si="406"/>
        <v>1</v>
      </c>
      <c r="Q1362">
        <f t="shared" si="407"/>
        <v>0</v>
      </c>
      <c r="R1362">
        <f t="shared" si="408"/>
        <v>0</v>
      </c>
      <c r="S1362">
        <f t="shared" si="409"/>
        <v>0</v>
      </c>
      <c r="T1362">
        <f t="shared" si="410"/>
        <v>0</v>
      </c>
      <c r="U1362">
        <f t="shared" si="411"/>
        <v>0</v>
      </c>
      <c r="V1362">
        <f t="shared" si="412"/>
        <v>0</v>
      </c>
      <c r="W1362" t="s">
        <v>39</v>
      </c>
      <c r="X1362">
        <f t="shared" si="413"/>
        <v>1</v>
      </c>
      <c r="Y1362">
        <f t="shared" si="414"/>
        <v>0</v>
      </c>
      <c r="Z1362">
        <v>3</v>
      </c>
      <c r="AA1362">
        <f t="shared" si="415"/>
        <v>0.5</v>
      </c>
      <c r="AB1362" t="s">
        <v>46</v>
      </c>
      <c r="AC1362">
        <f t="shared" si="416"/>
        <v>0</v>
      </c>
      <c r="AD1362">
        <f t="shared" si="417"/>
        <v>1</v>
      </c>
      <c r="AE1362" t="s">
        <v>90</v>
      </c>
      <c r="AF1362">
        <f>IF(AE1362="website",1,0)</f>
        <v>0</v>
      </c>
    </row>
    <row r="1363" spans="1:32">
      <c r="A1363" t="s">
        <v>2011</v>
      </c>
      <c r="B1363" t="s">
        <v>33</v>
      </c>
      <c r="C1363" s="3">
        <f t="shared" si="399"/>
        <v>0</v>
      </c>
      <c r="D1363">
        <f t="shared" si="400"/>
        <v>1</v>
      </c>
      <c r="E1363" t="s">
        <v>584</v>
      </c>
      <c r="F1363" t="s">
        <v>700</v>
      </c>
      <c r="G1363" s="1">
        <v>23845</v>
      </c>
      <c r="H1363" s="2">
        <f t="shared" ca="1" si="401"/>
        <v>61</v>
      </c>
      <c r="I1363" s="2">
        <f t="shared" ca="1" si="402"/>
        <v>0.51428571428571423</v>
      </c>
      <c r="J1363" t="s">
        <v>36</v>
      </c>
      <c r="K1363" t="s">
        <v>37</v>
      </c>
      <c r="L1363">
        <f t="shared" si="403"/>
        <v>1</v>
      </c>
      <c r="M1363">
        <f t="shared" si="404"/>
        <v>0</v>
      </c>
      <c r="N1363">
        <f t="shared" si="405"/>
        <v>0</v>
      </c>
      <c r="O1363" t="s">
        <v>38</v>
      </c>
      <c r="P1363">
        <f t="shared" si="406"/>
        <v>1</v>
      </c>
      <c r="Q1363">
        <f t="shared" si="407"/>
        <v>0</v>
      </c>
      <c r="R1363">
        <f t="shared" si="408"/>
        <v>0</v>
      </c>
      <c r="S1363">
        <f t="shared" si="409"/>
        <v>0</v>
      </c>
      <c r="T1363">
        <f t="shared" si="410"/>
        <v>0</v>
      </c>
      <c r="U1363">
        <f t="shared" si="411"/>
        <v>0</v>
      </c>
      <c r="V1363">
        <f t="shared" si="412"/>
        <v>0</v>
      </c>
      <c r="W1363" t="s">
        <v>58</v>
      </c>
      <c r="X1363">
        <f t="shared" si="413"/>
        <v>0</v>
      </c>
      <c r="Y1363">
        <f t="shared" si="414"/>
        <v>1</v>
      </c>
      <c r="Z1363">
        <v>1</v>
      </c>
      <c r="AA1363">
        <f t="shared" si="415"/>
        <v>0</v>
      </c>
      <c r="AB1363" t="s">
        <v>40</v>
      </c>
      <c r="AC1363">
        <f t="shared" si="416"/>
        <v>1</v>
      </c>
      <c r="AD1363">
        <f t="shared" si="417"/>
        <v>0</v>
      </c>
      <c r="AE1363" t="s">
        <v>50</v>
      </c>
      <c r="AF1363">
        <f>IF(AE1363="website",1,0)</f>
        <v>0</v>
      </c>
    </row>
    <row r="1364" spans="1:32">
      <c r="A1364" t="s">
        <v>2012</v>
      </c>
      <c r="B1364" t="s">
        <v>33</v>
      </c>
      <c r="C1364" s="3">
        <f t="shared" si="399"/>
        <v>0</v>
      </c>
      <c r="D1364">
        <f t="shared" si="400"/>
        <v>1</v>
      </c>
      <c r="E1364" t="s">
        <v>659</v>
      </c>
      <c r="F1364" t="s">
        <v>691</v>
      </c>
      <c r="G1364" s="1">
        <v>29741</v>
      </c>
      <c r="H1364" s="2">
        <f t="shared" ca="1" si="401"/>
        <v>45</v>
      </c>
      <c r="I1364" s="2">
        <f t="shared" ca="1" si="402"/>
        <v>0.2857142857142857</v>
      </c>
      <c r="J1364" t="s">
        <v>45</v>
      </c>
      <c r="K1364" t="s">
        <v>37</v>
      </c>
      <c r="L1364">
        <f t="shared" si="403"/>
        <v>1</v>
      </c>
      <c r="M1364">
        <f t="shared" si="404"/>
        <v>0</v>
      </c>
      <c r="N1364">
        <f t="shared" si="405"/>
        <v>0</v>
      </c>
      <c r="O1364" t="s">
        <v>785</v>
      </c>
      <c r="P1364">
        <f t="shared" si="406"/>
        <v>0</v>
      </c>
      <c r="Q1364">
        <f t="shared" si="407"/>
        <v>0</v>
      </c>
      <c r="R1364">
        <f t="shared" si="408"/>
        <v>0</v>
      </c>
      <c r="S1364">
        <f t="shared" si="409"/>
        <v>0</v>
      </c>
      <c r="T1364">
        <f t="shared" si="410"/>
        <v>0</v>
      </c>
      <c r="U1364">
        <f t="shared" si="411"/>
        <v>0</v>
      </c>
      <c r="V1364">
        <f t="shared" si="412"/>
        <v>0</v>
      </c>
      <c r="W1364" t="s">
        <v>39</v>
      </c>
      <c r="X1364">
        <f t="shared" si="413"/>
        <v>1</v>
      </c>
      <c r="Y1364">
        <f t="shared" si="414"/>
        <v>0</v>
      </c>
      <c r="Z1364">
        <v>5</v>
      </c>
      <c r="AA1364">
        <f t="shared" si="415"/>
        <v>1</v>
      </c>
      <c r="AB1364" t="s">
        <v>40</v>
      </c>
      <c r="AC1364">
        <f t="shared" si="416"/>
        <v>1</v>
      </c>
      <c r="AD1364">
        <f t="shared" si="417"/>
        <v>0</v>
      </c>
      <c r="AE1364" t="s">
        <v>50</v>
      </c>
      <c r="AF1364">
        <f>IF(AE1364="website",1,0)</f>
        <v>0</v>
      </c>
    </row>
    <row r="1365" spans="1:32">
      <c r="A1365" t="s">
        <v>2013</v>
      </c>
      <c r="B1365" t="s">
        <v>33</v>
      </c>
      <c r="C1365" s="3">
        <f t="shared" si="399"/>
        <v>0</v>
      </c>
      <c r="D1365">
        <f t="shared" si="400"/>
        <v>1</v>
      </c>
      <c r="E1365" t="s">
        <v>602</v>
      </c>
      <c r="F1365" t="s">
        <v>825</v>
      </c>
      <c r="G1365" s="1">
        <v>36152</v>
      </c>
      <c r="H1365" s="2">
        <f t="shared" ca="1" si="401"/>
        <v>27</v>
      </c>
      <c r="I1365" s="2">
        <f t="shared" ca="1" si="402"/>
        <v>2.8571428571428571E-2</v>
      </c>
      <c r="J1365" t="s">
        <v>36</v>
      </c>
      <c r="K1365" t="s">
        <v>37</v>
      </c>
      <c r="L1365">
        <f t="shared" si="403"/>
        <v>1</v>
      </c>
      <c r="M1365">
        <f t="shared" si="404"/>
        <v>0</v>
      </c>
      <c r="N1365">
        <f t="shared" si="405"/>
        <v>0</v>
      </c>
      <c r="O1365" t="s">
        <v>38</v>
      </c>
      <c r="P1365">
        <f t="shared" si="406"/>
        <v>1</v>
      </c>
      <c r="Q1365">
        <f t="shared" si="407"/>
        <v>0</v>
      </c>
      <c r="R1365">
        <f t="shared" si="408"/>
        <v>0</v>
      </c>
      <c r="S1365">
        <f t="shared" si="409"/>
        <v>0</v>
      </c>
      <c r="T1365">
        <f t="shared" si="410"/>
        <v>0</v>
      </c>
      <c r="U1365">
        <f t="shared" si="411"/>
        <v>0</v>
      </c>
      <c r="V1365">
        <f t="shared" si="412"/>
        <v>0</v>
      </c>
      <c r="W1365" t="s">
        <v>58</v>
      </c>
      <c r="X1365">
        <f t="shared" si="413"/>
        <v>0</v>
      </c>
      <c r="Y1365">
        <f t="shared" si="414"/>
        <v>1</v>
      </c>
      <c r="Z1365">
        <v>1</v>
      </c>
      <c r="AA1365">
        <f t="shared" si="415"/>
        <v>0</v>
      </c>
      <c r="AB1365" t="s">
        <v>46</v>
      </c>
      <c r="AC1365">
        <f t="shared" si="416"/>
        <v>0</v>
      </c>
      <c r="AD1365">
        <f t="shared" si="417"/>
        <v>0</v>
      </c>
      <c r="AE1365" t="s">
        <v>41</v>
      </c>
      <c r="AF1365">
        <f>IF(AE1365="website",1,0)</f>
        <v>1</v>
      </c>
    </row>
    <row r="1366" spans="1:32">
      <c r="A1366" t="s">
        <v>2014</v>
      </c>
      <c r="B1366" t="s">
        <v>33</v>
      </c>
      <c r="C1366" s="3">
        <f t="shared" si="399"/>
        <v>0</v>
      </c>
      <c r="D1366">
        <f t="shared" si="400"/>
        <v>1</v>
      </c>
      <c r="E1366" t="s">
        <v>1664</v>
      </c>
      <c r="F1366" t="s">
        <v>557</v>
      </c>
      <c r="G1366" s="1">
        <v>25278</v>
      </c>
      <c r="H1366" s="2">
        <f t="shared" ca="1" si="401"/>
        <v>57</v>
      </c>
      <c r="I1366" s="2">
        <f t="shared" ca="1" si="402"/>
        <v>0.45714285714285713</v>
      </c>
      <c r="J1366" t="s">
        <v>36</v>
      </c>
      <c r="K1366" t="s">
        <v>153</v>
      </c>
      <c r="L1366">
        <f t="shared" si="403"/>
        <v>0</v>
      </c>
      <c r="M1366">
        <f t="shared" si="404"/>
        <v>0</v>
      </c>
      <c r="N1366">
        <f t="shared" si="405"/>
        <v>0</v>
      </c>
      <c r="O1366" t="s">
        <v>154</v>
      </c>
      <c r="P1366">
        <f t="shared" si="406"/>
        <v>0</v>
      </c>
      <c r="Q1366">
        <f t="shared" si="407"/>
        <v>0</v>
      </c>
      <c r="R1366">
        <f t="shared" si="408"/>
        <v>0</v>
      </c>
      <c r="S1366">
        <f t="shared" si="409"/>
        <v>0</v>
      </c>
      <c r="T1366">
        <f t="shared" si="410"/>
        <v>0</v>
      </c>
      <c r="U1366">
        <f t="shared" si="411"/>
        <v>0</v>
      </c>
      <c r="V1366">
        <f t="shared" si="412"/>
        <v>0</v>
      </c>
      <c r="W1366" t="s">
        <v>58</v>
      </c>
      <c r="X1366">
        <f t="shared" si="413"/>
        <v>0</v>
      </c>
      <c r="Y1366">
        <f t="shared" si="414"/>
        <v>1</v>
      </c>
      <c r="Z1366">
        <v>5</v>
      </c>
      <c r="AA1366">
        <f t="shared" si="415"/>
        <v>1</v>
      </c>
      <c r="AB1366" t="s">
        <v>40</v>
      </c>
      <c r="AC1366">
        <f t="shared" si="416"/>
        <v>0</v>
      </c>
      <c r="AD1366">
        <f t="shared" si="417"/>
        <v>0</v>
      </c>
      <c r="AE1366" t="s">
        <v>41</v>
      </c>
      <c r="AF1366">
        <f>IF(AE1366="website",1,0)</f>
        <v>1</v>
      </c>
    </row>
    <row r="1367" spans="1:32">
      <c r="A1367" t="s">
        <v>2015</v>
      </c>
      <c r="B1367" t="s">
        <v>33</v>
      </c>
      <c r="C1367" s="3">
        <f t="shared" si="399"/>
        <v>0</v>
      </c>
      <c r="D1367">
        <f t="shared" si="400"/>
        <v>1</v>
      </c>
      <c r="E1367" t="s">
        <v>936</v>
      </c>
      <c r="F1367" t="s">
        <v>798</v>
      </c>
      <c r="G1367" s="1">
        <v>34907</v>
      </c>
      <c r="H1367" s="2">
        <f t="shared" ca="1" si="401"/>
        <v>31</v>
      </c>
      <c r="I1367" s="2">
        <f t="shared" ca="1" si="402"/>
        <v>8.5714285714285715E-2</v>
      </c>
      <c r="J1367" t="s">
        <v>45</v>
      </c>
      <c r="K1367" t="s">
        <v>37</v>
      </c>
      <c r="L1367">
        <f t="shared" si="403"/>
        <v>1</v>
      </c>
      <c r="M1367">
        <f t="shared" si="404"/>
        <v>0</v>
      </c>
      <c r="N1367">
        <f t="shared" si="405"/>
        <v>0</v>
      </c>
      <c r="O1367" t="s">
        <v>38</v>
      </c>
      <c r="P1367">
        <f t="shared" si="406"/>
        <v>1</v>
      </c>
      <c r="Q1367">
        <f t="shared" si="407"/>
        <v>0</v>
      </c>
      <c r="R1367">
        <f t="shared" si="408"/>
        <v>0</v>
      </c>
      <c r="S1367">
        <f t="shared" si="409"/>
        <v>0</v>
      </c>
      <c r="T1367">
        <f t="shared" si="410"/>
        <v>0</v>
      </c>
      <c r="U1367">
        <f t="shared" si="411"/>
        <v>0</v>
      </c>
      <c r="V1367">
        <f t="shared" si="412"/>
        <v>0</v>
      </c>
      <c r="W1367" t="s">
        <v>39</v>
      </c>
      <c r="X1367">
        <f t="shared" si="413"/>
        <v>1</v>
      </c>
      <c r="Y1367">
        <f t="shared" si="414"/>
        <v>0</v>
      </c>
      <c r="Z1367">
        <v>1</v>
      </c>
      <c r="AA1367">
        <f t="shared" si="415"/>
        <v>0</v>
      </c>
      <c r="AB1367" t="s">
        <v>46</v>
      </c>
      <c r="AC1367">
        <f t="shared" si="416"/>
        <v>0</v>
      </c>
      <c r="AD1367">
        <f t="shared" si="417"/>
        <v>0</v>
      </c>
      <c r="AE1367" t="s">
        <v>41</v>
      </c>
      <c r="AF1367">
        <f>IF(AE1367="website",1,0)</f>
        <v>1</v>
      </c>
    </row>
    <row r="1368" spans="1:32">
      <c r="A1368" t="s">
        <v>2016</v>
      </c>
      <c r="B1368" t="s">
        <v>33</v>
      </c>
      <c r="C1368" s="3">
        <f t="shared" si="399"/>
        <v>0</v>
      </c>
      <c r="D1368">
        <f t="shared" si="400"/>
        <v>1</v>
      </c>
      <c r="E1368" t="s">
        <v>747</v>
      </c>
      <c r="F1368" t="s">
        <v>700</v>
      </c>
      <c r="G1368" s="1">
        <v>19370</v>
      </c>
      <c r="H1368" s="2">
        <f t="shared" ca="1" si="401"/>
        <v>73</v>
      </c>
      <c r="I1368" s="2">
        <f t="shared" ca="1" si="402"/>
        <v>0.68571428571428572</v>
      </c>
      <c r="J1368" t="s">
        <v>36</v>
      </c>
      <c r="K1368" t="s">
        <v>113</v>
      </c>
      <c r="L1368">
        <f t="shared" si="403"/>
        <v>0</v>
      </c>
      <c r="M1368">
        <f t="shared" si="404"/>
        <v>0</v>
      </c>
      <c r="N1368">
        <f t="shared" si="405"/>
        <v>1</v>
      </c>
      <c r="O1368" t="s">
        <v>114</v>
      </c>
      <c r="P1368">
        <f t="shared" si="406"/>
        <v>0</v>
      </c>
      <c r="Q1368">
        <f t="shared" si="407"/>
        <v>0</v>
      </c>
      <c r="R1368">
        <f t="shared" si="408"/>
        <v>0</v>
      </c>
      <c r="S1368">
        <f t="shared" si="409"/>
        <v>1</v>
      </c>
      <c r="T1368">
        <f t="shared" si="410"/>
        <v>0</v>
      </c>
      <c r="U1368">
        <f t="shared" si="411"/>
        <v>0</v>
      </c>
      <c r="V1368">
        <f t="shared" si="412"/>
        <v>0</v>
      </c>
      <c r="W1368" t="s">
        <v>39</v>
      </c>
      <c r="X1368">
        <f t="shared" si="413"/>
        <v>1</v>
      </c>
      <c r="Y1368">
        <f t="shared" si="414"/>
        <v>0</v>
      </c>
      <c r="Z1368">
        <v>2</v>
      </c>
      <c r="AA1368">
        <f t="shared" si="415"/>
        <v>0.25</v>
      </c>
      <c r="AB1368" t="s">
        <v>46</v>
      </c>
      <c r="AC1368">
        <f t="shared" si="416"/>
        <v>0</v>
      </c>
      <c r="AD1368">
        <f t="shared" si="417"/>
        <v>1</v>
      </c>
      <c r="AE1368" t="s">
        <v>90</v>
      </c>
      <c r="AF1368">
        <f>IF(AE1368="website",1,0)</f>
        <v>0</v>
      </c>
    </row>
    <row r="1369" spans="1:32">
      <c r="A1369" t="s">
        <v>2017</v>
      </c>
      <c r="B1369" t="s">
        <v>33</v>
      </c>
      <c r="C1369" s="3">
        <f t="shared" si="399"/>
        <v>0</v>
      </c>
      <c r="D1369">
        <f t="shared" si="400"/>
        <v>1</v>
      </c>
      <c r="E1369" t="s">
        <v>609</v>
      </c>
      <c r="F1369" t="s">
        <v>656</v>
      </c>
      <c r="G1369" s="1">
        <v>17493</v>
      </c>
      <c r="H1369" s="2">
        <f t="shared" ca="1" si="401"/>
        <v>78</v>
      </c>
      <c r="I1369" s="2">
        <f t="shared" ca="1" si="402"/>
        <v>0.75714285714285712</v>
      </c>
      <c r="J1369" t="s">
        <v>45</v>
      </c>
      <c r="K1369" t="s">
        <v>37</v>
      </c>
      <c r="L1369">
        <f t="shared" si="403"/>
        <v>1</v>
      </c>
      <c r="M1369">
        <f t="shared" si="404"/>
        <v>0</v>
      </c>
      <c r="N1369">
        <f t="shared" si="405"/>
        <v>0</v>
      </c>
      <c r="O1369" t="s">
        <v>38</v>
      </c>
      <c r="P1369">
        <f t="shared" si="406"/>
        <v>1</v>
      </c>
      <c r="Q1369">
        <f t="shared" si="407"/>
        <v>0</v>
      </c>
      <c r="R1369">
        <f t="shared" si="408"/>
        <v>0</v>
      </c>
      <c r="S1369">
        <f t="shared" si="409"/>
        <v>0</v>
      </c>
      <c r="T1369">
        <f t="shared" si="410"/>
        <v>0</v>
      </c>
      <c r="U1369">
        <f t="shared" si="411"/>
        <v>0</v>
      </c>
      <c r="V1369">
        <f t="shared" si="412"/>
        <v>0</v>
      </c>
      <c r="W1369" t="s">
        <v>39</v>
      </c>
      <c r="X1369">
        <f t="shared" si="413"/>
        <v>1</v>
      </c>
      <c r="Y1369">
        <f t="shared" si="414"/>
        <v>0</v>
      </c>
      <c r="Z1369">
        <v>5</v>
      </c>
      <c r="AA1369">
        <f t="shared" si="415"/>
        <v>1</v>
      </c>
      <c r="AB1369" t="s">
        <v>40</v>
      </c>
      <c r="AC1369">
        <f t="shared" si="416"/>
        <v>0</v>
      </c>
      <c r="AD1369">
        <f t="shared" si="417"/>
        <v>1</v>
      </c>
      <c r="AE1369" t="s">
        <v>90</v>
      </c>
      <c r="AF1369">
        <f>IF(AE1369="website",1,0)</f>
        <v>0</v>
      </c>
    </row>
    <row r="1370" spans="1:32">
      <c r="A1370" t="s">
        <v>2018</v>
      </c>
      <c r="B1370" t="s">
        <v>33</v>
      </c>
      <c r="C1370" s="3">
        <f t="shared" si="399"/>
        <v>0</v>
      </c>
      <c r="D1370">
        <f t="shared" si="400"/>
        <v>1</v>
      </c>
      <c r="E1370" t="s">
        <v>598</v>
      </c>
      <c r="F1370" t="s">
        <v>714</v>
      </c>
      <c r="G1370" s="1">
        <v>30596</v>
      </c>
      <c r="H1370" s="2">
        <f t="shared" ca="1" si="401"/>
        <v>42</v>
      </c>
      <c r="I1370" s="2">
        <f t="shared" ca="1" si="402"/>
        <v>0.24285714285714285</v>
      </c>
      <c r="J1370" t="s">
        <v>45</v>
      </c>
      <c r="K1370" t="s">
        <v>626</v>
      </c>
      <c r="L1370">
        <f t="shared" si="403"/>
        <v>0</v>
      </c>
      <c r="M1370">
        <f t="shared" si="404"/>
        <v>0</v>
      </c>
      <c r="N1370">
        <f t="shared" si="405"/>
        <v>0</v>
      </c>
      <c r="O1370" t="s">
        <v>1117</v>
      </c>
      <c r="P1370">
        <f t="shared" si="406"/>
        <v>0</v>
      </c>
      <c r="Q1370">
        <f t="shared" si="407"/>
        <v>0</v>
      </c>
      <c r="R1370">
        <f t="shared" si="408"/>
        <v>0</v>
      </c>
      <c r="S1370">
        <f t="shared" si="409"/>
        <v>0</v>
      </c>
      <c r="T1370">
        <f t="shared" si="410"/>
        <v>0</v>
      </c>
      <c r="U1370">
        <f t="shared" si="411"/>
        <v>0</v>
      </c>
      <c r="V1370">
        <f t="shared" si="412"/>
        <v>0</v>
      </c>
      <c r="W1370" t="s">
        <v>39</v>
      </c>
      <c r="X1370">
        <f t="shared" si="413"/>
        <v>1</v>
      </c>
      <c r="Y1370">
        <f t="shared" si="414"/>
        <v>0</v>
      </c>
      <c r="Z1370">
        <v>4</v>
      </c>
      <c r="AA1370">
        <f t="shared" si="415"/>
        <v>0.75</v>
      </c>
      <c r="AB1370" t="s">
        <v>40</v>
      </c>
      <c r="AC1370">
        <f t="shared" si="416"/>
        <v>1</v>
      </c>
      <c r="AD1370">
        <f t="shared" si="417"/>
        <v>0</v>
      </c>
      <c r="AE1370" t="s">
        <v>50</v>
      </c>
      <c r="AF1370">
        <f>IF(AE1370="website",1,0)</f>
        <v>0</v>
      </c>
    </row>
    <row r="1371" spans="1:32">
      <c r="A1371" t="s">
        <v>2019</v>
      </c>
      <c r="B1371" t="s">
        <v>33</v>
      </c>
      <c r="C1371" s="3">
        <f t="shared" si="399"/>
        <v>0</v>
      </c>
      <c r="D1371">
        <f t="shared" si="400"/>
        <v>1</v>
      </c>
      <c r="E1371" t="s">
        <v>344</v>
      </c>
      <c r="F1371" t="s">
        <v>667</v>
      </c>
      <c r="G1371" s="1">
        <v>23897</v>
      </c>
      <c r="H1371" s="2">
        <f t="shared" ca="1" si="401"/>
        <v>61</v>
      </c>
      <c r="I1371" s="2">
        <f t="shared" ca="1" si="402"/>
        <v>0.51428571428571423</v>
      </c>
      <c r="J1371" t="s">
        <v>45</v>
      </c>
      <c r="K1371" t="s">
        <v>37</v>
      </c>
      <c r="L1371">
        <f t="shared" si="403"/>
        <v>1</v>
      </c>
      <c r="M1371">
        <f t="shared" si="404"/>
        <v>0</v>
      </c>
      <c r="N1371">
        <f t="shared" si="405"/>
        <v>0</v>
      </c>
      <c r="O1371" t="s">
        <v>137</v>
      </c>
      <c r="P1371">
        <f t="shared" si="406"/>
        <v>0</v>
      </c>
      <c r="Q1371">
        <f t="shared" si="407"/>
        <v>0</v>
      </c>
      <c r="R1371">
        <f t="shared" si="408"/>
        <v>0</v>
      </c>
      <c r="S1371">
        <f t="shared" si="409"/>
        <v>0</v>
      </c>
      <c r="T1371">
        <f t="shared" si="410"/>
        <v>0</v>
      </c>
      <c r="U1371">
        <f t="shared" si="411"/>
        <v>0</v>
      </c>
      <c r="V1371">
        <f t="shared" si="412"/>
        <v>0</v>
      </c>
      <c r="W1371" t="s">
        <v>58</v>
      </c>
      <c r="X1371">
        <f t="shared" si="413"/>
        <v>0</v>
      </c>
      <c r="Y1371">
        <f t="shared" si="414"/>
        <v>1</v>
      </c>
      <c r="Z1371">
        <v>1</v>
      </c>
      <c r="AA1371">
        <f t="shared" si="415"/>
        <v>0</v>
      </c>
      <c r="AB1371" t="s">
        <v>46</v>
      </c>
      <c r="AC1371">
        <f t="shared" si="416"/>
        <v>1</v>
      </c>
      <c r="AD1371">
        <f t="shared" si="417"/>
        <v>0</v>
      </c>
      <c r="AE1371" t="s">
        <v>50</v>
      </c>
      <c r="AF1371">
        <f>IF(AE1371="website",1,0)</f>
        <v>0</v>
      </c>
    </row>
    <row r="1372" spans="1:32">
      <c r="A1372" t="s">
        <v>2020</v>
      </c>
      <c r="B1372" t="s">
        <v>33</v>
      </c>
      <c r="C1372" s="3">
        <f t="shared" si="399"/>
        <v>0</v>
      </c>
      <c r="D1372">
        <f t="shared" si="400"/>
        <v>1</v>
      </c>
      <c r="E1372" t="s">
        <v>997</v>
      </c>
      <c r="F1372" t="s">
        <v>1041</v>
      </c>
      <c r="G1372" s="1">
        <v>32678</v>
      </c>
      <c r="H1372" s="2">
        <f t="shared" ca="1" si="401"/>
        <v>37</v>
      </c>
      <c r="I1372" s="2">
        <f t="shared" ca="1" si="402"/>
        <v>0.17142857142857143</v>
      </c>
      <c r="J1372" t="s">
        <v>45</v>
      </c>
      <c r="K1372" t="s">
        <v>248</v>
      </c>
      <c r="L1372">
        <f t="shared" si="403"/>
        <v>0</v>
      </c>
      <c r="M1372">
        <f t="shared" si="404"/>
        <v>0</v>
      </c>
      <c r="N1372">
        <f t="shared" si="405"/>
        <v>0</v>
      </c>
      <c r="O1372" t="s">
        <v>582</v>
      </c>
      <c r="P1372">
        <f t="shared" si="406"/>
        <v>0</v>
      </c>
      <c r="Q1372">
        <f t="shared" si="407"/>
        <v>0</v>
      </c>
      <c r="R1372">
        <f t="shared" si="408"/>
        <v>0</v>
      </c>
      <c r="S1372">
        <f t="shared" si="409"/>
        <v>0</v>
      </c>
      <c r="T1372">
        <f t="shared" si="410"/>
        <v>0</v>
      </c>
      <c r="U1372">
        <f t="shared" si="411"/>
        <v>0</v>
      </c>
      <c r="V1372">
        <f t="shared" si="412"/>
        <v>0</v>
      </c>
      <c r="W1372" t="s">
        <v>39</v>
      </c>
      <c r="X1372">
        <f t="shared" si="413"/>
        <v>1</v>
      </c>
      <c r="Y1372">
        <f t="shared" si="414"/>
        <v>0</v>
      </c>
      <c r="Z1372">
        <v>2</v>
      </c>
      <c r="AA1372">
        <f t="shared" si="415"/>
        <v>0.25</v>
      </c>
      <c r="AB1372" t="s">
        <v>40</v>
      </c>
      <c r="AC1372">
        <f t="shared" si="416"/>
        <v>0</v>
      </c>
      <c r="AD1372">
        <f t="shared" si="417"/>
        <v>0</v>
      </c>
      <c r="AE1372" t="s">
        <v>41</v>
      </c>
      <c r="AF1372">
        <f>IF(AE1372="website",1,0)</f>
        <v>1</v>
      </c>
    </row>
    <row r="1373" spans="1:32">
      <c r="A1373" t="s">
        <v>2021</v>
      </c>
      <c r="B1373" t="s">
        <v>33</v>
      </c>
      <c r="C1373" s="3">
        <f t="shared" si="399"/>
        <v>0</v>
      </c>
      <c r="D1373">
        <f t="shared" si="400"/>
        <v>1</v>
      </c>
      <c r="E1373" t="s">
        <v>845</v>
      </c>
      <c r="F1373" t="s">
        <v>430</v>
      </c>
      <c r="G1373" s="1">
        <v>29911</v>
      </c>
      <c r="H1373" s="2">
        <f t="shared" ca="1" si="401"/>
        <v>44</v>
      </c>
      <c r="I1373" s="2">
        <f t="shared" ca="1" si="402"/>
        <v>0.27142857142857141</v>
      </c>
      <c r="J1373" t="s">
        <v>36</v>
      </c>
      <c r="K1373" t="s">
        <v>37</v>
      </c>
      <c r="L1373">
        <f t="shared" si="403"/>
        <v>1</v>
      </c>
      <c r="M1373">
        <f t="shared" si="404"/>
        <v>0</v>
      </c>
      <c r="N1373">
        <f t="shared" si="405"/>
        <v>0</v>
      </c>
      <c r="O1373" t="s">
        <v>565</v>
      </c>
      <c r="P1373">
        <f t="shared" si="406"/>
        <v>0</v>
      </c>
      <c r="Q1373">
        <f t="shared" si="407"/>
        <v>0</v>
      </c>
      <c r="R1373">
        <f t="shared" si="408"/>
        <v>0</v>
      </c>
      <c r="S1373">
        <f t="shared" si="409"/>
        <v>0</v>
      </c>
      <c r="T1373">
        <f t="shared" si="410"/>
        <v>0</v>
      </c>
      <c r="U1373">
        <f t="shared" si="411"/>
        <v>0</v>
      </c>
      <c r="V1373">
        <f t="shared" si="412"/>
        <v>0</v>
      </c>
      <c r="W1373" t="s">
        <v>58</v>
      </c>
      <c r="X1373">
        <f t="shared" si="413"/>
        <v>0</v>
      </c>
      <c r="Y1373">
        <f t="shared" si="414"/>
        <v>1</v>
      </c>
      <c r="Z1373">
        <v>2</v>
      </c>
      <c r="AA1373">
        <f t="shared" si="415"/>
        <v>0.25</v>
      </c>
      <c r="AB1373" t="s">
        <v>46</v>
      </c>
      <c r="AC1373">
        <f t="shared" si="416"/>
        <v>0</v>
      </c>
      <c r="AD1373">
        <f t="shared" si="417"/>
        <v>0</v>
      </c>
      <c r="AE1373" t="s">
        <v>41</v>
      </c>
      <c r="AF1373">
        <f>IF(AE1373="website",1,0)</f>
        <v>1</v>
      </c>
    </row>
    <row r="1374" spans="1:32">
      <c r="A1374" t="s">
        <v>2022</v>
      </c>
      <c r="B1374" t="s">
        <v>33</v>
      </c>
      <c r="C1374" s="3">
        <f t="shared" si="399"/>
        <v>0</v>
      </c>
      <c r="D1374">
        <f t="shared" si="400"/>
        <v>1</v>
      </c>
      <c r="E1374" t="s">
        <v>776</v>
      </c>
      <c r="F1374" t="s">
        <v>667</v>
      </c>
      <c r="G1374" s="1">
        <v>33888</v>
      </c>
      <c r="H1374" s="2">
        <f t="shared" ca="1" si="401"/>
        <v>33</v>
      </c>
      <c r="I1374" s="2">
        <f t="shared" ca="1" si="402"/>
        <v>0.11428571428571428</v>
      </c>
      <c r="J1374" t="s">
        <v>36</v>
      </c>
      <c r="K1374" t="s">
        <v>37</v>
      </c>
      <c r="L1374">
        <f t="shared" si="403"/>
        <v>1</v>
      </c>
      <c r="M1374">
        <f t="shared" si="404"/>
        <v>0</v>
      </c>
      <c r="N1374">
        <f t="shared" si="405"/>
        <v>0</v>
      </c>
      <c r="O1374" t="s">
        <v>38</v>
      </c>
      <c r="P1374">
        <f t="shared" si="406"/>
        <v>1</v>
      </c>
      <c r="Q1374">
        <f t="shared" si="407"/>
        <v>0</v>
      </c>
      <c r="R1374">
        <f t="shared" si="408"/>
        <v>0</v>
      </c>
      <c r="S1374">
        <f t="shared" si="409"/>
        <v>0</v>
      </c>
      <c r="T1374">
        <f t="shared" si="410"/>
        <v>0</v>
      </c>
      <c r="U1374">
        <f t="shared" si="411"/>
        <v>0</v>
      </c>
      <c r="V1374">
        <f t="shared" si="412"/>
        <v>0</v>
      </c>
      <c r="W1374" t="s">
        <v>39</v>
      </c>
      <c r="X1374">
        <f t="shared" si="413"/>
        <v>1</v>
      </c>
      <c r="Y1374">
        <f t="shared" si="414"/>
        <v>0</v>
      </c>
      <c r="Z1374">
        <v>3</v>
      </c>
      <c r="AA1374">
        <f t="shared" si="415"/>
        <v>0.5</v>
      </c>
      <c r="AB1374" t="s">
        <v>40</v>
      </c>
      <c r="AC1374">
        <f t="shared" si="416"/>
        <v>0</v>
      </c>
      <c r="AD1374">
        <f t="shared" si="417"/>
        <v>0</v>
      </c>
      <c r="AE1374" t="s">
        <v>41</v>
      </c>
      <c r="AF1374">
        <f>IF(AE1374="website",1,0)</f>
        <v>1</v>
      </c>
    </row>
    <row r="1375" spans="1:32">
      <c r="A1375" t="s">
        <v>2023</v>
      </c>
      <c r="B1375" t="s">
        <v>55</v>
      </c>
      <c r="C1375" s="3">
        <f t="shared" si="399"/>
        <v>1</v>
      </c>
      <c r="D1375">
        <f t="shared" si="400"/>
        <v>0</v>
      </c>
      <c r="E1375" t="s">
        <v>1405</v>
      </c>
      <c r="F1375" t="s">
        <v>57</v>
      </c>
      <c r="G1375" s="1">
        <v>32898</v>
      </c>
      <c r="H1375" s="2">
        <f t="shared" ca="1" si="401"/>
        <v>36</v>
      </c>
      <c r="I1375" s="2">
        <f t="shared" ca="1" si="402"/>
        <v>0.15714285714285714</v>
      </c>
      <c r="J1375" t="s">
        <v>45</v>
      </c>
      <c r="K1375" t="s">
        <v>626</v>
      </c>
      <c r="L1375">
        <f t="shared" si="403"/>
        <v>0</v>
      </c>
      <c r="M1375">
        <f t="shared" si="404"/>
        <v>0</v>
      </c>
      <c r="N1375">
        <f t="shared" si="405"/>
        <v>0</v>
      </c>
      <c r="O1375" t="s">
        <v>627</v>
      </c>
      <c r="P1375">
        <f t="shared" si="406"/>
        <v>0</v>
      </c>
      <c r="Q1375">
        <f t="shared" si="407"/>
        <v>0</v>
      </c>
      <c r="R1375">
        <f t="shared" si="408"/>
        <v>0</v>
      </c>
      <c r="S1375">
        <f t="shared" si="409"/>
        <v>0</v>
      </c>
      <c r="T1375">
        <f t="shared" si="410"/>
        <v>0</v>
      </c>
      <c r="U1375">
        <f t="shared" si="411"/>
        <v>0</v>
      </c>
      <c r="V1375">
        <f t="shared" si="412"/>
        <v>0</v>
      </c>
      <c r="W1375" t="s">
        <v>39</v>
      </c>
      <c r="X1375">
        <f t="shared" si="413"/>
        <v>1</v>
      </c>
      <c r="Y1375">
        <f t="shared" si="414"/>
        <v>0</v>
      </c>
      <c r="Z1375">
        <v>3</v>
      </c>
      <c r="AA1375">
        <f t="shared" si="415"/>
        <v>0.5</v>
      </c>
      <c r="AB1375" t="s">
        <v>40</v>
      </c>
      <c r="AC1375">
        <f t="shared" si="416"/>
        <v>1</v>
      </c>
      <c r="AD1375">
        <f t="shared" si="417"/>
        <v>0</v>
      </c>
      <c r="AE1375" t="s">
        <v>50</v>
      </c>
      <c r="AF1375">
        <f>IF(AE1375="website",1,0)</f>
        <v>0</v>
      </c>
    </row>
    <row r="1376" spans="1:32">
      <c r="A1376" t="s">
        <v>2024</v>
      </c>
      <c r="B1376" t="s">
        <v>33</v>
      </c>
      <c r="C1376" s="3">
        <f t="shared" si="399"/>
        <v>0</v>
      </c>
      <c r="D1376">
        <f t="shared" si="400"/>
        <v>1</v>
      </c>
      <c r="E1376" t="s">
        <v>551</v>
      </c>
      <c r="F1376" t="s">
        <v>882</v>
      </c>
      <c r="G1376" s="1">
        <v>26625</v>
      </c>
      <c r="H1376" s="2">
        <f t="shared" ca="1" si="401"/>
        <v>53</v>
      </c>
      <c r="I1376" s="2">
        <f t="shared" ca="1" si="402"/>
        <v>0.4</v>
      </c>
      <c r="J1376" t="s">
        <v>36</v>
      </c>
      <c r="K1376" t="s">
        <v>37</v>
      </c>
      <c r="L1376">
        <f t="shared" si="403"/>
        <v>1</v>
      </c>
      <c r="M1376">
        <f t="shared" si="404"/>
        <v>0</v>
      </c>
      <c r="N1376">
        <f t="shared" si="405"/>
        <v>0</v>
      </c>
      <c r="O1376" t="s">
        <v>38</v>
      </c>
      <c r="P1376">
        <f t="shared" si="406"/>
        <v>1</v>
      </c>
      <c r="Q1376">
        <f t="shared" si="407"/>
        <v>0</v>
      </c>
      <c r="R1376">
        <f t="shared" si="408"/>
        <v>0</v>
      </c>
      <c r="S1376">
        <f t="shared" si="409"/>
        <v>0</v>
      </c>
      <c r="T1376">
        <f t="shared" si="410"/>
        <v>0</v>
      </c>
      <c r="U1376">
        <f t="shared" si="411"/>
        <v>0</v>
      </c>
      <c r="V1376">
        <f t="shared" si="412"/>
        <v>0</v>
      </c>
      <c r="W1376" t="s">
        <v>58</v>
      </c>
      <c r="X1376">
        <f t="shared" si="413"/>
        <v>0</v>
      </c>
      <c r="Y1376">
        <f t="shared" si="414"/>
        <v>1</v>
      </c>
      <c r="Z1376">
        <v>4</v>
      </c>
      <c r="AA1376">
        <f t="shared" si="415"/>
        <v>0.75</v>
      </c>
      <c r="AB1376" t="s">
        <v>40</v>
      </c>
      <c r="AC1376">
        <f t="shared" si="416"/>
        <v>1</v>
      </c>
      <c r="AD1376">
        <f t="shared" si="417"/>
        <v>0</v>
      </c>
      <c r="AE1376" t="s">
        <v>50</v>
      </c>
      <c r="AF1376">
        <f>IF(AE1376="website",1,0)</f>
        <v>0</v>
      </c>
    </row>
    <row r="1377" spans="1:32">
      <c r="A1377" t="s">
        <v>2025</v>
      </c>
      <c r="B1377" t="s">
        <v>33</v>
      </c>
      <c r="C1377" s="3">
        <f t="shared" si="399"/>
        <v>0</v>
      </c>
      <c r="D1377">
        <f t="shared" si="400"/>
        <v>1</v>
      </c>
      <c r="E1377" t="s">
        <v>551</v>
      </c>
      <c r="F1377" t="s">
        <v>308</v>
      </c>
      <c r="G1377" s="1">
        <v>31951</v>
      </c>
      <c r="H1377" s="2">
        <f t="shared" ca="1" si="401"/>
        <v>39</v>
      </c>
      <c r="I1377" s="2">
        <f t="shared" ca="1" si="402"/>
        <v>0.2</v>
      </c>
      <c r="J1377" t="s">
        <v>36</v>
      </c>
      <c r="K1377" t="s">
        <v>37</v>
      </c>
      <c r="L1377">
        <f t="shared" si="403"/>
        <v>1</v>
      </c>
      <c r="M1377">
        <f t="shared" si="404"/>
        <v>0</v>
      </c>
      <c r="N1377">
        <f t="shared" si="405"/>
        <v>0</v>
      </c>
      <c r="O1377" t="s">
        <v>97</v>
      </c>
      <c r="P1377">
        <f t="shared" si="406"/>
        <v>0</v>
      </c>
      <c r="Q1377">
        <f t="shared" si="407"/>
        <v>0</v>
      </c>
      <c r="R1377">
        <f t="shared" si="408"/>
        <v>0</v>
      </c>
      <c r="S1377">
        <f t="shared" si="409"/>
        <v>0</v>
      </c>
      <c r="T1377">
        <f t="shared" si="410"/>
        <v>1</v>
      </c>
      <c r="U1377">
        <f t="shared" si="411"/>
        <v>0</v>
      </c>
      <c r="V1377">
        <f t="shared" si="412"/>
        <v>0</v>
      </c>
      <c r="W1377" t="s">
        <v>58</v>
      </c>
      <c r="X1377">
        <f t="shared" si="413"/>
        <v>0</v>
      </c>
      <c r="Y1377">
        <f t="shared" si="414"/>
        <v>1</v>
      </c>
      <c r="Z1377">
        <v>3</v>
      </c>
      <c r="AA1377">
        <f t="shared" si="415"/>
        <v>0.5</v>
      </c>
      <c r="AB1377" t="s">
        <v>40</v>
      </c>
      <c r="AC1377">
        <f t="shared" si="416"/>
        <v>1</v>
      </c>
      <c r="AD1377">
        <f t="shared" si="417"/>
        <v>0</v>
      </c>
      <c r="AE1377" t="s">
        <v>50</v>
      </c>
      <c r="AF1377">
        <f>IF(AE1377="website",1,0)</f>
        <v>0</v>
      </c>
    </row>
    <row r="1378" spans="1:32">
      <c r="A1378" t="s">
        <v>2026</v>
      </c>
      <c r="B1378" t="s">
        <v>33</v>
      </c>
      <c r="C1378" s="3">
        <f t="shared" si="399"/>
        <v>0</v>
      </c>
      <c r="D1378">
        <f t="shared" si="400"/>
        <v>1</v>
      </c>
      <c r="E1378" t="s">
        <v>584</v>
      </c>
      <c r="F1378" t="s">
        <v>738</v>
      </c>
      <c r="G1378" s="1">
        <v>30685</v>
      </c>
      <c r="H1378" s="2">
        <f t="shared" ca="1" si="401"/>
        <v>42</v>
      </c>
      <c r="I1378" s="2">
        <f t="shared" ca="1" si="402"/>
        <v>0.24285714285714285</v>
      </c>
      <c r="J1378" t="s">
        <v>36</v>
      </c>
      <c r="K1378" t="s">
        <v>37</v>
      </c>
      <c r="L1378">
        <f t="shared" si="403"/>
        <v>1</v>
      </c>
      <c r="M1378">
        <f t="shared" si="404"/>
        <v>0</v>
      </c>
      <c r="N1378">
        <f t="shared" si="405"/>
        <v>0</v>
      </c>
      <c r="O1378" t="s">
        <v>183</v>
      </c>
      <c r="P1378">
        <f t="shared" si="406"/>
        <v>0</v>
      </c>
      <c r="Q1378">
        <f t="shared" si="407"/>
        <v>0</v>
      </c>
      <c r="R1378">
        <f t="shared" si="408"/>
        <v>0</v>
      </c>
      <c r="S1378">
        <f t="shared" si="409"/>
        <v>0</v>
      </c>
      <c r="T1378">
        <f t="shared" si="410"/>
        <v>0</v>
      </c>
      <c r="U1378">
        <f t="shared" si="411"/>
        <v>0</v>
      </c>
      <c r="V1378">
        <f t="shared" si="412"/>
        <v>0</v>
      </c>
      <c r="W1378" t="s">
        <v>58</v>
      </c>
      <c r="X1378">
        <f t="shared" si="413"/>
        <v>0</v>
      </c>
      <c r="Y1378">
        <f t="shared" si="414"/>
        <v>1</v>
      </c>
      <c r="Z1378">
        <v>2</v>
      </c>
      <c r="AA1378">
        <f t="shared" si="415"/>
        <v>0.25</v>
      </c>
      <c r="AB1378" t="s">
        <v>46</v>
      </c>
      <c r="AC1378">
        <f t="shared" si="416"/>
        <v>0</v>
      </c>
      <c r="AD1378">
        <f t="shared" si="417"/>
        <v>0</v>
      </c>
      <c r="AE1378" t="s">
        <v>41</v>
      </c>
      <c r="AF1378">
        <f>IF(AE1378="website",1,0)</f>
        <v>1</v>
      </c>
    </row>
    <row r="1379" spans="1:32">
      <c r="A1379" t="s">
        <v>2027</v>
      </c>
      <c r="B1379" t="s">
        <v>33</v>
      </c>
      <c r="C1379" s="3">
        <f t="shared" si="399"/>
        <v>0</v>
      </c>
      <c r="D1379">
        <f t="shared" si="400"/>
        <v>1</v>
      </c>
      <c r="E1379" t="s">
        <v>847</v>
      </c>
      <c r="F1379" t="s">
        <v>730</v>
      </c>
      <c r="G1379" s="1">
        <v>28083</v>
      </c>
      <c r="H1379" s="2">
        <f t="shared" ca="1" si="401"/>
        <v>49</v>
      </c>
      <c r="I1379" s="2">
        <f t="shared" ca="1" si="402"/>
        <v>0.34285714285714286</v>
      </c>
      <c r="J1379" t="s">
        <v>36</v>
      </c>
      <c r="K1379" t="s">
        <v>37</v>
      </c>
      <c r="L1379">
        <f t="shared" si="403"/>
        <v>1</v>
      </c>
      <c r="M1379">
        <f t="shared" si="404"/>
        <v>0</v>
      </c>
      <c r="N1379">
        <f t="shared" si="405"/>
        <v>0</v>
      </c>
      <c r="O1379" t="s">
        <v>38</v>
      </c>
      <c r="P1379">
        <f t="shared" si="406"/>
        <v>1</v>
      </c>
      <c r="Q1379">
        <f t="shared" si="407"/>
        <v>0</v>
      </c>
      <c r="R1379">
        <f t="shared" si="408"/>
        <v>0</v>
      </c>
      <c r="S1379">
        <f t="shared" si="409"/>
        <v>0</v>
      </c>
      <c r="T1379">
        <f t="shared" si="410"/>
        <v>0</v>
      </c>
      <c r="U1379">
        <f t="shared" si="411"/>
        <v>0</v>
      </c>
      <c r="V1379">
        <f t="shared" si="412"/>
        <v>0</v>
      </c>
      <c r="W1379" t="s">
        <v>58</v>
      </c>
      <c r="X1379">
        <f t="shared" si="413"/>
        <v>0</v>
      </c>
      <c r="Y1379">
        <f t="shared" si="414"/>
        <v>1</v>
      </c>
      <c r="Z1379">
        <v>1</v>
      </c>
      <c r="AA1379">
        <f t="shared" si="415"/>
        <v>0</v>
      </c>
      <c r="AB1379" t="s">
        <v>46</v>
      </c>
      <c r="AC1379">
        <f t="shared" si="416"/>
        <v>0</v>
      </c>
      <c r="AD1379">
        <f t="shared" si="417"/>
        <v>0</v>
      </c>
      <c r="AE1379" t="s">
        <v>41</v>
      </c>
      <c r="AF1379">
        <f>IF(AE1379="website",1,0)</f>
        <v>1</v>
      </c>
    </row>
    <row r="1380" spans="1:32">
      <c r="A1380" t="s">
        <v>2028</v>
      </c>
      <c r="B1380" t="s">
        <v>33</v>
      </c>
      <c r="C1380" s="3">
        <f t="shared" si="399"/>
        <v>0</v>
      </c>
      <c r="D1380">
        <f t="shared" si="400"/>
        <v>1</v>
      </c>
      <c r="E1380" t="s">
        <v>191</v>
      </c>
      <c r="F1380" t="s">
        <v>656</v>
      </c>
      <c r="G1380" s="1">
        <v>25730</v>
      </c>
      <c r="H1380" s="2">
        <f t="shared" ca="1" si="401"/>
        <v>56</v>
      </c>
      <c r="I1380" s="2">
        <f t="shared" ca="1" si="402"/>
        <v>0.44285714285714284</v>
      </c>
      <c r="J1380" t="s">
        <v>45</v>
      </c>
      <c r="K1380" t="s">
        <v>248</v>
      </c>
      <c r="L1380">
        <f t="shared" si="403"/>
        <v>0</v>
      </c>
      <c r="M1380">
        <f t="shared" si="404"/>
        <v>0</v>
      </c>
      <c r="N1380">
        <f t="shared" si="405"/>
        <v>0</v>
      </c>
      <c r="O1380" t="s">
        <v>411</v>
      </c>
      <c r="P1380">
        <f t="shared" si="406"/>
        <v>0</v>
      </c>
      <c r="Q1380">
        <f t="shared" si="407"/>
        <v>0</v>
      </c>
      <c r="R1380">
        <f t="shared" si="408"/>
        <v>0</v>
      </c>
      <c r="S1380">
        <f t="shared" si="409"/>
        <v>0</v>
      </c>
      <c r="T1380">
        <f t="shared" si="410"/>
        <v>0</v>
      </c>
      <c r="U1380">
        <f t="shared" si="411"/>
        <v>0</v>
      </c>
      <c r="V1380">
        <f t="shared" si="412"/>
        <v>0</v>
      </c>
      <c r="W1380" t="s">
        <v>39</v>
      </c>
      <c r="X1380">
        <f t="shared" si="413"/>
        <v>1</v>
      </c>
      <c r="Y1380">
        <f t="shared" si="414"/>
        <v>0</v>
      </c>
      <c r="Z1380">
        <v>2</v>
      </c>
      <c r="AA1380">
        <f t="shared" si="415"/>
        <v>0.25</v>
      </c>
      <c r="AB1380" t="s">
        <v>46</v>
      </c>
      <c r="AC1380">
        <f t="shared" si="416"/>
        <v>0</v>
      </c>
      <c r="AD1380">
        <f t="shared" si="417"/>
        <v>0</v>
      </c>
      <c r="AE1380" t="s">
        <v>41</v>
      </c>
      <c r="AF1380">
        <f>IF(AE1380="website",1,0)</f>
        <v>1</v>
      </c>
    </row>
    <row r="1381" spans="1:32">
      <c r="A1381" t="s">
        <v>2029</v>
      </c>
      <c r="B1381" t="s">
        <v>33</v>
      </c>
      <c r="C1381" s="3">
        <f t="shared" si="399"/>
        <v>0</v>
      </c>
      <c r="D1381">
        <f t="shared" si="400"/>
        <v>1</v>
      </c>
      <c r="E1381" t="s">
        <v>419</v>
      </c>
      <c r="F1381" t="s">
        <v>716</v>
      </c>
      <c r="G1381" s="1">
        <v>18186</v>
      </c>
      <c r="H1381" s="2">
        <f t="shared" ca="1" si="401"/>
        <v>76</v>
      </c>
      <c r="I1381" s="2">
        <f t="shared" ca="1" si="402"/>
        <v>0.72857142857142854</v>
      </c>
      <c r="J1381" t="s">
        <v>45</v>
      </c>
      <c r="K1381" t="s">
        <v>65</v>
      </c>
      <c r="L1381">
        <f t="shared" si="403"/>
        <v>0</v>
      </c>
      <c r="M1381">
        <f t="shared" si="404"/>
        <v>1</v>
      </c>
      <c r="N1381">
        <f t="shared" si="405"/>
        <v>0</v>
      </c>
      <c r="O1381" t="s">
        <v>843</v>
      </c>
      <c r="P1381">
        <f t="shared" si="406"/>
        <v>0</v>
      </c>
      <c r="Q1381">
        <f t="shared" si="407"/>
        <v>0</v>
      </c>
      <c r="R1381">
        <f t="shared" si="408"/>
        <v>0</v>
      </c>
      <c r="S1381">
        <f t="shared" si="409"/>
        <v>0</v>
      </c>
      <c r="T1381">
        <f t="shared" si="410"/>
        <v>0</v>
      </c>
      <c r="U1381">
        <f t="shared" si="411"/>
        <v>0</v>
      </c>
      <c r="V1381">
        <f t="shared" si="412"/>
        <v>0</v>
      </c>
      <c r="W1381" t="s">
        <v>58</v>
      </c>
      <c r="X1381">
        <f t="shared" si="413"/>
        <v>0</v>
      </c>
      <c r="Y1381">
        <f t="shared" si="414"/>
        <v>1</v>
      </c>
      <c r="Z1381">
        <v>4</v>
      </c>
      <c r="AA1381">
        <f t="shared" si="415"/>
        <v>0.75</v>
      </c>
      <c r="AB1381" t="s">
        <v>46</v>
      </c>
      <c r="AC1381">
        <f t="shared" si="416"/>
        <v>0</v>
      </c>
      <c r="AD1381">
        <f t="shared" si="417"/>
        <v>0</v>
      </c>
      <c r="AE1381" t="s">
        <v>41</v>
      </c>
      <c r="AF1381">
        <f>IF(AE1381="website",1,0)</f>
        <v>1</v>
      </c>
    </row>
    <row r="1382" spans="1:32">
      <c r="A1382" t="s">
        <v>2030</v>
      </c>
      <c r="B1382" t="s">
        <v>33</v>
      </c>
      <c r="C1382" s="3">
        <f t="shared" si="399"/>
        <v>0</v>
      </c>
      <c r="D1382">
        <f t="shared" si="400"/>
        <v>1</v>
      </c>
      <c r="E1382" t="s">
        <v>1060</v>
      </c>
      <c r="F1382" t="s">
        <v>856</v>
      </c>
      <c r="G1382" s="1">
        <v>22813</v>
      </c>
      <c r="H1382" s="2">
        <f t="shared" ca="1" si="401"/>
        <v>64</v>
      </c>
      <c r="I1382" s="2">
        <f t="shared" ca="1" si="402"/>
        <v>0.55714285714285716</v>
      </c>
      <c r="J1382" t="s">
        <v>45</v>
      </c>
      <c r="K1382" t="s">
        <v>113</v>
      </c>
      <c r="L1382">
        <f t="shared" si="403"/>
        <v>0</v>
      </c>
      <c r="M1382">
        <f t="shared" si="404"/>
        <v>0</v>
      </c>
      <c r="N1382">
        <f t="shared" si="405"/>
        <v>1</v>
      </c>
      <c r="O1382" t="s">
        <v>891</v>
      </c>
      <c r="P1382">
        <f t="shared" si="406"/>
        <v>0</v>
      </c>
      <c r="Q1382">
        <f t="shared" si="407"/>
        <v>0</v>
      </c>
      <c r="R1382">
        <f t="shared" si="408"/>
        <v>0</v>
      </c>
      <c r="S1382">
        <f t="shared" si="409"/>
        <v>0</v>
      </c>
      <c r="T1382">
        <f t="shared" si="410"/>
        <v>0</v>
      </c>
      <c r="U1382">
        <f t="shared" si="411"/>
        <v>0</v>
      </c>
      <c r="V1382">
        <f t="shared" si="412"/>
        <v>0</v>
      </c>
      <c r="W1382" t="s">
        <v>39</v>
      </c>
      <c r="X1382">
        <f t="shared" si="413"/>
        <v>1</v>
      </c>
      <c r="Y1382">
        <f t="shared" si="414"/>
        <v>0</v>
      </c>
      <c r="Z1382">
        <v>3</v>
      </c>
      <c r="AA1382">
        <f t="shared" si="415"/>
        <v>0.5</v>
      </c>
      <c r="AB1382" t="s">
        <v>40</v>
      </c>
      <c r="AC1382">
        <f t="shared" si="416"/>
        <v>0</v>
      </c>
      <c r="AD1382">
        <f t="shared" si="417"/>
        <v>0</v>
      </c>
      <c r="AE1382" t="s">
        <v>41</v>
      </c>
      <c r="AF1382">
        <f>IF(AE1382="website",1,0)</f>
        <v>1</v>
      </c>
    </row>
    <row r="1383" spans="1:32">
      <c r="A1383" t="s">
        <v>2031</v>
      </c>
      <c r="B1383" t="s">
        <v>33</v>
      </c>
      <c r="C1383" s="3">
        <f t="shared" si="399"/>
        <v>0</v>
      </c>
      <c r="D1383">
        <f t="shared" si="400"/>
        <v>1</v>
      </c>
      <c r="E1383" t="s">
        <v>1070</v>
      </c>
      <c r="F1383" t="s">
        <v>659</v>
      </c>
      <c r="G1383" s="1">
        <v>18767</v>
      </c>
      <c r="H1383" s="2">
        <f t="shared" ca="1" si="401"/>
        <v>75</v>
      </c>
      <c r="I1383" s="2">
        <f t="shared" ca="1" si="402"/>
        <v>0.7142857142857143</v>
      </c>
      <c r="J1383" t="s">
        <v>45</v>
      </c>
      <c r="K1383" t="s">
        <v>37</v>
      </c>
      <c r="L1383">
        <f t="shared" si="403"/>
        <v>1</v>
      </c>
      <c r="M1383">
        <f t="shared" si="404"/>
        <v>0</v>
      </c>
      <c r="N1383">
        <f t="shared" si="405"/>
        <v>0</v>
      </c>
      <c r="O1383" t="s">
        <v>76</v>
      </c>
      <c r="P1383">
        <f t="shared" si="406"/>
        <v>0</v>
      </c>
      <c r="Q1383">
        <f t="shared" si="407"/>
        <v>1</v>
      </c>
      <c r="R1383">
        <f t="shared" si="408"/>
        <v>0</v>
      </c>
      <c r="S1383">
        <f t="shared" si="409"/>
        <v>0</v>
      </c>
      <c r="T1383">
        <f t="shared" si="410"/>
        <v>0</v>
      </c>
      <c r="U1383">
        <f t="shared" si="411"/>
        <v>0</v>
      </c>
      <c r="V1383">
        <f t="shared" si="412"/>
        <v>0</v>
      </c>
      <c r="W1383" t="s">
        <v>39</v>
      </c>
      <c r="X1383">
        <f t="shared" si="413"/>
        <v>1</v>
      </c>
      <c r="Y1383">
        <f t="shared" si="414"/>
        <v>0</v>
      </c>
      <c r="Z1383">
        <v>2</v>
      </c>
      <c r="AA1383">
        <f t="shared" si="415"/>
        <v>0.25</v>
      </c>
      <c r="AB1383" t="s">
        <v>46</v>
      </c>
      <c r="AC1383">
        <f t="shared" si="416"/>
        <v>0</v>
      </c>
      <c r="AD1383">
        <f t="shared" si="417"/>
        <v>0</v>
      </c>
      <c r="AE1383" t="s">
        <v>41</v>
      </c>
      <c r="AF1383">
        <f>IF(AE1383="website",1,0)</f>
        <v>1</v>
      </c>
    </row>
    <row r="1384" spans="1:32">
      <c r="A1384" t="s">
        <v>2032</v>
      </c>
      <c r="B1384" t="s">
        <v>33</v>
      </c>
      <c r="C1384" s="3">
        <f t="shared" si="399"/>
        <v>0</v>
      </c>
      <c r="D1384">
        <f t="shared" si="400"/>
        <v>1</v>
      </c>
      <c r="E1384" t="s">
        <v>815</v>
      </c>
      <c r="F1384" t="s">
        <v>620</v>
      </c>
      <c r="G1384" s="1">
        <v>33919</v>
      </c>
      <c r="H1384" s="2">
        <f t="shared" ca="1" si="401"/>
        <v>33</v>
      </c>
      <c r="I1384" s="2">
        <f t="shared" ca="1" si="402"/>
        <v>0.11428571428571428</v>
      </c>
      <c r="J1384" t="s">
        <v>45</v>
      </c>
      <c r="K1384" t="s">
        <v>37</v>
      </c>
      <c r="L1384">
        <f t="shared" si="403"/>
        <v>1</v>
      </c>
      <c r="M1384">
        <f t="shared" si="404"/>
        <v>0</v>
      </c>
      <c r="N1384">
        <f t="shared" si="405"/>
        <v>0</v>
      </c>
      <c r="O1384" t="s">
        <v>38</v>
      </c>
      <c r="P1384">
        <f t="shared" si="406"/>
        <v>1</v>
      </c>
      <c r="Q1384">
        <f t="shared" si="407"/>
        <v>0</v>
      </c>
      <c r="R1384">
        <f t="shared" si="408"/>
        <v>0</v>
      </c>
      <c r="S1384">
        <f t="shared" si="409"/>
        <v>0</v>
      </c>
      <c r="T1384">
        <f t="shared" si="410"/>
        <v>0</v>
      </c>
      <c r="U1384">
        <f t="shared" si="411"/>
        <v>0</v>
      </c>
      <c r="V1384">
        <f t="shared" si="412"/>
        <v>0</v>
      </c>
      <c r="W1384" t="s">
        <v>39</v>
      </c>
      <c r="X1384">
        <f t="shared" si="413"/>
        <v>1</v>
      </c>
      <c r="Y1384">
        <f t="shared" si="414"/>
        <v>0</v>
      </c>
      <c r="Z1384">
        <v>2</v>
      </c>
      <c r="AA1384">
        <f t="shared" si="415"/>
        <v>0.25</v>
      </c>
      <c r="AB1384" t="s">
        <v>46</v>
      </c>
      <c r="AC1384">
        <f t="shared" si="416"/>
        <v>1</v>
      </c>
      <c r="AD1384">
        <f t="shared" si="417"/>
        <v>0</v>
      </c>
      <c r="AE1384" t="s">
        <v>50</v>
      </c>
      <c r="AF1384">
        <f>IF(AE1384="website",1,0)</f>
        <v>0</v>
      </c>
    </row>
    <row r="1385" spans="1:32">
      <c r="A1385" t="s">
        <v>2033</v>
      </c>
      <c r="B1385" t="s">
        <v>33</v>
      </c>
      <c r="C1385" s="3">
        <f t="shared" si="399"/>
        <v>0</v>
      </c>
      <c r="D1385">
        <f t="shared" si="400"/>
        <v>1</v>
      </c>
      <c r="E1385" t="s">
        <v>548</v>
      </c>
      <c r="F1385" t="s">
        <v>796</v>
      </c>
      <c r="G1385" s="1">
        <v>32212</v>
      </c>
      <c r="H1385" s="2">
        <f t="shared" ca="1" si="401"/>
        <v>38</v>
      </c>
      <c r="I1385" s="2">
        <f t="shared" ca="1" si="402"/>
        <v>0.18571428571428572</v>
      </c>
      <c r="J1385" t="s">
        <v>36</v>
      </c>
      <c r="K1385" t="s">
        <v>37</v>
      </c>
      <c r="L1385">
        <f t="shared" si="403"/>
        <v>1</v>
      </c>
      <c r="M1385">
        <f t="shared" si="404"/>
        <v>0</v>
      </c>
      <c r="N1385">
        <f t="shared" si="405"/>
        <v>0</v>
      </c>
      <c r="O1385" t="s">
        <v>38</v>
      </c>
      <c r="P1385">
        <f t="shared" si="406"/>
        <v>1</v>
      </c>
      <c r="Q1385">
        <f t="shared" si="407"/>
        <v>0</v>
      </c>
      <c r="R1385">
        <f t="shared" si="408"/>
        <v>0</v>
      </c>
      <c r="S1385">
        <f t="shared" si="409"/>
        <v>0</v>
      </c>
      <c r="T1385">
        <f t="shared" si="410"/>
        <v>0</v>
      </c>
      <c r="U1385">
        <f t="shared" si="411"/>
        <v>0</v>
      </c>
      <c r="V1385">
        <f t="shared" si="412"/>
        <v>0</v>
      </c>
      <c r="W1385" t="s">
        <v>39</v>
      </c>
      <c r="X1385">
        <f t="shared" si="413"/>
        <v>1</v>
      </c>
      <c r="Y1385">
        <f t="shared" si="414"/>
        <v>0</v>
      </c>
      <c r="Z1385">
        <v>2</v>
      </c>
      <c r="AA1385">
        <f t="shared" si="415"/>
        <v>0.25</v>
      </c>
      <c r="AB1385" t="s">
        <v>40</v>
      </c>
      <c r="AC1385">
        <f t="shared" si="416"/>
        <v>1</v>
      </c>
      <c r="AD1385">
        <f t="shared" si="417"/>
        <v>0</v>
      </c>
      <c r="AE1385" t="s">
        <v>50</v>
      </c>
      <c r="AF1385">
        <f>IF(AE1385="website",1,0)</f>
        <v>0</v>
      </c>
    </row>
    <row r="1386" spans="1:32">
      <c r="A1386" t="s">
        <v>2034</v>
      </c>
      <c r="B1386" t="s">
        <v>33</v>
      </c>
      <c r="C1386" s="3">
        <f t="shared" si="399"/>
        <v>0</v>
      </c>
      <c r="D1386">
        <f t="shared" si="400"/>
        <v>1</v>
      </c>
      <c r="E1386" t="s">
        <v>719</v>
      </c>
      <c r="F1386" t="s">
        <v>703</v>
      </c>
      <c r="G1386" s="1">
        <v>16954</v>
      </c>
      <c r="H1386" s="2">
        <f t="shared" ca="1" si="401"/>
        <v>80</v>
      </c>
      <c r="I1386" s="2">
        <f t="shared" ca="1" si="402"/>
        <v>0.7857142857142857</v>
      </c>
      <c r="J1386" t="s">
        <v>45</v>
      </c>
      <c r="K1386" t="s">
        <v>37</v>
      </c>
      <c r="L1386">
        <f t="shared" si="403"/>
        <v>1</v>
      </c>
      <c r="M1386">
        <f t="shared" si="404"/>
        <v>0</v>
      </c>
      <c r="N1386">
        <f t="shared" si="405"/>
        <v>0</v>
      </c>
      <c r="O1386" t="s">
        <v>38</v>
      </c>
      <c r="P1386">
        <f t="shared" si="406"/>
        <v>1</v>
      </c>
      <c r="Q1386">
        <f t="shared" si="407"/>
        <v>0</v>
      </c>
      <c r="R1386">
        <f t="shared" si="408"/>
        <v>0</v>
      </c>
      <c r="S1386">
        <f t="shared" si="409"/>
        <v>0</v>
      </c>
      <c r="T1386">
        <f t="shared" si="410"/>
        <v>0</v>
      </c>
      <c r="U1386">
        <f t="shared" si="411"/>
        <v>0</v>
      </c>
      <c r="V1386">
        <f t="shared" si="412"/>
        <v>0</v>
      </c>
      <c r="W1386" t="s">
        <v>39</v>
      </c>
      <c r="X1386">
        <f t="shared" si="413"/>
        <v>1</v>
      </c>
      <c r="Y1386">
        <f t="shared" si="414"/>
        <v>0</v>
      </c>
      <c r="Z1386">
        <v>1</v>
      </c>
      <c r="AA1386">
        <f t="shared" si="415"/>
        <v>0</v>
      </c>
      <c r="AB1386" t="s">
        <v>46</v>
      </c>
      <c r="AC1386">
        <f t="shared" si="416"/>
        <v>1</v>
      </c>
      <c r="AD1386">
        <f t="shared" si="417"/>
        <v>0</v>
      </c>
      <c r="AE1386" t="s">
        <v>50</v>
      </c>
      <c r="AF1386">
        <f>IF(AE1386="website",1,0)</f>
        <v>0</v>
      </c>
    </row>
    <row r="1387" spans="1:32">
      <c r="A1387" t="s">
        <v>2035</v>
      </c>
      <c r="B1387" t="s">
        <v>33</v>
      </c>
      <c r="C1387" s="3">
        <f t="shared" si="399"/>
        <v>0</v>
      </c>
      <c r="D1387">
        <f t="shared" si="400"/>
        <v>1</v>
      </c>
      <c r="E1387" t="s">
        <v>1125</v>
      </c>
      <c r="F1387" t="s">
        <v>339</v>
      </c>
      <c r="G1387" s="1">
        <v>17402</v>
      </c>
      <c r="H1387" s="2">
        <f t="shared" ca="1" si="401"/>
        <v>79</v>
      </c>
      <c r="I1387" s="2">
        <f t="shared" ca="1" si="402"/>
        <v>0.77142857142857146</v>
      </c>
      <c r="J1387" t="s">
        <v>45</v>
      </c>
      <c r="K1387" t="s">
        <v>37</v>
      </c>
      <c r="L1387">
        <f t="shared" si="403"/>
        <v>1</v>
      </c>
      <c r="M1387">
        <f t="shared" si="404"/>
        <v>0</v>
      </c>
      <c r="N1387">
        <f t="shared" si="405"/>
        <v>0</v>
      </c>
      <c r="O1387" t="s">
        <v>565</v>
      </c>
      <c r="P1387">
        <f t="shared" si="406"/>
        <v>0</v>
      </c>
      <c r="Q1387">
        <f t="shared" si="407"/>
        <v>0</v>
      </c>
      <c r="R1387">
        <f t="shared" si="408"/>
        <v>0</v>
      </c>
      <c r="S1387">
        <f t="shared" si="409"/>
        <v>0</v>
      </c>
      <c r="T1387">
        <f t="shared" si="410"/>
        <v>0</v>
      </c>
      <c r="U1387">
        <f t="shared" si="411"/>
        <v>0</v>
      </c>
      <c r="V1387">
        <f t="shared" si="412"/>
        <v>0</v>
      </c>
      <c r="W1387" t="s">
        <v>39</v>
      </c>
      <c r="X1387">
        <f t="shared" si="413"/>
        <v>1</v>
      </c>
      <c r="Y1387">
        <f t="shared" si="414"/>
        <v>0</v>
      </c>
      <c r="Z1387">
        <v>4</v>
      </c>
      <c r="AA1387">
        <f t="shared" si="415"/>
        <v>0.75</v>
      </c>
      <c r="AB1387" t="s">
        <v>40</v>
      </c>
      <c r="AC1387">
        <f t="shared" si="416"/>
        <v>0</v>
      </c>
      <c r="AD1387">
        <f t="shared" si="417"/>
        <v>0</v>
      </c>
      <c r="AE1387" t="s">
        <v>41</v>
      </c>
      <c r="AF1387">
        <f>IF(AE1387="website",1,0)</f>
        <v>1</v>
      </c>
    </row>
    <row r="1388" spans="1:32">
      <c r="A1388" t="s">
        <v>2036</v>
      </c>
      <c r="B1388" t="s">
        <v>33</v>
      </c>
      <c r="C1388" s="3">
        <f t="shared" si="399"/>
        <v>0</v>
      </c>
      <c r="D1388">
        <f t="shared" si="400"/>
        <v>1</v>
      </c>
      <c r="E1388" t="s">
        <v>609</v>
      </c>
      <c r="F1388" t="s">
        <v>885</v>
      </c>
      <c r="G1388" s="1">
        <v>15853</v>
      </c>
      <c r="H1388" s="2">
        <f t="shared" ca="1" si="401"/>
        <v>83</v>
      </c>
      <c r="I1388" s="2">
        <f t="shared" ca="1" si="402"/>
        <v>0.82857142857142863</v>
      </c>
      <c r="J1388" t="s">
        <v>45</v>
      </c>
      <c r="K1388" t="s">
        <v>113</v>
      </c>
      <c r="L1388">
        <f t="shared" si="403"/>
        <v>0</v>
      </c>
      <c r="M1388">
        <f t="shared" si="404"/>
        <v>0</v>
      </c>
      <c r="N1388">
        <f t="shared" si="405"/>
        <v>1</v>
      </c>
      <c r="O1388" t="s">
        <v>675</v>
      </c>
      <c r="P1388">
        <f t="shared" si="406"/>
        <v>0</v>
      </c>
      <c r="Q1388">
        <f t="shared" si="407"/>
        <v>0</v>
      </c>
      <c r="R1388">
        <f t="shared" si="408"/>
        <v>0</v>
      </c>
      <c r="S1388">
        <f t="shared" si="409"/>
        <v>0</v>
      </c>
      <c r="T1388">
        <f t="shared" si="410"/>
        <v>0</v>
      </c>
      <c r="U1388">
        <f t="shared" si="411"/>
        <v>0</v>
      </c>
      <c r="V1388">
        <f t="shared" si="412"/>
        <v>0</v>
      </c>
      <c r="W1388" t="s">
        <v>58</v>
      </c>
      <c r="X1388">
        <f t="shared" si="413"/>
        <v>0</v>
      </c>
      <c r="Y1388">
        <f t="shared" si="414"/>
        <v>1</v>
      </c>
      <c r="Z1388">
        <v>4</v>
      </c>
      <c r="AA1388">
        <f t="shared" si="415"/>
        <v>0.75</v>
      </c>
      <c r="AB1388" t="s">
        <v>46</v>
      </c>
      <c r="AC1388">
        <f t="shared" si="416"/>
        <v>0</v>
      </c>
      <c r="AD1388">
        <f t="shared" si="417"/>
        <v>0</v>
      </c>
      <c r="AE1388" t="s">
        <v>41</v>
      </c>
      <c r="AF1388">
        <f>IF(AE1388="website",1,0)</f>
        <v>1</v>
      </c>
    </row>
    <row r="1389" spans="1:32">
      <c r="A1389" t="s">
        <v>2037</v>
      </c>
      <c r="B1389" t="s">
        <v>33</v>
      </c>
      <c r="C1389" s="3">
        <f t="shared" si="399"/>
        <v>0</v>
      </c>
      <c r="D1389">
        <f t="shared" si="400"/>
        <v>1</v>
      </c>
      <c r="E1389" t="s">
        <v>578</v>
      </c>
      <c r="F1389" t="s">
        <v>691</v>
      </c>
      <c r="G1389" s="1">
        <v>36270</v>
      </c>
      <c r="H1389" s="2">
        <f t="shared" ca="1" si="401"/>
        <v>27</v>
      </c>
      <c r="I1389" s="2">
        <f t="shared" ca="1" si="402"/>
        <v>2.8571428571428571E-2</v>
      </c>
      <c r="J1389" t="s">
        <v>36</v>
      </c>
      <c r="K1389" t="s">
        <v>37</v>
      </c>
      <c r="L1389">
        <f t="shared" si="403"/>
        <v>1</v>
      </c>
      <c r="M1389">
        <f t="shared" si="404"/>
        <v>0</v>
      </c>
      <c r="N1389">
        <f t="shared" si="405"/>
        <v>0</v>
      </c>
      <c r="O1389" t="s">
        <v>565</v>
      </c>
      <c r="P1389">
        <f t="shared" si="406"/>
        <v>0</v>
      </c>
      <c r="Q1389">
        <f t="shared" si="407"/>
        <v>0</v>
      </c>
      <c r="R1389">
        <f t="shared" si="408"/>
        <v>0</v>
      </c>
      <c r="S1389">
        <f t="shared" si="409"/>
        <v>0</v>
      </c>
      <c r="T1389">
        <f t="shared" si="410"/>
        <v>0</v>
      </c>
      <c r="U1389">
        <f t="shared" si="411"/>
        <v>0</v>
      </c>
      <c r="V1389">
        <f t="shared" si="412"/>
        <v>0</v>
      </c>
      <c r="W1389" t="s">
        <v>39</v>
      </c>
      <c r="X1389">
        <f t="shared" si="413"/>
        <v>1</v>
      </c>
      <c r="Y1389">
        <f t="shared" si="414"/>
        <v>0</v>
      </c>
      <c r="Z1389">
        <v>3</v>
      </c>
      <c r="AA1389">
        <f t="shared" si="415"/>
        <v>0.5</v>
      </c>
      <c r="AB1389" t="s">
        <v>46</v>
      </c>
      <c r="AC1389">
        <f t="shared" si="416"/>
        <v>0</v>
      </c>
      <c r="AD1389">
        <f t="shared" si="417"/>
        <v>0</v>
      </c>
      <c r="AE1389" t="s">
        <v>41</v>
      </c>
      <c r="AF1389">
        <f>IF(AE1389="website",1,0)</f>
        <v>1</v>
      </c>
    </row>
    <row r="1390" spans="1:32">
      <c r="A1390" t="s">
        <v>2038</v>
      </c>
      <c r="B1390" t="s">
        <v>33</v>
      </c>
      <c r="C1390" s="3">
        <f t="shared" si="399"/>
        <v>0</v>
      </c>
      <c r="D1390">
        <f t="shared" si="400"/>
        <v>1</v>
      </c>
      <c r="E1390" t="s">
        <v>700</v>
      </c>
      <c r="F1390" t="s">
        <v>748</v>
      </c>
      <c r="G1390" s="1">
        <v>19178</v>
      </c>
      <c r="H1390" s="2">
        <f t="shared" ca="1" si="401"/>
        <v>74</v>
      </c>
      <c r="I1390" s="2">
        <f t="shared" ca="1" si="402"/>
        <v>0.7</v>
      </c>
      <c r="J1390" t="s">
        <v>45</v>
      </c>
      <c r="K1390" t="s">
        <v>248</v>
      </c>
      <c r="L1390">
        <f t="shared" si="403"/>
        <v>0</v>
      </c>
      <c r="M1390">
        <f t="shared" si="404"/>
        <v>0</v>
      </c>
      <c r="N1390">
        <f t="shared" si="405"/>
        <v>0</v>
      </c>
      <c r="O1390" t="s">
        <v>411</v>
      </c>
      <c r="P1390">
        <f t="shared" si="406"/>
        <v>0</v>
      </c>
      <c r="Q1390">
        <f t="shared" si="407"/>
        <v>0</v>
      </c>
      <c r="R1390">
        <f t="shared" si="408"/>
        <v>0</v>
      </c>
      <c r="S1390">
        <f t="shared" si="409"/>
        <v>0</v>
      </c>
      <c r="T1390">
        <f t="shared" si="410"/>
        <v>0</v>
      </c>
      <c r="U1390">
        <f t="shared" si="411"/>
        <v>0</v>
      </c>
      <c r="V1390">
        <f t="shared" si="412"/>
        <v>0</v>
      </c>
      <c r="W1390" t="s">
        <v>39</v>
      </c>
      <c r="X1390">
        <f t="shared" si="413"/>
        <v>1</v>
      </c>
      <c r="Y1390">
        <f t="shared" si="414"/>
        <v>0</v>
      </c>
      <c r="Z1390">
        <v>2</v>
      </c>
      <c r="AA1390">
        <f t="shared" si="415"/>
        <v>0.25</v>
      </c>
      <c r="AB1390" t="s">
        <v>46</v>
      </c>
      <c r="AC1390">
        <f t="shared" si="416"/>
        <v>0</v>
      </c>
      <c r="AD1390">
        <f t="shared" si="417"/>
        <v>0</v>
      </c>
      <c r="AE1390" t="s">
        <v>41</v>
      </c>
      <c r="AF1390">
        <f>IF(AE1390="website",1,0)</f>
        <v>1</v>
      </c>
    </row>
    <row r="1391" spans="1:32">
      <c r="A1391" t="s">
        <v>2039</v>
      </c>
      <c r="B1391" t="s">
        <v>33</v>
      </c>
      <c r="C1391" s="3">
        <f t="shared" si="399"/>
        <v>0</v>
      </c>
      <c r="D1391">
        <f t="shared" si="400"/>
        <v>1</v>
      </c>
      <c r="E1391" t="s">
        <v>639</v>
      </c>
      <c r="F1391" t="s">
        <v>1041</v>
      </c>
      <c r="G1391" s="1">
        <v>29057</v>
      </c>
      <c r="H1391" s="2">
        <f t="shared" ca="1" si="401"/>
        <v>47</v>
      </c>
      <c r="I1391" s="2">
        <f t="shared" ca="1" si="402"/>
        <v>0.31428571428571428</v>
      </c>
      <c r="J1391" t="s">
        <v>36</v>
      </c>
      <c r="K1391" t="s">
        <v>37</v>
      </c>
      <c r="L1391">
        <f t="shared" si="403"/>
        <v>1</v>
      </c>
      <c r="M1391">
        <f t="shared" si="404"/>
        <v>0</v>
      </c>
      <c r="N1391">
        <f t="shared" si="405"/>
        <v>0</v>
      </c>
      <c r="O1391" t="s">
        <v>124</v>
      </c>
      <c r="P1391">
        <f t="shared" si="406"/>
        <v>0</v>
      </c>
      <c r="Q1391">
        <f t="shared" si="407"/>
        <v>0</v>
      </c>
      <c r="R1391">
        <f t="shared" si="408"/>
        <v>0</v>
      </c>
      <c r="S1391">
        <f t="shared" si="409"/>
        <v>0</v>
      </c>
      <c r="T1391">
        <f t="shared" si="410"/>
        <v>0</v>
      </c>
      <c r="U1391">
        <f t="shared" si="411"/>
        <v>1</v>
      </c>
      <c r="V1391">
        <f t="shared" si="412"/>
        <v>0</v>
      </c>
      <c r="W1391" t="s">
        <v>39</v>
      </c>
      <c r="X1391">
        <f t="shared" si="413"/>
        <v>1</v>
      </c>
      <c r="Y1391">
        <f t="shared" si="414"/>
        <v>0</v>
      </c>
      <c r="Z1391">
        <v>3</v>
      </c>
      <c r="AA1391">
        <f t="shared" si="415"/>
        <v>0.5</v>
      </c>
      <c r="AB1391" t="s">
        <v>46</v>
      </c>
      <c r="AC1391">
        <f t="shared" si="416"/>
        <v>0</v>
      </c>
      <c r="AD1391">
        <f t="shared" si="417"/>
        <v>0</v>
      </c>
      <c r="AE1391" t="s">
        <v>41</v>
      </c>
      <c r="AF1391">
        <f>IF(AE1391="website",1,0)</f>
        <v>1</v>
      </c>
    </row>
    <row r="1392" spans="1:32">
      <c r="A1392" t="s">
        <v>2040</v>
      </c>
      <c r="B1392" t="s">
        <v>33</v>
      </c>
      <c r="C1392" s="3">
        <f t="shared" si="399"/>
        <v>0</v>
      </c>
      <c r="D1392">
        <f t="shared" si="400"/>
        <v>1</v>
      </c>
      <c r="E1392" t="s">
        <v>839</v>
      </c>
      <c r="F1392" t="s">
        <v>623</v>
      </c>
      <c r="G1392" s="1">
        <v>27094</v>
      </c>
      <c r="H1392" s="2">
        <f t="shared" ca="1" si="401"/>
        <v>52</v>
      </c>
      <c r="I1392" s="2">
        <f t="shared" ca="1" si="402"/>
        <v>0.38571428571428573</v>
      </c>
      <c r="J1392" t="s">
        <v>36</v>
      </c>
      <c r="K1392" t="s">
        <v>37</v>
      </c>
      <c r="L1392">
        <f t="shared" si="403"/>
        <v>1</v>
      </c>
      <c r="M1392">
        <f t="shared" si="404"/>
        <v>0</v>
      </c>
      <c r="N1392">
        <f t="shared" si="405"/>
        <v>0</v>
      </c>
      <c r="O1392" t="s">
        <v>183</v>
      </c>
      <c r="P1392">
        <f t="shared" si="406"/>
        <v>0</v>
      </c>
      <c r="Q1392">
        <f t="shared" si="407"/>
        <v>0</v>
      </c>
      <c r="R1392">
        <f t="shared" si="408"/>
        <v>0</v>
      </c>
      <c r="S1392">
        <f t="shared" si="409"/>
        <v>0</v>
      </c>
      <c r="T1392">
        <f t="shared" si="410"/>
        <v>0</v>
      </c>
      <c r="U1392">
        <f t="shared" si="411"/>
        <v>0</v>
      </c>
      <c r="V1392">
        <f t="shared" si="412"/>
        <v>0</v>
      </c>
      <c r="W1392" t="s">
        <v>39</v>
      </c>
      <c r="X1392">
        <f t="shared" si="413"/>
        <v>1</v>
      </c>
      <c r="Y1392">
        <f t="shared" si="414"/>
        <v>0</v>
      </c>
      <c r="Z1392">
        <v>1</v>
      </c>
      <c r="AA1392">
        <f t="shared" si="415"/>
        <v>0</v>
      </c>
      <c r="AB1392" t="s">
        <v>46</v>
      </c>
      <c r="AC1392">
        <f t="shared" si="416"/>
        <v>0</v>
      </c>
      <c r="AD1392">
        <f t="shared" si="417"/>
        <v>0</v>
      </c>
      <c r="AE1392" t="s">
        <v>41</v>
      </c>
      <c r="AF1392">
        <f>IF(AE1392="website",1,0)</f>
        <v>1</v>
      </c>
    </row>
    <row r="1393" spans="1:32">
      <c r="A1393" t="s">
        <v>2041</v>
      </c>
      <c r="B1393" t="s">
        <v>33</v>
      </c>
      <c r="C1393" s="3">
        <f t="shared" si="399"/>
        <v>0</v>
      </c>
      <c r="D1393">
        <f t="shared" si="400"/>
        <v>1</v>
      </c>
      <c r="E1393" t="s">
        <v>609</v>
      </c>
      <c r="F1393" t="s">
        <v>616</v>
      </c>
      <c r="G1393" s="1">
        <v>33029</v>
      </c>
      <c r="H1393" s="2">
        <f t="shared" ca="1" si="401"/>
        <v>36</v>
      </c>
      <c r="I1393" s="2">
        <f t="shared" ca="1" si="402"/>
        <v>0.15714285714285714</v>
      </c>
      <c r="J1393" t="s">
        <v>45</v>
      </c>
      <c r="K1393" t="s">
        <v>37</v>
      </c>
      <c r="L1393">
        <f t="shared" si="403"/>
        <v>1</v>
      </c>
      <c r="M1393">
        <f t="shared" si="404"/>
        <v>0</v>
      </c>
      <c r="N1393">
        <f t="shared" si="405"/>
        <v>0</v>
      </c>
      <c r="O1393" t="s">
        <v>137</v>
      </c>
      <c r="P1393">
        <f t="shared" si="406"/>
        <v>0</v>
      </c>
      <c r="Q1393">
        <f t="shared" si="407"/>
        <v>0</v>
      </c>
      <c r="R1393">
        <f t="shared" si="408"/>
        <v>0</v>
      </c>
      <c r="S1393">
        <f t="shared" si="409"/>
        <v>0</v>
      </c>
      <c r="T1393">
        <f t="shared" si="410"/>
        <v>0</v>
      </c>
      <c r="U1393">
        <f t="shared" si="411"/>
        <v>0</v>
      </c>
      <c r="V1393">
        <f t="shared" si="412"/>
        <v>0</v>
      </c>
      <c r="W1393" t="s">
        <v>39</v>
      </c>
      <c r="X1393">
        <f t="shared" si="413"/>
        <v>1</v>
      </c>
      <c r="Y1393">
        <f t="shared" si="414"/>
        <v>0</v>
      </c>
      <c r="Z1393">
        <v>4</v>
      </c>
      <c r="AA1393">
        <f t="shared" si="415"/>
        <v>0.75</v>
      </c>
      <c r="AB1393" t="s">
        <v>40</v>
      </c>
      <c r="AC1393">
        <f t="shared" si="416"/>
        <v>1</v>
      </c>
      <c r="AD1393">
        <f t="shared" si="417"/>
        <v>0</v>
      </c>
      <c r="AE1393" t="s">
        <v>50</v>
      </c>
      <c r="AF1393">
        <f>IF(AE1393="website",1,0)</f>
        <v>0</v>
      </c>
    </row>
    <row r="1394" spans="1:32">
      <c r="A1394" t="s">
        <v>2042</v>
      </c>
      <c r="B1394" t="s">
        <v>33</v>
      </c>
      <c r="C1394" s="3">
        <f t="shared" si="399"/>
        <v>0</v>
      </c>
      <c r="D1394">
        <f t="shared" si="400"/>
        <v>1</v>
      </c>
      <c r="E1394" t="s">
        <v>305</v>
      </c>
      <c r="F1394" t="s">
        <v>364</v>
      </c>
      <c r="G1394" s="1">
        <v>29776</v>
      </c>
      <c r="H1394" s="2">
        <f t="shared" ca="1" si="401"/>
        <v>45</v>
      </c>
      <c r="I1394" s="2">
        <f t="shared" ca="1" si="402"/>
        <v>0.2857142857142857</v>
      </c>
      <c r="J1394" t="s">
        <v>36</v>
      </c>
      <c r="K1394" t="s">
        <v>158</v>
      </c>
      <c r="L1394">
        <f t="shared" si="403"/>
        <v>0</v>
      </c>
      <c r="M1394">
        <f t="shared" si="404"/>
        <v>0</v>
      </c>
      <c r="N1394">
        <f t="shared" si="405"/>
        <v>0</v>
      </c>
      <c r="O1394" t="s">
        <v>867</v>
      </c>
      <c r="P1394">
        <f t="shared" si="406"/>
        <v>0</v>
      </c>
      <c r="Q1394">
        <f t="shared" si="407"/>
        <v>0</v>
      </c>
      <c r="R1394">
        <f t="shared" si="408"/>
        <v>0</v>
      </c>
      <c r="S1394">
        <f t="shared" si="409"/>
        <v>0</v>
      </c>
      <c r="T1394">
        <f t="shared" si="410"/>
        <v>0</v>
      </c>
      <c r="U1394">
        <f t="shared" si="411"/>
        <v>0</v>
      </c>
      <c r="V1394">
        <f t="shared" si="412"/>
        <v>0</v>
      </c>
      <c r="W1394" t="s">
        <v>58</v>
      </c>
      <c r="X1394">
        <f t="shared" si="413"/>
        <v>0</v>
      </c>
      <c r="Y1394">
        <f t="shared" si="414"/>
        <v>1</v>
      </c>
      <c r="Z1394">
        <v>1</v>
      </c>
      <c r="AA1394">
        <f t="shared" si="415"/>
        <v>0</v>
      </c>
      <c r="AB1394" t="s">
        <v>46</v>
      </c>
      <c r="AC1394">
        <f t="shared" si="416"/>
        <v>1</v>
      </c>
      <c r="AD1394">
        <f t="shared" si="417"/>
        <v>0</v>
      </c>
      <c r="AE1394" t="s">
        <v>50</v>
      </c>
      <c r="AF1394">
        <f>IF(AE1394="website",1,0)</f>
        <v>0</v>
      </c>
    </row>
    <row r="1395" spans="1:32">
      <c r="A1395" t="s">
        <v>2043</v>
      </c>
      <c r="B1395" t="s">
        <v>33</v>
      </c>
      <c r="C1395" s="3">
        <f t="shared" si="399"/>
        <v>0</v>
      </c>
      <c r="D1395">
        <f t="shared" si="400"/>
        <v>1</v>
      </c>
      <c r="E1395" t="s">
        <v>1010</v>
      </c>
      <c r="F1395" t="s">
        <v>513</v>
      </c>
      <c r="G1395" s="1">
        <v>28182</v>
      </c>
      <c r="H1395" s="2">
        <f t="shared" ca="1" si="401"/>
        <v>49</v>
      </c>
      <c r="I1395" s="2">
        <f t="shared" ca="1" si="402"/>
        <v>0.34285714285714286</v>
      </c>
      <c r="J1395" t="s">
        <v>36</v>
      </c>
      <c r="K1395" t="s">
        <v>37</v>
      </c>
      <c r="L1395">
        <f t="shared" si="403"/>
        <v>1</v>
      </c>
      <c r="M1395">
        <f t="shared" si="404"/>
        <v>0</v>
      </c>
      <c r="N1395">
        <f t="shared" si="405"/>
        <v>0</v>
      </c>
      <c r="O1395" t="s">
        <v>124</v>
      </c>
      <c r="P1395">
        <f t="shared" si="406"/>
        <v>0</v>
      </c>
      <c r="Q1395">
        <f t="shared" si="407"/>
        <v>0</v>
      </c>
      <c r="R1395">
        <f t="shared" si="408"/>
        <v>0</v>
      </c>
      <c r="S1395">
        <f t="shared" si="409"/>
        <v>0</v>
      </c>
      <c r="T1395">
        <f t="shared" si="410"/>
        <v>0</v>
      </c>
      <c r="U1395">
        <f t="shared" si="411"/>
        <v>1</v>
      </c>
      <c r="V1395">
        <f t="shared" si="412"/>
        <v>0</v>
      </c>
      <c r="W1395" t="s">
        <v>39</v>
      </c>
      <c r="X1395">
        <f t="shared" si="413"/>
        <v>1</v>
      </c>
      <c r="Y1395">
        <f t="shared" si="414"/>
        <v>0</v>
      </c>
      <c r="Z1395">
        <v>4</v>
      </c>
      <c r="AA1395">
        <f t="shared" si="415"/>
        <v>0.75</v>
      </c>
      <c r="AB1395" t="s">
        <v>46</v>
      </c>
      <c r="AC1395">
        <f t="shared" si="416"/>
        <v>0</v>
      </c>
      <c r="AD1395">
        <f t="shared" si="417"/>
        <v>0</v>
      </c>
      <c r="AE1395" t="s">
        <v>41</v>
      </c>
      <c r="AF1395">
        <f>IF(AE1395="website",1,0)</f>
        <v>1</v>
      </c>
    </row>
    <row r="1396" spans="1:32">
      <c r="A1396" t="s">
        <v>2044</v>
      </c>
      <c r="B1396" t="s">
        <v>33</v>
      </c>
      <c r="C1396" s="3">
        <f t="shared" si="399"/>
        <v>0</v>
      </c>
      <c r="D1396">
        <f t="shared" si="400"/>
        <v>1</v>
      </c>
      <c r="E1396" t="s">
        <v>712</v>
      </c>
      <c r="F1396" t="s">
        <v>623</v>
      </c>
      <c r="G1396" s="1">
        <v>32413</v>
      </c>
      <c r="H1396" s="2">
        <f t="shared" ca="1" si="401"/>
        <v>38</v>
      </c>
      <c r="I1396" s="2">
        <f t="shared" ca="1" si="402"/>
        <v>0.18571428571428572</v>
      </c>
      <c r="J1396" t="s">
        <v>36</v>
      </c>
      <c r="K1396" t="s">
        <v>65</v>
      </c>
      <c r="L1396">
        <f t="shared" si="403"/>
        <v>0</v>
      </c>
      <c r="M1396">
        <f t="shared" si="404"/>
        <v>1</v>
      </c>
      <c r="N1396">
        <f t="shared" si="405"/>
        <v>0</v>
      </c>
      <c r="O1396" t="s">
        <v>843</v>
      </c>
      <c r="P1396">
        <f t="shared" si="406"/>
        <v>0</v>
      </c>
      <c r="Q1396">
        <f t="shared" si="407"/>
        <v>0</v>
      </c>
      <c r="R1396">
        <f t="shared" si="408"/>
        <v>0</v>
      </c>
      <c r="S1396">
        <f t="shared" si="409"/>
        <v>0</v>
      </c>
      <c r="T1396">
        <f t="shared" si="410"/>
        <v>0</v>
      </c>
      <c r="U1396">
        <f t="shared" si="411"/>
        <v>0</v>
      </c>
      <c r="V1396">
        <f t="shared" si="412"/>
        <v>0</v>
      </c>
      <c r="W1396" t="s">
        <v>58</v>
      </c>
      <c r="X1396">
        <f t="shared" si="413"/>
        <v>0</v>
      </c>
      <c r="Y1396">
        <f t="shared" si="414"/>
        <v>1</v>
      </c>
      <c r="Z1396">
        <v>4</v>
      </c>
      <c r="AA1396">
        <f t="shared" si="415"/>
        <v>0.75</v>
      </c>
      <c r="AB1396" t="s">
        <v>46</v>
      </c>
      <c r="AC1396">
        <f t="shared" si="416"/>
        <v>0</v>
      </c>
      <c r="AD1396">
        <f t="shared" si="417"/>
        <v>0</v>
      </c>
      <c r="AE1396" t="s">
        <v>41</v>
      </c>
      <c r="AF1396">
        <f>IF(AE1396="website",1,0)</f>
        <v>1</v>
      </c>
    </row>
    <row r="1397" spans="1:32">
      <c r="A1397" t="s">
        <v>2045</v>
      </c>
      <c r="B1397" t="s">
        <v>33</v>
      </c>
      <c r="C1397" s="3">
        <f t="shared" si="399"/>
        <v>0</v>
      </c>
      <c r="D1397">
        <f t="shared" si="400"/>
        <v>1</v>
      </c>
      <c r="E1397" t="s">
        <v>972</v>
      </c>
      <c r="F1397" t="s">
        <v>674</v>
      </c>
      <c r="G1397" s="1">
        <v>26086</v>
      </c>
      <c r="H1397" s="2">
        <f t="shared" ca="1" si="401"/>
        <v>55</v>
      </c>
      <c r="I1397" s="2">
        <f t="shared" ca="1" si="402"/>
        <v>0.42857142857142855</v>
      </c>
      <c r="J1397" t="s">
        <v>45</v>
      </c>
      <c r="K1397" t="s">
        <v>65</v>
      </c>
      <c r="L1397">
        <f t="shared" si="403"/>
        <v>0</v>
      </c>
      <c r="M1397">
        <f t="shared" si="404"/>
        <v>1</v>
      </c>
      <c r="N1397">
        <f t="shared" si="405"/>
        <v>0</v>
      </c>
      <c r="O1397" t="s">
        <v>723</v>
      </c>
      <c r="P1397">
        <f t="shared" si="406"/>
        <v>0</v>
      </c>
      <c r="Q1397">
        <f t="shared" si="407"/>
        <v>0</v>
      </c>
      <c r="R1397">
        <f t="shared" si="408"/>
        <v>0</v>
      </c>
      <c r="S1397">
        <f t="shared" si="409"/>
        <v>0</v>
      </c>
      <c r="T1397">
        <f t="shared" si="410"/>
        <v>0</v>
      </c>
      <c r="U1397">
        <f t="shared" si="411"/>
        <v>0</v>
      </c>
      <c r="V1397">
        <f t="shared" si="412"/>
        <v>0</v>
      </c>
      <c r="W1397" t="s">
        <v>58</v>
      </c>
      <c r="X1397">
        <f t="shared" si="413"/>
        <v>0</v>
      </c>
      <c r="Y1397">
        <f t="shared" si="414"/>
        <v>1</v>
      </c>
      <c r="Z1397">
        <v>3</v>
      </c>
      <c r="AA1397">
        <f t="shared" si="415"/>
        <v>0.5</v>
      </c>
      <c r="AB1397" t="s">
        <v>40</v>
      </c>
      <c r="AC1397">
        <f t="shared" si="416"/>
        <v>0</v>
      </c>
      <c r="AD1397">
        <f t="shared" si="417"/>
        <v>0</v>
      </c>
      <c r="AE1397" t="s">
        <v>41</v>
      </c>
      <c r="AF1397">
        <f>IF(AE1397="website",1,0)</f>
        <v>1</v>
      </c>
    </row>
    <row r="1398" spans="1:32">
      <c r="A1398" t="s">
        <v>2046</v>
      </c>
      <c r="B1398" t="s">
        <v>33</v>
      </c>
      <c r="C1398" s="3">
        <f t="shared" si="399"/>
        <v>0</v>
      </c>
      <c r="D1398">
        <f t="shared" si="400"/>
        <v>1</v>
      </c>
      <c r="E1398" t="s">
        <v>637</v>
      </c>
      <c r="F1398" t="s">
        <v>585</v>
      </c>
      <c r="G1398" s="1">
        <v>30385</v>
      </c>
      <c r="H1398" s="2">
        <f t="shared" ca="1" si="401"/>
        <v>43</v>
      </c>
      <c r="I1398" s="2">
        <f t="shared" ca="1" si="402"/>
        <v>0.25714285714285712</v>
      </c>
      <c r="J1398" t="s">
        <v>36</v>
      </c>
      <c r="K1398" t="s">
        <v>37</v>
      </c>
      <c r="L1398">
        <f t="shared" si="403"/>
        <v>1</v>
      </c>
      <c r="M1398">
        <f t="shared" si="404"/>
        <v>0</v>
      </c>
      <c r="N1398">
        <f t="shared" si="405"/>
        <v>0</v>
      </c>
      <c r="O1398" t="s">
        <v>124</v>
      </c>
      <c r="P1398">
        <f t="shared" si="406"/>
        <v>0</v>
      </c>
      <c r="Q1398">
        <f t="shared" si="407"/>
        <v>0</v>
      </c>
      <c r="R1398">
        <f t="shared" si="408"/>
        <v>0</v>
      </c>
      <c r="S1398">
        <f t="shared" si="409"/>
        <v>0</v>
      </c>
      <c r="T1398">
        <f t="shared" si="410"/>
        <v>0</v>
      </c>
      <c r="U1398">
        <f t="shared" si="411"/>
        <v>1</v>
      </c>
      <c r="V1398">
        <f t="shared" si="412"/>
        <v>0</v>
      </c>
      <c r="W1398" t="s">
        <v>39</v>
      </c>
      <c r="X1398">
        <f t="shared" si="413"/>
        <v>1</v>
      </c>
      <c r="Y1398">
        <f t="shared" si="414"/>
        <v>0</v>
      </c>
      <c r="Z1398">
        <v>4</v>
      </c>
      <c r="AA1398">
        <f t="shared" si="415"/>
        <v>0.75</v>
      </c>
      <c r="AB1398" t="s">
        <v>46</v>
      </c>
      <c r="AC1398">
        <f t="shared" si="416"/>
        <v>0</v>
      </c>
      <c r="AD1398">
        <f t="shared" si="417"/>
        <v>0</v>
      </c>
      <c r="AE1398" t="s">
        <v>41</v>
      </c>
      <c r="AF1398">
        <f>IF(AE1398="website",1,0)</f>
        <v>1</v>
      </c>
    </row>
    <row r="1399" spans="1:32">
      <c r="A1399" t="s">
        <v>2047</v>
      </c>
      <c r="B1399" t="s">
        <v>33</v>
      </c>
      <c r="C1399" s="3">
        <f t="shared" si="399"/>
        <v>0</v>
      </c>
      <c r="D1399">
        <f t="shared" si="400"/>
        <v>1</v>
      </c>
      <c r="E1399" t="s">
        <v>576</v>
      </c>
      <c r="F1399" t="s">
        <v>562</v>
      </c>
      <c r="G1399" s="1">
        <v>24454</v>
      </c>
      <c r="H1399" s="2">
        <f t="shared" ca="1" si="401"/>
        <v>59</v>
      </c>
      <c r="I1399" s="2">
        <f t="shared" ca="1" si="402"/>
        <v>0.48571428571428571</v>
      </c>
      <c r="J1399" t="s">
        <v>45</v>
      </c>
      <c r="K1399" t="s">
        <v>37</v>
      </c>
      <c r="L1399">
        <f t="shared" si="403"/>
        <v>1</v>
      </c>
      <c r="M1399">
        <f t="shared" si="404"/>
        <v>0</v>
      </c>
      <c r="N1399">
        <f t="shared" si="405"/>
        <v>0</v>
      </c>
      <c r="O1399" t="s">
        <v>38</v>
      </c>
      <c r="P1399">
        <f t="shared" si="406"/>
        <v>1</v>
      </c>
      <c r="Q1399">
        <f t="shared" si="407"/>
        <v>0</v>
      </c>
      <c r="R1399">
        <f t="shared" si="408"/>
        <v>0</v>
      </c>
      <c r="S1399">
        <f t="shared" si="409"/>
        <v>0</v>
      </c>
      <c r="T1399">
        <f t="shared" si="410"/>
        <v>0</v>
      </c>
      <c r="U1399">
        <f t="shared" si="411"/>
        <v>0</v>
      </c>
      <c r="V1399">
        <f t="shared" si="412"/>
        <v>0</v>
      </c>
      <c r="W1399" t="s">
        <v>39</v>
      </c>
      <c r="X1399">
        <f t="shared" si="413"/>
        <v>1</v>
      </c>
      <c r="Y1399">
        <f t="shared" si="414"/>
        <v>0</v>
      </c>
      <c r="Z1399">
        <v>5</v>
      </c>
      <c r="AA1399">
        <f t="shared" si="415"/>
        <v>1</v>
      </c>
      <c r="AB1399" t="s">
        <v>40</v>
      </c>
      <c r="AC1399">
        <f t="shared" si="416"/>
        <v>0</v>
      </c>
      <c r="AD1399">
        <f t="shared" si="417"/>
        <v>0</v>
      </c>
      <c r="AE1399" t="s">
        <v>41</v>
      </c>
      <c r="AF1399">
        <f>IF(AE1399="website",1,0)</f>
        <v>1</v>
      </c>
    </row>
    <row r="1400" spans="1:32">
      <c r="A1400" t="s">
        <v>2048</v>
      </c>
      <c r="B1400" t="s">
        <v>33</v>
      </c>
      <c r="C1400" s="3">
        <f t="shared" si="399"/>
        <v>0</v>
      </c>
      <c r="D1400">
        <f t="shared" si="400"/>
        <v>1</v>
      </c>
      <c r="E1400" t="s">
        <v>639</v>
      </c>
      <c r="F1400" t="s">
        <v>667</v>
      </c>
      <c r="G1400" s="1">
        <v>28725</v>
      </c>
      <c r="H1400" s="2">
        <f t="shared" ca="1" si="401"/>
        <v>48</v>
      </c>
      <c r="I1400" s="2">
        <f t="shared" ca="1" si="402"/>
        <v>0.32857142857142857</v>
      </c>
      <c r="J1400" t="s">
        <v>36</v>
      </c>
      <c r="K1400" t="s">
        <v>65</v>
      </c>
      <c r="L1400">
        <f t="shared" si="403"/>
        <v>0</v>
      </c>
      <c r="M1400">
        <f t="shared" si="404"/>
        <v>1</v>
      </c>
      <c r="N1400">
        <f t="shared" si="405"/>
        <v>0</v>
      </c>
      <c r="O1400" t="s">
        <v>642</v>
      </c>
      <c r="P1400">
        <f t="shared" si="406"/>
        <v>0</v>
      </c>
      <c r="Q1400">
        <f t="shared" si="407"/>
        <v>0</v>
      </c>
      <c r="R1400">
        <f t="shared" si="408"/>
        <v>0</v>
      </c>
      <c r="S1400">
        <f t="shared" si="409"/>
        <v>0</v>
      </c>
      <c r="T1400">
        <f t="shared" si="410"/>
        <v>0</v>
      </c>
      <c r="U1400">
        <f t="shared" si="411"/>
        <v>0</v>
      </c>
      <c r="V1400">
        <f t="shared" si="412"/>
        <v>0</v>
      </c>
      <c r="W1400" t="s">
        <v>39</v>
      </c>
      <c r="X1400">
        <f t="shared" si="413"/>
        <v>1</v>
      </c>
      <c r="Y1400">
        <f t="shared" si="414"/>
        <v>0</v>
      </c>
      <c r="Z1400">
        <v>5</v>
      </c>
      <c r="AA1400">
        <f t="shared" si="415"/>
        <v>1</v>
      </c>
      <c r="AB1400" t="s">
        <v>46</v>
      </c>
      <c r="AC1400">
        <f t="shared" si="416"/>
        <v>1</v>
      </c>
      <c r="AD1400">
        <f t="shared" si="417"/>
        <v>0</v>
      </c>
      <c r="AE1400" t="s">
        <v>50</v>
      </c>
      <c r="AF1400">
        <f>IF(AE1400="website",1,0)</f>
        <v>0</v>
      </c>
    </row>
    <row r="1401" spans="1:32">
      <c r="A1401" t="s">
        <v>2049</v>
      </c>
      <c r="B1401" t="s">
        <v>33</v>
      </c>
      <c r="C1401" s="3">
        <f t="shared" si="399"/>
        <v>0</v>
      </c>
      <c r="D1401">
        <f t="shared" si="400"/>
        <v>1</v>
      </c>
      <c r="E1401" t="s">
        <v>847</v>
      </c>
      <c r="F1401" t="s">
        <v>562</v>
      </c>
      <c r="G1401" s="1">
        <v>33535</v>
      </c>
      <c r="H1401" s="2">
        <f t="shared" ca="1" si="401"/>
        <v>34</v>
      </c>
      <c r="I1401" s="2">
        <f t="shared" ca="1" si="402"/>
        <v>0.12857142857142856</v>
      </c>
      <c r="J1401" t="s">
        <v>36</v>
      </c>
      <c r="K1401" t="s">
        <v>248</v>
      </c>
      <c r="L1401">
        <f t="shared" si="403"/>
        <v>0</v>
      </c>
      <c r="M1401">
        <f t="shared" si="404"/>
        <v>0</v>
      </c>
      <c r="N1401">
        <f t="shared" si="405"/>
        <v>0</v>
      </c>
      <c r="O1401" t="s">
        <v>249</v>
      </c>
      <c r="P1401">
        <f t="shared" si="406"/>
        <v>0</v>
      </c>
      <c r="Q1401">
        <f t="shared" si="407"/>
        <v>0</v>
      </c>
      <c r="R1401">
        <f t="shared" si="408"/>
        <v>0</v>
      </c>
      <c r="S1401">
        <f t="shared" si="409"/>
        <v>0</v>
      </c>
      <c r="T1401">
        <f t="shared" si="410"/>
        <v>0</v>
      </c>
      <c r="U1401">
        <f t="shared" si="411"/>
        <v>0</v>
      </c>
      <c r="V1401">
        <f t="shared" si="412"/>
        <v>0</v>
      </c>
      <c r="W1401" t="s">
        <v>39</v>
      </c>
      <c r="X1401">
        <f t="shared" si="413"/>
        <v>1</v>
      </c>
      <c r="Y1401">
        <f t="shared" si="414"/>
        <v>0</v>
      </c>
      <c r="Z1401">
        <v>4</v>
      </c>
      <c r="AA1401">
        <f t="shared" si="415"/>
        <v>0.75</v>
      </c>
      <c r="AB1401" t="s">
        <v>46</v>
      </c>
      <c r="AC1401">
        <f t="shared" si="416"/>
        <v>0</v>
      </c>
      <c r="AD1401">
        <f t="shared" si="417"/>
        <v>1</v>
      </c>
      <c r="AE1401" t="s">
        <v>90</v>
      </c>
      <c r="AF1401">
        <f>IF(AE1401="website",1,0)</f>
        <v>0</v>
      </c>
    </row>
    <row r="1402" spans="1:32">
      <c r="A1402" t="s">
        <v>2050</v>
      </c>
      <c r="B1402" t="s">
        <v>33</v>
      </c>
      <c r="C1402" s="3">
        <f t="shared" si="399"/>
        <v>0</v>
      </c>
      <c r="D1402">
        <f t="shared" si="400"/>
        <v>1</v>
      </c>
      <c r="E1402" t="s">
        <v>305</v>
      </c>
      <c r="F1402" t="s">
        <v>645</v>
      </c>
      <c r="G1402" s="1">
        <v>36243</v>
      </c>
      <c r="H1402" s="2">
        <f t="shared" ca="1" si="401"/>
        <v>27</v>
      </c>
      <c r="I1402" s="2">
        <f t="shared" ca="1" si="402"/>
        <v>2.8571428571428571E-2</v>
      </c>
      <c r="J1402" t="s">
        <v>36</v>
      </c>
      <c r="K1402" t="s">
        <v>37</v>
      </c>
      <c r="L1402">
        <f t="shared" si="403"/>
        <v>1</v>
      </c>
      <c r="M1402">
        <f t="shared" si="404"/>
        <v>0</v>
      </c>
      <c r="N1402">
        <f t="shared" si="405"/>
        <v>0</v>
      </c>
      <c r="O1402" t="s">
        <v>305</v>
      </c>
      <c r="P1402">
        <f t="shared" si="406"/>
        <v>0</v>
      </c>
      <c r="Q1402">
        <f t="shared" si="407"/>
        <v>0</v>
      </c>
      <c r="R1402">
        <f t="shared" si="408"/>
        <v>0</v>
      </c>
      <c r="S1402">
        <f t="shared" si="409"/>
        <v>0</v>
      </c>
      <c r="T1402">
        <f t="shared" si="410"/>
        <v>0</v>
      </c>
      <c r="U1402">
        <f t="shared" si="411"/>
        <v>0</v>
      </c>
      <c r="V1402">
        <f t="shared" si="412"/>
        <v>0</v>
      </c>
      <c r="W1402" t="s">
        <v>58</v>
      </c>
      <c r="X1402">
        <f t="shared" si="413"/>
        <v>0</v>
      </c>
      <c r="Y1402">
        <f t="shared" si="414"/>
        <v>1</v>
      </c>
      <c r="Z1402">
        <v>1</v>
      </c>
      <c r="AA1402">
        <f t="shared" si="415"/>
        <v>0</v>
      </c>
      <c r="AB1402" t="s">
        <v>46</v>
      </c>
      <c r="AC1402">
        <f t="shared" si="416"/>
        <v>0</v>
      </c>
      <c r="AD1402">
        <f t="shared" si="417"/>
        <v>0</v>
      </c>
      <c r="AE1402" t="s">
        <v>41</v>
      </c>
      <c r="AF1402">
        <f>IF(AE1402="website",1,0)</f>
        <v>1</v>
      </c>
    </row>
    <row r="1403" spans="1:32">
      <c r="A1403" t="s">
        <v>2051</v>
      </c>
      <c r="B1403" t="s">
        <v>33</v>
      </c>
      <c r="C1403" s="3">
        <f t="shared" si="399"/>
        <v>0</v>
      </c>
      <c r="D1403">
        <f t="shared" si="400"/>
        <v>1</v>
      </c>
      <c r="E1403" t="s">
        <v>259</v>
      </c>
      <c r="F1403" t="s">
        <v>700</v>
      </c>
      <c r="G1403" s="1">
        <v>25109</v>
      </c>
      <c r="H1403" s="2">
        <f t="shared" ca="1" si="401"/>
        <v>58</v>
      </c>
      <c r="I1403" s="2">
        <f t="shared" ca="1" si="402"/>
        <v>0.47142857142857142</v>
      </c>
      <c r="J1403" t="s">
        <v>36</v>
      </c>
      <c r="K1403" t="s">
        <v>37</v>
      </c>
      <c r="L1403">
        <f t="shared" si="403"/>
        <v>1</v>
      </c>
      <c r="M1403">
        <f t="shared" si="404"/>
        <v>0</v>
      </c>
      <c r="N1403">
        <f t="shared" si="405"/>
        <v>0</v>
      </c>
      <c r="O1403" t="s">
        <v>183</v>
      </c>
      <c r="P1403">
        <f t="shared" si="406"/>
        <v>0</v>
      </c>
      <c r="Q1403">
        <f t="shared" si="407"/>
        <v>0</v>
      </c>
      <c r="R1403">
        <f t="shared" si="408"/>
        <v>0</v>
      </c>
      <c r="S1403">
        <f t="shared" si="409"/>
        <v>0</v>
      </c>
      <c r="T1403">
        <f t="shared" si="410"/>
        <v>0</v>
      </c>
      <c r="U1403">
        <f t="shared" si="411"/>
        <v>0</v>
      </c>
      <c r="V1403">
        <f t="shared" si="412"/>
        <v>0</v>
      </c>
      <c r="W1403" t="s">
        <v>39</v>
      </c>
      <c r="X1403">
        <f t="shared" si="413"/>
        <v>1</v>
      </c>
      <c r="Y1403">
        <f t="shared" si="414"/>
        <v>0</v>
      </c>
      <c r="Z1403">
        <v>3</v>
      </c>
      <c r="AA1403">
        <f t="shared" si="415"/>
        <v>0.5</v>
      </c>
      <c r="AB1403" t="s">
        <v>46</v>
      </c>
      <c r="AC1403">
        <f t="shared" si="416"/>
        <v>1</v>
      </c>
      <c r="AD1403">
        <f t="shared" si="417"/>
        <v>0</v>
      </c>
      <c r="AE1403" t="s">
        <v>50</v>
      </c>
      <c r="AF1403">
        <f>IF(AE1403="website",1,0)</f>
        <v>0</v>
      </c>
    </row>
    <row r="1404" spans="1:32">
      <c r="A1404" t="s">
        <v>2052</v>
      </c>
      <c r="B1404" t="s">
        <v>33</v>
      </c>
      <c r="C1404" s="3">
        <f t="shared" si="399"/>
        <v>0</v>
      </c>
      <c r="D1404">
        <f t="shared" si="400"/>
        <v>1</v>
      </c>
      <c r="E1404" t="s">
        <v>556</v>
      </c>
      <c r="F1404" t="s">
        <v>941</v>
      </c>
      <c r="G1404" s="1">
        <v>30581</v>
      </c>
      <c r="H1404" s="2">
        <f t="shared" ca="1" si="401"/>
        <v>43</v>
      </c>
      <c r="I1404" s="2">
        <f t="shared" ca="1" si="402"/>
        <v>0.25714285714285712</v>
      </c>
      <c r="J1404" t="s">
        <v>36</v>
      </c>
      <c r="K1404" t="s">
        <v>37</v>
      </c>
      <c r="L1404">
        <f t="shared" si="403"/>
        <v>1</v>
      </c>
      <c r="M1404">
        <f t="shared" si="404"/>
        <v>0</v>
      </c>
      <c r="N1404">
        <f t="shared" si="405"/>
        <v>0</v>
      </c>
      <c r="O1404" t="s">
        <v>76</v>
      </c>
      <c r="P1404">
        <f t="shared" si="406"/>
        <v>0</v>
      </c>
      <c r="Q1404">
        <f t="shared" si="407"/>
        <v>1</v>
      </c>
      <c r="R1404">
        <f t="shared" si="408"/>
        <v>0</v>
      </c>
      <c r="S1404">
        <f t="shared" si="409"/>
        <v>0</v>
      </c>
      <c r="T1404">
        <f t="shared" si="410"/>
        <v>0</v>
      </c>
      <c r="U1404">
        <f t="shared" si="411"/>
        <v>0</v>
      </c>
      <c r="V1404">
        <f t="shared" si="412"/>
        <v>0</v>
      </c>
      <c r="W1404" t="s">
        <v>39</v>
      </c>
      <c r="X1404">
        <f t="shared" si="413"/>
        <v>1</v>
      </c>
      <c r="Y1404">
        <f t="shared" si="414"/>
        <v>0</v>
      </c>
      <c r="Z1404">
        <v>2</v>
      </c>
      <c r="AA1404">
        <f t="shared" si="415"/>
        <v>0.25</v>
      </c>
      <c r="AB1404" t="s">
        <v>46</v>
      </c>
      <c r="AC1404">
        <f t="shared" si="416"/>
        <v>0</v>
      </c>
      <c r="AD1404">
        <f t="shared" si="417"/>
        <v>0</v>
      </c>
      <c r="AE1404" t="s">
        <v>41</v>
      </c>
      <c r="AF1404">
        <f>IF(AE1404="website",1,0)</f>
        <v>1</v>
      </c>
    </row>
    <row r="1405" spans="1:32">
      <c r="A1405" t="s">
        <v>2053</v>
      </c>
      <c r="B1405" t="s">
        <v>33</v>
      </c>
      <c r="C1405" s="3">
        <f t="shared" si="399"/>
        <v>0</v>
      </c>
      <c r="D1405">
        <f t="shared" si="400"/>
        <v>1</v>
      </c>
      <c r="E1405" t="s">
        <v>622</v>
      </c>
      <c r="F1405" t="s">
        <v>579</v>
      </c>
      <c r="G1405" s="1">
        <v>18466</v>
      </c>
      <c r="H1405" s="2">
        <f t="shared" ca="1" si="401"/>
        <v>76</v>
      </c>
      <c r="I1405" s="2">
        <f t="shared" ca="1" si="402"/>
        <v>0.72857142857142854</v>
      </c>
      <c r="J1405" t="s">
        <v>36</v>
      </c>
      <c r="K1405" t="s">
        <v>37</v>
      </c>
      <c r="L1405">
        <f t="shared" si="403"/>
        <v>1</v>
      </c>
      <c r="M1405">
        <f t="shared" si="404"/>
        <v>0</v>
      </c>
      <c r="N1405">
        <f t="shared" si="405"/>
        <v>0</v>
      </c>
      <c r="O1405" t="s">
        <v>38</v>
      </c>
      <c r="P1405">
        <f t="shared" si="406"/>
        <v>1</v>
      </c>
      <c r="Q1405">
        <f t="shared" si="407"/>
        <v>0</v>
      </c>
      <c r="R1405">
        <f t="shared" si="408"/>
        <v>0</v>
      </c>
      <c r="S1405">
        <f t="shared" si="409"/>
        <v>0</v>
      </c>
      <c r="T1405">
        <f t="shared" si="410"/>
        <v>0</v>
      </c>
      <c r="U1405">
        <f t="shared" si="411"/>
        <v>0</v>
      </c>
      <c r="V1405">
        <f t="shared" si="412"/>
        <v>0</v>
      </c>
      <c r="W1405" t="s">
        <v>39</v>
      </c>
      <c r="X1405">
        <f t="shared" si="413"/>
        <v>1</v>
      </c>
      <c r="Y1405">
        <f t="shared" si="414"/>
        <v>0</v>
      </c>
      <c r="Z1405">
        <v>4</v>
      </c>
      <c r="AA1405">
        <f t="shared" si="415"/>
        <v>0.75</v>
      </c>
      <c r="AB1405" t="s">
        <v>46</v>
      </c>
      <c r="AC1405">
        <f t="shared" si="416"/>
        <v>1</v>
      </c>
      <c r="AD1405">
        <f t="shared" si="417"/>
        <v>0</v>
      </c>
      <c r="AE1405" t="s">
        <v>50</v>
      </c>
      <c r="AF1405">
        <f>IF(AE1405="website",1,0)</f>
        <v>0</v>
      </c>
    </row>
    <row r="1406" spans="1:32">
      <c r="A1406" t="s">
        <v>2054</v>
      </c>
      <c r="B1406" t="s">
        <v>33</v>
      </c>
      <c r="C1406" s="3">
        <f t="shared" si="399"/>
        <v>0</v>
      </c>
      <c r="D1406">
        <f t="shared" si="400"/>
        <v>1</v>
      </c>
      <c r="E1406" t="s">
        <v>635</v>
      </c>
      <c r="F1406" t="s">
        <v>579</v>
      </c>
      <c r="G1406" s="1">
        <v>20248</v>
      </c>
      <c r="H1406" s="2">
        <f t="shared" ca="1" si="401"/>
        <v>71</v>
      </c>
      <c r="I1406" s="2">
        <f t="shared" ca="1" si="402"/>
        <v>0.65714285714285714</v>
      </c>
      <c r="J1406" t="s">
        <v>45</v>
      </c>
      <c r="K1406" t="s">
        <v>37</v>
      </c>
      <c r="L1406">
        <f t="shared" si="403"/>
        <v>1</v>
      </c>
      <c r="M1406">
        <f t="shared" si="404"/>
        <v>0</v>
      </c>
      <c r="N1406">
        <f t="shared" si="405"/>
        <v>0</v>
      </c>
      <c r="O1406" t="s">
        <v>76</v>
      </c>
      <c r="P1406">
        <f t="shared" si="406"/>
        <v>0</v>
      </c>
      <c r="Q1406">
        <f t="shared" si="407"/>
        <v>1</v>
      </c>
      <c r="R1406">
        <f t="shared" si="408"/>
        <v>0</v>
      </c>
      <c r="S1406">
        <f t="shared" si="409"/>
        <v>0</v>
      </c>
      <c r="T1406">
        <f t="shared" si="410"/>
        <v>0</v>
      </c>
      <c r="U1406">
        <f t="shared" si="411"/>
        <v>0</v>
      </c>
      <c r="V1406">
        <f t="shared" si="412"/>
        <v>0</v>
      </c>
      <c r="W1406" t="s">
        <v>39</v>
      </c>
      <c r="X1406">
        <f t="shared" si="413"/>
        <v>1</v>
      </c>
      <c r="Y1406">
        <f t="shared" si="414"/>
        <v>0</v>
      </c>
      <c r="Z1406">
        <v>5</v>
      </c>
      <c r="AA1406">
        <f t="shared" si="415"/>
        <v>1</v>
      </c>
      <c r="AB1406" t="s">
        <v>46</v>
      </c>
      <c r="AC1406">
        <f t="shared" si="416"/>
        <v>1</v>
      </c>
      <c r="AD1406">
        <f t="shared" si="417"/>
        <v>0</v>
      </c>
      <c r="AE1406" t="s">
        <v>50</v>
      </c>
      <c r="AF1406">
        <f>IF(AE1406="website",1,0)</f>
        <v>0</v>
      </c>
    </row>
    <row r="1407" spans="1:32">
      <c r="A1407" t="s">
        <v>2055</v>
      </c>
      <c r="B1407" t="s">
        <v>33</v>
      </c>
      <c r="C1407" s="3">
        <f t="shared" si="399"/>
        <v>0</v>
      </c>
      <c r="D1407">
        <f t="shared" si="400"/>
        <v>1</v>
      </c>
      <c r="E1407" t="s">
        <v>759</v>
      </c>
      <c r="F1407" t="s">
        <v>669</v>
      </c>
      <c r="G1407" s="1">
        <v>25812</v>
      </c>
      <c r="H1407" s="2">
        <f t="shared" ca="1" si="401"/>
        <v>56</v>
      </c>
      <c r="I1407" s="2">
        <f t="shared" ca="1" si="402"/>
        <v>0.44285714285714284</v>
      </c>
      <c r="J1407" t="s">
        <v>36</v>
      </c>
      <c r="K1407" t="s">
        <v>37</v>
      </c>
      <c r="L1407">
        <f t="shared" si="403"/>
        <v>1</v>
      </c>
      <c r="M1407">
        <f t="shared" si="404"/>
        <v>0</v>
      </c>
      <c r="N1407">
        <f t="shared" si="405"/>
        <v>0</v>
      </c>
      <c r="O1407" t="s">
        <v>38</v>
      </c>
      <c r="P1407">
        <f t="shared" si="406"/>
        <v>1</v>
      </c>
      <c r="Q1407">
        <f t="shared" si="407"/>
        <v>0</v>
      </c>
      <c r="R1407">
        <f t="shared" si="408"/>
        <v>0</v>
      </c>
      <c r="S1407">
        <f t="shared" si="409"/>
        <v>0</v>
      </c>
      <c r="T1407">
        <f t="shared" si="410"/>
        <v>0</v>
      </c>
      <c r="U1407">
        <f t="shared" si="411"/>
        <v>0</v>
      </c>
      <c r="V1407">
        <f t="shared" si="412"/>
        <v>0</v>
      </c>
      <c r="W1407" t="s">
        <v>39</v>
      </c>
      <c r="X1407">
        <f t="shared" si="413"/>
        <v>1</v>
      </c>
      <c r="Y1407">
        <f t="shared" si="414"/>
        <v>0</v>
      </c>
      <c r="Z1407">
        <v>3</v>
      </c>
      <c r="AA1407">
        <f t="shared" si="415"/>
        <v>0.5</v>
      </c>
      <c r="AB1407" t="s">
        <v>46</v>
      </c>
      <c r="AC1407">
        <f t="shared" si="416"/>
        <v>0</v>
      </c>
      <c r="AD1407">
        <f t="shared" si="417"/>
        <v>0</v>
      </c>
      <c r="AE1407" t="s">
        <v>41</v>
      </c>
      <c r="AF1407">
        <f>IF(AE1407="website",1,0)</f>
        <v>1</v>
      </c>
    </row>
    <row r="1408" spans="1:32">
      <c r="A1408" t="s">
        <v>2056</v>
      </c>
      <c r="B1408" t="s">
        <v>33</v>
      </c>
      <c r="C1408" s="3">
        <f t="shared" si="399"/>
        <v>0</v>
      </c>
      <c r="D1408">
        <f t="shared" si="400"/>
        <v>1</v>
      </c>
      <c r="E1408" t="s">
        <v>622</v>
      </c>
      <c r="F1408" t="s">
        <v>513</v>
      </c>
      <c r="G1408" s="1">
        <v>20536</v>
      </c>
      <c r="H1408" s="2">
        <f t="shared" ca="1" si="401"/>
        <v>70</v>
      </c>
      <c r="I1408" s="2">
        <f t="shared" ca="1" si="402"/>
        <v>0.6428571428571429</v>
      </c>
      <c r="J1408" t="s">
        <v>36</v>
      </c>
      <c r="K1408" t="s">
        <v>37</v>
      </c>
      <c r="L1408">
        <f t="shared" si="403"/>
        <v>1</v>
      </c>
      <c r="M1408">
        <f t="shared" si="404"/>
        <v>0</v>
      </c>
      <c r="N1408">
        <f t="shared" si="405"/>
        <v>0</v>
      </c>
      <c r="O1408" t="s">
        <v>38</v>
      </c>
      <c r="P1408">
        <f t="shared" si="406"/>
        <v>1</v>
      </c>
      <c r="Q1408">
        <f t="shared" si="407"/>
        <v>0</v>
      </c>
      <c r="R1408">
        <f t="shared" si="408"/>
        <v>0</v>
      </c>
      <c r="S1408">
        <f t="shared" si="409"/>
        <v>0</v>
      </c>
      <c r="T1408">
        <f t="shared" si="410"/>
        <v>0</v>
      </c>
      <c r="U1408">
        <f t="shared" si="411"/>
        <v>0</v>
      </c>
      <c r="V1408">
        <f t="shared" si="412"/>
        <v>0</v>
      </c>
      <c r="W1408" t="s">
        <v>39</v>
      </c>
      <c r="X1408">
        <f t="shared" si="413"/>
        <v>1</v>
      </c>
      <c r="Y1408">
        <f t="shared" si="414"/>
        <v>0</v>
      </c>
      <c r="Z1408">
        <v>1</v>
      </c>
      <c r="AA1408">
        <f t="shared" si="415"/>
        <v>0</v>
      </c>
      <c r="AB1408" t="s">
        <v>46</v>
      </c>
      <c r="AC1408">
        <f t="shared" si="416"/>
        <v>1</v>
      </c>
      <c r="AD1408">
        <f t="shared" si="417"/>
        <v>0</v>
      </c>
      <c r="AE1408" t="s">
        <v>50</v>
      </c>
      <c r="AF1408">
        <f>IF(AE1408="website",1,0)</f>
        <v>0</v>
      </c>
    </row>
    <row r="1409" spans="1:32">
      <c r="A1409" t="s">
        <v>2057</v>
      </c>
      <c r="B1409" t="s">
        <v>55</v>
      </c>
      <c r="C1409" s="3">
        <f t="shared" si="399"/>
        <v>1</v>
      </c>
      <c r="D1409">
        <f t="shared" si="400"/>
        <v>0</v>
      </c>
      <c r="E1409" t="s">
        <v>1025</v>
      </c>
      <c r="F1409" t="s">
        <v>57</v>
      </c>
      <c r="G1409" s="1">
        <v>23328</v>
      </c>
      <c r="H1409" s="2">
        <f t="shared" ca="1" si="401"/>
        <v>62</v>
      </c>
      <c r="I1409" s="2">
        <f t="shared" ca="1" si="402"/>
        <v>0.52857142857142858</v>
      </c>
      <c r="J1409" t="s">
        <v>36</v>
      </c>
      <c r="K1409" t="s">
        <v>37</v>
      </c>
      <c r="L1409">
        <f t="shared" si="403"/>
        <v>1</v>
      </c>
      <c r="M1409">
        <f t="shared" si="404"/>
        <v>0</v>
      </c>
      <c r="N1409">
        <f t="shared" si="405"/>
        <v>0</v>
      </c>
      <c r="O1409" t="s">
        <v>38</v>
      </c>
      <c r="P1409">
        <f t="shared" si="406"/>
        <v>1</v>
      </c>
      <c r="Q1409">
        <f t="shared" si="407"/>
        <v>0</v>
      </c>
      <c r="R1409">
        <f t="shared" si="408"/>
        <v>0</v>
      </c>
      <c r="S1409">
        <f t="shared" si="409"/>
        <v>0</v>
      </c>
      <c r="T1409">
        <f t="shared" si="410"/>
        <v>0</v>
      </c>
      <c r="U1409">
        <f t="shared" si="411"/>
        <v>0</v>
      </c>
      <c r="V1409">
        <f t="shared" si="412"/>
        <v>0</v>
      </c>
      <c r="W1409" t="s">
        <v>39</v>
      </c>
      <c r="X1409">
        <f t="shared" si="413"/>
        <v>1</v>
      </c>
      <c r="Y1409">
        <f t="shared" si="414"/>
        <v>0</v>
      </c>
      <c r="Z1409">
        <v>2</v>
      </c>
      <c r="AA1409">
        <f t="shared" si="415"/>
        <v>0.25</v>
      </c>
      <c r="AB1409" t="s">
        <v>46</v>
      </c>
      <c r="AC1409">
        <f t="shared" si="416"/>
        <v>1</v>
      </c>
      <c r="AD1409">
        <f t="shared" si="417"/>
        <v>0</v>
      </c>
      <c r="AE1409" t="s">
        <v>50</v>
      </c>
      <c r="AF1409">
        <f>IF(AE1409="website",1,0)</f>
        <v>0</v>
      </c>
    </row>
    <row r="1410" spans="1:32">
      <c r="A1410" t="s">
        <v>2058</v>
      </c>
      <c r="B1410" t="s">
        <v>33</v>
      </c>
      <c r="C1410" s="3">
        <f t="shared" ref="C1410:C1473" si="418">IF(B1410="company",1,0)</f>
        <v>0</v>
      </c>
      <c r="D1410">
        <f t="shared" ref="D1410:D1473" si="419">IF(B1410="individual",1,0)</f>
        <v>1</v>
      </c>
      <c r="E1410" t="s">
        <v>807</v>
      </c>
      <c r="F1410" t="s">
        <v>664</v>
      </c>
      <c r="G1410" s="1">
        <v>21033</v>
      </c>
      <c r="H1410" s="2">
        <f t="shared" ref="H1410:H1473" ca="1" si="420">DATEDIF(G1410,TODAY(),"Y")</f>
        <v>69</v>
      </c>
      <c r="I1410" s="2">
        <f t="shared" ref="I1410:I1473" ca="1" si="421">(H1410-MIN(H:H))/(MAX(H:H)-MIN(H:H))</f>
        <v>0.62857142857142856</v>
      </c>
      <c r="J1410" t="s">
        <v>36</v>
      </c>
      <c r="K1410" t="s">
        <v>37</v>
      </c>
      <c r="L1410">
        <f t="shared" ref="L1410:L1473" si="422">IF(K1410="usa",1,0)</f>
        <v>1</v>
      </c>
      <c r="M1410">
        <f t="shared" ref="M1410:M1473" si="423">IF(K1410="canada",1,0)</f>
        <v>0</v>
      </c>
      <c r="N1410">
        <f t="shared" ref="N1410:N1473" si="424">IF(K1410="germany",1,0)</f>
        <v>0</v>
      </c>
      <c r="O1410" t="s">
        <v>76</v>
      </c>
      <c r="P1410">
        <f t="shared" ref="P1410:P1473" si="425">IF(O1410="california",1,0)</f>
        <v>0</v>
      </c>
      <c r="Q1410">
        <f t="shared" ref="Q1410:Q1473" si="426">IF(O1410="oregon",1,0)</f>
        <v>1</v>
      </c>
      <c r="R1410">
        <f t="shared" ref="R1410:R1473" si="427">IF(O1410="quebec",1,0)</f>
        <v>0</v>
      </c>
      <c r="S1410">
        <f t="shared" ref="S1410:S1473" si="428">IF(O1410="berlin",1,0)</f>
        <v>0</v>
      </c>
      <c r="T1410">
        <f t="shared" ref="T1410:T1473" si="429">IF(O1410="arizona",1,0)</f>
        <v>0</v>
      </c>
      <c r="U1410">
        <f t="shared" ref="U1410:U1473" si="430">IF(O1410="nevada",1,0)</f>
        <v>0</v>
      </c>
      <c r="V1410">
        <f t="shared" ref="V1410:V1473" si="431">IF(O1410="colardo",1,0)</f>
        <v>0</v>
      </c>
      <c r="W1410" t="s">
        <v>58</v>
      </c>
      <c r="X1410">
        <f t="shared" ref="X1410:X1473" si="432">IF(W1410="home",1,0)</f>
        <v>0</v>
      </c>
      <c r="Y1410">
        <f t="shared" ref="Y1410:Y1473" si="433">IF(W1410="investment",1,0)</f>
        <v>1</v>
      </c>
      <c r="Z1410">
        <v>2</v>
      </c>
      <c r="AA1410">
        <f t="shared" ref="AA1410:AA1473" si="434">(Z1410-1)/4</f>
        <v>0.25</v>
      </c>
      <c r="AB1410" t="s">
        <v>46</v>
      </c>
      <c r="AC1410">
        <f t="shared" ref="AC1410:AC1473" si="435">IF(AE1410="agency",1,0)</f>
        <v>0</v>
      </c>
      <c r="AD1410">
        <f t="shared" ref="AD1410:AD1473" si="436">IF(AE1410="client",1,0)</f>
        <v>0</v>
      </c>
      <c r="AE1410" t="s">
        <v>41</v>
      </c>
      <c r="AF1410">
        <f>IF(AE1410="website",1,0)</f>
        <v>1</v>
      </c>
    </row>
    <row r="1411" spans="1:32">
      <c r="A1411" t="s">
        <v>2059</v>
      </c>
      <c r="B1411" t="s">
        <v>33</v>
      </c>
      <c r="C1411" s="3">
        <f t="shared" si="418"/>
        <v>0</v>
      </c>
      <c r="D1411">
        <f t="shared" si="419"/>
        <v>1</v>
      </c>
      <c r="E1411" t="s">
        <v>982</v>
      </c>
      <c r="F1411" t="s">
        <v>308</v>
      </c>
      <c r="G1411" s="1">
        <v>24092</v>
      </c>
      <c r="H1411" s="2">
        <f t="shared" ca="1" si="420"/>
        <v>60</v>
      </c>
      <c r="I1411" s="2">
        <f t="shared" ca="1" si="421"/>
        <v>0.5</v>
      </c>
      <c r="J1411" t="s">
        <v>36</v>
      </c>
      <c r="K1411" t="s">
        <v>37</v>
      </c>
      <c r="L1411">
        <f t="shared" si="422"/>
        <v>1</v>
      </c>
      <c r="M1411">
        <f t="shared" si="423"/>
        <v>0</v>
      </c>
      <c r="N1411">
        <f t="shared" si="424"/>
        <v>0</v>
      </c>
      <c r="O1411" t="s">
        <v>124</v>
      </c>
      <c r="P1411">
        <f t="shared" si="425"/>
        <v>0</v>
      </c>
      <c r="Q1411">
        <f t="shared" si="426"/>
        <v>0</v>
      </c>
      <c r="R1411">
        <f t="shared" si="427"/>
        <v>0</v>
      </c>
      <c r="S1411">
        <f t="shared" si="428"/>
        <v>0</v>
      </c>
      <c r="T1411">
        <f t="shared" si="429"/>
        <v>0</v>
      </c>
      <c r="U1411">
        <f t="shared" si="430"/>
        <v>1</v>
      </c>
      <c r="V1411">
        <f t="shared" si="431"/>
        <v>0</v>
      </c>
      <c r="W1411" t="s">
        <v>39</v>
      </c>
      <c r="X1411">
        <f t="shared" si="432"/>
        <v>1</v>
      </c>
      <c r="Y1411">
        <f t="shared" si="433"/>
        <v>0</v>
      </c>
      <c r="Z1411">
        <v>2</v>
      </c>
      <c r="AA1411">
        <f t="shared" si="434"/>
        <v>0.25</v>
      </c>
      <c r="AB1411" t="s">
        <v>46</v>
      </c>
      <c r="AC1411">
        <f t="shared" si="435"/>
        <v>1</v>
      </c>
      <c r="AD1411">
        <f t="shared" si="436"/>
        <v>0</v>
      </c>
      <c r="AE1411" t="s">
        <v>50</v>
      </c>
      <c r="AF1411">
        <f>IF(AE1411="website",1,0)</f>
        <v>0</v>
      </c>
    </row>
    <row r="1412" spans="1:32">
      <c r="A1412" t="s">
        <v>2060</v>
      </c>
      <c r="B1412" t="s">
        <v>33</v>
      </c>
      <c r="C1412" s="3">
        <f t="shared" si="418"/>
        <v>0</v>
      </c>
      <c r="D1412">
        <f t="shared" si="419"/>
        <v>1</v>
      </c>
      <c r="E1412" t="s">
        <v>761</v>
      </c>
      <c r="F1412" t="s">
        <v>825</v>
      </c>
      <c r="G1412" s="1">
        <v>31871</v>
      </c>
      <c r="H1412" s="2">
        <f t="shared" ca="1" si="420"/>
        <v>39</v>
      </c>
      <c r="I1412" s="2">
        <f t="shared" ca="1" si="421"/>
        <v>0.2</v>
      </c>
      <c r="J1412" t="s">
        <v>45</v>
      </c>
      <c r="K1412" t="s">
        <v>37</v>
      </c>
      <c r="L1412">
        <f t="shared" si="422"/>
        <v>1</v>
      </c>
      <c r="M1412">
        <f t="shared" si="423"/>
        <v>0</v>
      </c>
      <c r="N1412">
        <f t="shared" si="424"/>
        <v>0</v>
      </c>
      <c r="O1412" t="s">
        <v>38</v>
      </c>
      <c r="P1412">
        <f t="shared" si="425"/>
        <v>1</v>
      </c>
      <c r="Q1412">
        <f t="shared" si="426"/>
        <v>0</v>
      </c>
      <c r="R1412">
        <f t="shared" si="427"/>
        <v>0</v>
      </c>
      <c r="S1412">
        <f t="shared" si="428"/>
        <v>0</v>
      </c>
      <c r="T1412">
        <f t="shared" si="429"/>
        <v>0</v>
      </c>
      <c r="U1412">
        <f t="shared" si="430"/>
        <v>0</v>
      </c>
      <c r="V1412">
        <f t="shared" si="431"/>
        <v>0</v>
      </c>
      <c r="W1412" t="s">
        <v>39</v>
      </c>
      <c r="X1412">
        <f t="shared" si="432"/>
        <v>1</v>
      </c>
      <c r="Y1412">
        <f t="shared" si="433"/>
        <v>0</v>
      </c>
      <c r="Z1412">
        <v>2</v>
      </c>
      <c r="AA1412">
        <f t="shared" si="434"/>
        <v>0.25</v>
      </c>
      <c r="AB1412" t="s">
        <v>46</v>
      </c>
      <c r="AC1412">
        <f t="shared" si="435"/>
        <v>0</v>
      </c>
      <c r="AD1412">
        <f t="shared" si="436"/>
        <v>1</v>
      </c>
      <c r="AE1412" t="s">
        <v>90</v>
      </c>
      <c r="AF1412">
        <f>IF(AE1412="website",1,0)</f>
        <v>0</v>
      </c>
    </row>
    <row r="1413" spans="1:32">
      <c r="A1413" t="s">
        <v>2061</v>
      </c>
      <c r="B1413" t="s">
        <v>55</v>
      </c>
      <c r="C1413" s="3">
        <f t="shared" si="418"/>
        <v>1</v>
      </c>
      <c r="D1413">
        <f t="shared" si="419"/>
        <v>0</v>
      </c>
      <c r="E1413" t="s">
        <v>957</v>
      </c>
      <c r="F1413" t="s">
        <v>57</v>
      </c>
      <c r="G1413" s="1">
        <v>31226</v>
      </c>
      <c r="H1413" s="2">
        <f t="shared" ca="1" si="420"/>
        <v>41</v>
      </c>
      <c r="I1413" s="2">
        <f t="shared" ca="1" si="421"/>
        <v>0.22857142857142856</v>
      </c>
      <c r="J1413" t="s">
        <v>36</v>
      </c>
      <c r="K1413" t="s">
        <v>37</v>
      </c>
      <c r="L1413">
        <f t="shared" si="422"/>
        <v>1</v>
      </c>
      <c r="M1413">
        <f t="shared" si="423"/>
        <v>0</v>
      </c>
      <c r="N1413">
        <f t="shared" si="424"/>
        <v>0</v>
      </c>
      <c r="O1413" t="s">
        <v>124</v>
      </c>
      <c r="P1413">
        <f t="shared" si="425"/>
        <v>0</v>
      </c>
      <c r="Q1413">
        <f t="shared" si="426"/>
        <v>0</v>
      </c>
      <c r="R1413">
        <f t="shared" si="427"/>
        <v>0</v>
      </c>
      <c r="S1413">
        <f t="shared" si="428"/>
        <v>0</v>
      </c>
      <c r="T1413">
        <f t="shared" si="429"/>
        <v>0</v>
      </c>
      <c r="U1413">
        <f t="shared" si="430"/>
        <v>1</v>
      </c>
      <c r="V1413">
        <f t="shared" si="431"/>
        <v>0</v>
      </c>
      <c r="W1413" t="s">
        <v>39</v>
      </c>
      <c r="X1413">
        <f t="shared" si="432"/>
        <v>1</v>
      </c>
      <c r="Y1413">
        <f t="shared" si="433"/>
        <v>0</v>
      </c>
      <c r="Z1413">
        <v>2</v>
      </c>
      <c r="AA1413">
        <f t="shared" si="434"/>
        <v>0.25</v>
      </c>
      <c r="AB1413" t="s">
        <v>46</v>
      </c>
      <c r="AC1413">
        <f t="shared" si="435"/>
        <v>1</v>
      </c>
      <c r="AD1413">
        <f t="shared" si="436"/>
        <v>0</v>
      </c>
      <c r="AE1413" t="s">
        <v>50</v>
      </c>
      <c r="AF1413">
        <f>IF(AE1413="website",1,0)</f>
        <v>0</v>
      </c>
    </row>
    <row r="1414" spans="1:32">
      <c r="A1414" t="s">
        <v>2062</v>
      </c>
      <c r="B1414" t="s">
        <v>33</v>
      </c>
      <c r="C1414" s="3">
        <f t="shared" si="418"/>
        <v>0</v>
      </c>
      <c r="D1414">
        <f t="shared" si="419"/>
        <v>1</v>
      </c>
      <c r="E1414" t="s">
        <v>619</v>
      </c>
      <c r="F1414" t="s">
        <v>709</v>
      </c>
      <c r="G1414" s="1">
        <v>25099</v>
      </c>
      <c r="H1414" s="2">
        <f t="shared" ca="1" si="420"/>
        <v>58</v>
      </c>
      <c r="I1414" s="2">
        <f t="shared" ca="1" si="421"/>
        <v>0.47142857142857142</v>
      </c>
      <c r="J1414" t="s">
        <v>36</v>
      </c>
      <c r="K1414" t="s">
        <v>37</v>
      </c>
      <c r="L1414">
        <f t="shared" si="422"/>
        <v>1</v>
      </c>
      <c r="M1414">
        <f t="shared" si="423"/>
        <v>0</v>
      </c>
      <c r="N1414">
        <f t="shared" si="424"/>
        <v>0</v>
      </c>
      <c r="O1414" t="s">
        <v>38</v>
      </c>
      <c r="P1414">
        <f t="shared" si="425"/>
        <v>1</v>
      </c>
      <c r="Q1414">
        <f t="shared" si="426"/>
        <v>0</v>
      </c>
      <c r="R1414">
        <f t="shared" si="427"/>
        <v>0</v>
      </c>
      <c r="S1414">
        <f t="shared" si="428"/>
        <v>0</v>
      </c>
      <c r="T1414">
        <f t="shared" si="429"/>
        <v>0</v>
      </c>
      <c r="U1414">
        <f t="shared" si="430"/>
        <v>0</v>
      </c>
      <c r="V1414">
        <f t="shared" si="431"/>
        <v>0</v>
      </c>
      <c r="W1414" t="s">
        <v>39</v>
      </c>
      <c r="X1414">
        <f t="shared" si="432"/>
        <v>1</v>
      </c>
      <c r="Y1414">
        <f t="shared" si="433"/>
        <v>0</v>
      </c>
      <c r="Z1414">
        <v>4</v>
      </c>
      <c r="AA1414">
        <f t="shared" si="434"/>
        <v>0.75</v>
      </c>
      <c r="AB1414" t="s">
        <v>46</v>
      </c>
      <c r="AC1414">
        <f t="shared" si="435"/>
        <v>1</v>
      </c>
      <c r="AD1414">
        <f t="shared" si="436"/>
        <v>0</v>
      </c>
      <c r="AE1414" t="s">
        <v>50</v>
      </c>
      <c r="AF1414">
        <f>IF(AE1414="website",1,0)</f>
        <v>0</v>
      </c>
    </row>
    <row r="1415" spans="1:32">
      <c r="A1415" t="s">
        <v>2063</v>
      </c>
      <c r="B1415" t="s">
        <v>33</v>
      </c>
      <c r="C1415" s="3">
        <f t="shared" si="418"/>
        <v>0</v>
      </c>
      <c r="D1415">
        <f t="shared" si="419"/>
        <v>1</v>
      </c>
      <c r="E1415" t="s">
        <v>482</v>
      </c>
      <c r="F1415" t="s">
        <v>61</v>
      </c>
      <c r="G1415" s="1">
        <v>27515</v>
      </c>
      <c r="H1415" s="2">
        <f t="shared" ca="1" si="420"/>
        <v>51</v>
      </c>
      <c r="I1415" s="2">
        <f t="shared" ca="1" si="421"/>
        <v>0.37142857142857144</v>
      </c>
      <c r="J1415" t="s">
        <v>36</v>
      </c>
      <c r="K1415" t="s">
        <v>37</v>
      </c>
      <c r="L1415">
        <f t="shared" si="422"/>
        <v>1</v>
      </c>
      <c r="M1415">
        <f t="shared" si="423"/>
        <v>0</v>
      </c>
      <c r="N1415">
        <f t="shared" si="424"/>
        <v>0</v>
      </c>
      <c r="O1415" t="s">
        <v>600</v>
      </c>
      <c r="P1415">
        <f t="shared" si="425"/>
        <v>0</v>
      </c>
      <c r="Q1415">
        <f t="shared" si="426"/>
        <v>0</v>
      </c>
      <c r="R1415">
        <f t="shared" si="427"/>
        <v>0</v>
      </c>
      <c r="S1415">
        <f t="shared" si="428"/>
        <v>0</v>
      </c>
      <c r="T1415">
        <f t="shared" si="429"/>
        <v>0</v>
      </c>
      <c r="U1415">
        <f t="shared" si="430"/>
        <v>0</v>
      </c>
      <c r="V1415">
        <f t="shared" si="431"/>
        <v>0</v>
      </c>
      <c r="W1415" t="s">
        <v>39</v>
      </c>
      <c r="X1415">
        <f t="shared" si="432"/>
        <v>1</v>
      </c>
      <c r="Y1415">
        <f t="shared" si="433"/>
        <v>0</v>
      </c>
      <c r="Z1415">
        <v>4</v>
      </c>
      <c r="AA1415">
        <f t="shared" si="434"/>
        <v>0.75</v>
      </c>
      <c r="AB1415" t="s">
        <v>46</v>
      </c>
      <c r="AC1415">
        <f t="shared" si="435"/>
        <v>0</v>
      </c>
      <c r="AD1415">
        <f t="shared" si="436"/>
        <v>0</v>
      </c>
      <c r="AE1415" t="s">
        <v>41</v>
      </c>
      <c r="AF1415">
        <f>IF(AE1415="website",1,0)</f>
        <v>1</v>
      </c>
    </row>
    <row r="1416" spans="1:32">
      <c r="A1416" t="s">
        <v>2064</v>
      </c>
      <c r="B1416" t="s">
        <v>33</v>
      </c>
      <c r="C1416" s="3">
        <f t="shared" si="418"/>
        <v>0</v>
      </c>
      <c r="D1416">
        <f t="shared" si="419"/>
        <v>1</v>
      </c>
      <c r="E1416" t="s">
        <v>240</v>
      </c>
      <c r="F1416" t="s">
        <v>764</v>
      </c>
      <c r="G1416" s="1">
        <v>21745</v>
      </c>
      <c r="H1416" s="2">
        <f t="shared" ca="1" si="420"/>
        <v>67</v>
      </c>
      <c r="I1416" s="2">
        <f t="shared" ca="1" si="421"/>
        <v>0.6</v>
      </c>
      <c r="J1416" t="s">
        <v>45</v>
      </c>
      <c r="K1416" t="s">
        <v>37</v>
      </c>
      <c r="L1416">
        <f t="shared" si="422"/>
        <v>1</v>
      </c>
      <c r="M1416">
        <f t="shared" si="423"/>
        <v>0</v>
      </c>
      <c r="N1416">
        <f t="shared" si="424"/>
        <v>0</v>
      </c>
      <c r="O1416" t="s">
        <v>38</v>
      </c>
      <c r="P1416">
        <f t="shared" si="425"/>
        <v>1</v>
      </c>
      <c r="Q1416">
        <f t="shared" si="426"/>
        <v>0</v>
      </c>
      <c r="R1416">
        <f t="shared" si="427"/>
        <v>0</v>
      </c>
      <c r="S1416">
        <f t="shared" si="428"/>
        <v>0</v>
      </c>
      <c r="T1416">
        <f t="shared" si="429"/>
        <v>0</v>
      </c>
      <c r="U1416">
        <f t="shared" si="430"/>
        <v>0</v>
      </c>
      <c r="V1416">
        <f t="shared" si="431"/>
        <v>0</v>
      </c>
      <c r="W1416" t="s">
        <v>58</v>
      </c>
      <c r="X1416">
        <f t="shared" si="432"/>
        <v>0</v>
      </c>
      <c r="Y1416">
        <f t="shared" si="433"/>
        <v>1</v>
      </c>
      <c r="Z1416">
        <v>1</v>
      </c>
      <c r="AA1416">
        <f t="shared" si="434"/>
        <v>0</v>
      </c>
      <c r="AB1416" t="s">
        <v>46</v>
      </c>
      <c r="AC1416">
        <f t="shared" si="435"/>
        <v>0</v>
      </c>
      <c r="AD1416">
        <f t="shared" si="436"/>
        <v>0</v>
      </c>
      <c r="AE1416" t="s">
        <v>41</v>
      </c>
      <c r="AF1416">
        <f>IF(AE1416="website",1,0)</f>
        <v>1</v>
      </c>
    </row>
    <row r="1417" spans="1:32">
      <c r="A1417" t="s">
        <v>2065</v>
      </c>
      <c r="B1417" t="s">
        <v>33</v>
      </c>
      <c r="C1417" s="3">
        <f t="shared" si="418"/>
        <v>0</v>
      </c>
      <c r="D1417">
        <f t="shared" si="419"/>
        <v>1</v>
      </c>
      <c r="E1417" t="s">
        <v>1147</v>
      </c>
      <c r="F1417" t="s">
        <v>591</v>
      </c>
      <c r="G1417" s="1">
        <v>19906</v>
      </c>
      <c r="H1417" s="2">
        <f t="shared" ca="1" si="420"/>
        <v>72</v>
      </c>
      <c r="I1417" s="2">
        <f t="shared" ca="1" si="421"/>
        <v>0.67142857142857137</v>
      </c>
      <c r="J1417" t="s">
        <v>45</v>
      </c>
      <c r="K1417" t="s">
        <v>37</v>
      </c>
      <c r="L1417">
        <f t="shared" si="422"/>
        <v>1</v>
      </c>
      <c r="M1417">
        <f t="shared" si="423"/>
        <v>0</v>
      </c>
      <c r="N1417">
        <f t="shared" si="424"/>
        <v>0</v>
      </c>
      <c r="O1417" t="s">
        <v>76</v>
      </c>
      <c r="P1417">
        <f t="shared" si="425"/>
        <v>0</v>
      </c>
      <c r="Q1417">
        <f t="shared" si="426"/>
        <v>1</v>
      </c>
      <c r="R1417">
        <f t="shared" si="427"/>
        <v>0</v>
      </c>
      <c r="S1417">
        <f t="shared" si="428"/>
        <v>0</v>
      </c>
      <c r="T1417">
        <f t="shared" si="429"/>
        <v>0</v>
      </c>
      <c r="U1417">
        <f t="shared" si="430"/>
        <v>0</v>
      </c>
      <c r="V1417">
        <f t="shared" si="431"/>
        <v>0</v>
      </c>
      <c r="W1417" t="s">
        <v>39</v>
      </c>
      <c r="X1417">
        <f t="shared" si="432"/>
        <v>1</v>
      </c>
      <c r="Y1417">
        <f t="shared" si="433"/>
        <v>0</v>
      </c>
      <c r="Z1417">
        <v>2</v>
      </c>
      <c r="AA1417">
        <f t="shared" si="434"/>
        <v>0.25</v>
      </c>
      <c r="AB1417" t="s">
        <v>46</v>
      </c>
      <c r="AC1417">
        <f t="shared" si="435"/>
        <v>1</v>
      </c>
      <c r="AD1417">
        <f t="shared" si="436"/>
        <v>0</v>
      </c>
      <c r="AE1417" t="s">
        <v>50</v>
      </c>
      <c r="AF1417">
        <f>IF(AE1417="website",1,0)</f>
        <v>0</v>
      </c>
    </row>
    <row r="1418" spans="1:32">
      <c r="A1418" t="s">
        <v>2066</v>
      </c>
      <c r="B1418" t="s">
        <v>33</v>
      </c>
      <c r="C1418" s="3">
        <f t="shared" si="418"/>
        <v>0</v>
      </c>
      <c r="D1418">
        <f t="shared" si="419"/>
        <v>1</v>
      </c>
      <c r="E1418" t="s">
        <v>1105</v>
      </c>
      <c r="F1418" t="s">
        <v>579</v>
      </c>
      <c r="G1418" s="1">
        <v>19658</v>
      </c>
      <c r="H1418" s="2">
        <f t="shared" ca="1" si="420"/>
        <v>72</v>
      </c>
      <c r="I1418" s="2">
        <f t="shared" ca="1" si="421"/>
        <v>0.67142857142857137</v>
      </c>
      <c r="J1418" t="s">
        <v>45</v>
      </c>
      <c r="K1418" t="s">
        <v>248</v>
      </c>
      <c r="L1418">
        <f t="shared" si="422"/>
        <v>0</v>
      </c>
      <c r="M1418">
        <f t="shared" si="423"/>
        <v>0</v>
      </c>
      <c r="N1418">
        <f t="shared" si="424"/>
        <v>0</v>
      </c>
      <c r="O1418" t="s">
        <v>411</v>
      </c>
      <c r="P1418">
        <f t="shared" si="425"/>
        <v>0</v>
      </c>
      <c r="Q1418">
        <f t="shared" si="426"/>
        <v>0</v>
      </c>
      <c r="R1418">
        <f t="shared" si="427"/>
        <v>0</v>
      </c>
      <c r="S1418">
        <f t="shared" si="428"/>
        <v>0</v>
      </c>
      <c r="T1418">
        <f t="shared" si="429"/>
        <v>0</v>
      </c>
      <c r="U1418">
        <f t="shared" si="430"/>
        <v>0</v>
      </c>
      <c r="V1418">
        <f t="shared" si="431"/>
        <v>0</v>
      </c>
      <c r="W1418" t="s">
        <v>39</v>
      </c>
      <c r="X1418">
        <f t="shared" si="432"/>
        <v>1</v>
      </c>
      <c r="Y1418">
        <f t="shared" si="433"/>
        <v>0</v>
      </c>
      <c r="Z1418">
        <v>5</v>
      </c>
      <c r="AA1418">
        <f t="shared" si="434"/>
        <v>1</v>
      </c>
      <c r="AB1418" t="s">
        <v>46</v>
      </c>
      <c r="AC1418">
        <f t="shared" si="435"/>
        <v>0</v>
      </c>
      <c r="AD1418">
        <f t="shared" si="436"/>
        <v>0</v>
      </c>
      <c r="AE1418" t="s">
        <v>41</v>
      </c>
      <c r="AF1418">
        <f>IF(AE1418="website",1,0)</f>
        <v>1</v>
      </c>
    </row>
    <row r="1419" spans="1:32">
      <c r="A1419" t="s">
        <v>2067</v>
      </c>
      <c r="B1419" t="s">
        <v>33</v>
      </c>
      <c r="C1419" s="3">
        <f t="shared" si="418"/>
        <v>0</v>
      </c>
      <c r="D1419">
        <f t="shared" si="419"/>
        <v>1</v>
      </c>
      <c r="E1419" t="s">
        <v>655</v>
      </c>
      <c r="F1419" t="s">
        <v>856</v>
      </c>
      <c r="G1419" s="1">
        <v>19820</v>
      </c>
      <c r="H1419" s="2">
        <f t="shared" ca="1" si="420"/>
        <v>72</v>
      </c>
      <c r="I1419" s="2">
        <f t="shared" ca="1" si="421"/>
        <v>0.67142857142857137</v>
      </c>
      <c r="J1419" t="s">
        <v>45</v>
      </c>
      <c r="K1419" t="s">
        <v>37</v>
      </c>
      <c r="L1419">
        <f t="shared" si="422"/>
        <v>1</v>
      </c>
      <c r="M1419">
        <f t="shared" si="423"/>
        <v>0</v>
      </c>
      <c r="N1419">
        <f t="shared" si="424"/>
        <v>0</v>
      </c>
      <c r="O1419" t="s">
        <v>559</v>
      </c>
      <c r="P1419">
        <f t="shared" si="425"/>
        <v>0</v>
      </c>
      <c r="Q1419">
        <f t="shared" si="426"/>
        <v>0</v>
      </c>
      <c r="R1419">
        <f t="shared" si="427"/>
        <v>0</v>
      </c>
      <c r="S1419">
        <f t="shared" si="428"/>
        <v>0</v>
      </c>
      <c r="T1419">
        <f t="shared" si="429"/>
        <v>0</v>
      </c>
      <c r="U1419">
        <f t="shared" si="430"/>
        <v>0</v>
      </c>
      <c r="V1419">
        <f t="shared" si="431"/>
        <v>0</v>
      </c>
      <c r="W1419" t="s">
        <v>58</v>
      </c>
      <c r="X1419">
        <f t="shared" si="432"/>
        <v>0</v>
      </c>
      <c r="Y1419">
        <f t="shared" si="433"/>
        <v>1</v>
      </c>
      <c r="Z1419">
        <v>2</v>
      </c>
      <c r="AA1419">
        <f t="shared" si="434"/>
        <v>0.25</v>
      </c>
      <c r="AB1419" t="s">
        <v>46</v>
      </c>
      <c r="AC1419">
        <f t="shared" si="435"/>
        <v>0</v>
      </c>
      <c r="AD1419">
        <f t="shared" si="436"/>
        <v>0</v>
      </c>
      <c r="AE1419" t="s">
        <v>41</v>
      </c>
      <c r="AF1419">
        <f>IF(AE1419="website",1,0)</f>
        <v>1</v>
      </c>
    </row>
    <row r="1420" spans="1:32">
      <c r="A1420" t="s">
        <v>2068</v>
      </c>
      <c r="B1420" t="s">
        <v>33</v>
      </c>
      <c r="C1420" s="3">
        <f t="shared" si="418"/>
        <v>0</v>
      </c>
      <c r="D1420">
        <f t="shared" si="419"/>
        <v>1</v>
      </c>
      <c r="E1420" t="s">
        <v>671</v>
      </c>
      <c r="F1420" t="s">
        <v>591</v>
      </c>
      <c r="G1420" s="1">
        <v>26153</v>
      </c>
      <c r="H1420" s="2">
        <f t="shared" ca="1" si="420"/>
        <v>55</v>
      </c>
      <c r="I1420" s="2">
        <f t="shared" ca="1" si="421"/>
        <v>0.42857142857142855</v>
      </c>
      <c r="J1420" t="s">
        <v>45</v>
      </c>
      <c r="K1420" t="s">
        <v>113</v>
      </c>
      <c r="L1420">
        <f t="shared" si="422"/>
        <v>0</v>
      </c>
      <c r="M1420">
        <f t="shared" si="423"/>
        <v>0</v>
      </c>
      <c r="N1420">
        <f t="shared" si="424"/>
        <v>1</v>
      </c>
      <c r="O1420" t="s">
        <v>675</v>
      </c>
      <c r="P1420">
        <f t="shared" si="425"/>
        <v>0</v>
      </c>
      <c r="Q1420">
        <f t="shared" si="426"/>
        <v>0</v>
      </c>
      <c r="R1420">
        <f t="shared" si="427"/>
        <v>0</v>
      </c>
      <c r="S1420">
        <f t="shared" si="428"/>
        <v>0</v>
      </c>
      <c r="T1420">
        <f t="shared" si="429"/>
        <v>0</v>
      </c>
      <c r="U1420">
        <f t="shared" si="430"/>
        <v>0</v>
      </c>
      <c r="V1420">
        <f t="shared" si="431"/>
        <v>0</v>
      </c>
      <c r="W1420" t="s">
        <v>58</v>
      </c>
      <c r="X1420">
        <f t="shared" si="432"/>
        <v>0</v>
      </c>
      <c r="Y1420">
        <f t="shared" si="433"/>
        <v>1</v>
      </c>
      <c r="Z1420">
        <v>4</v>
      </c>
      <c r="AA1420">
        <f t="shared" si="434"/>
        <v>0.75</v>
      </c>
      <c r="AB1420" t="s">
        <v>40</v>
      </c>
      <c r="AC1420">
        <f t="shared" si="435"/>
        <v>0</v>
      </c>
      <c r="AD1420">
        <f t="shared" si="436"/>
        <v>0</v>
      </c>
      <c r="AE1420" t="s">
        <v>41</v>
      </c>
      <c r="AF1420">
        <f>IF(AE1420="website",1,0)</f>
        <v>1</v>
      </c>
    </row>
    <row r="1421" spans="1:32">
      <c r="A1421" t="s">
        <v>2069</v>
      </c>
      <c r="B1421" t="s">
        <v>55</v>
      </c>
      <c r="C1421" s="3">
        <f t="shared" si="418"/>
        <v>1</v>
      </c>
      <c r="D1421">
        <f t="shared" si="419"/>
        <v>0</v>
      </c>
      <c r="E1421" t="s">
        <v>2070</v>
      </c>
      <c r="F1421" t="s">
        <v>57</v>
      </c>
      <c r="G1421" s="1">
        <v>29879</v>
      </c>
      <c r="H1421" s="2">
        <f t="shared" ca="1" si="420"/>
        <v>44</v>
      </c>
      <c r="I1421" s="2">
        <f t="shared" ca="1" si="421"/>
        <v>0.27142857142857141</v>
      </c>
      <c r="J1421" t="s">
        <v>45</v>
      </c>
      <c r="K1421" t="s">
        <v>248</v>
      </c>
      <c r="L1421">
        <f t="shared" si="422"/>
        <v>0</v>
      </c>
      <c r="M1421">
        <f t="shared" si="423"/>
        <v>0</v>
      </c>
      <c r="N1421">
        <f t="shared" si="424"/>
        <v>0</v>
      </c>
      <c r="O1421" t="s">
        <v>836</v>
      </c>
      <c r="P1421">
        <f t="shared" si="425"/>
        <v>0</v>
      </c>
      <c r="Q1421">
        <f t="shared" si="426"/>
        <v>0</v>
      </c>
      <c r="R1421">
        <f t="shared" si="427"/>
        <v>0</v>
      </c>
      <c r="S1421">
        <f t="shared" si="428"/>
        <v>0</v>
      </c>
      <c r="T1421">
        <f t="shared" si="429"/>
        <v>0</v>
      </c>
      <c r="U1421">
        <f t="shared" si="430"/>
        <v>0</v>
      </c>
      <c r="V1421">
        <f t="shared" si="431"/>
        <v>0</v>
      </c>
      <c r="W1421" t="s">
        <v>39</v>
      </c>
      <c r="X1421">
        <f t="shared" si="432"/>
        <v>1</v>
      </c>
      <c r="Y1421">
        <f t="shared" si="433"/>
        <v>0</v>
      </c>
      <c r="Z1421">
        <v>5</v>
      </c>
      <c r="AA1421">
        <f t="shared" si="434"/>
        <v>1</v>
      </c>
      <c r="AB1421" t="s">
        <v>46</v>
      </c>
      <c r="AC1421">
        <f t="shared" si="435"/>
        <v>0</v>
      </c>
      <c r="AD1421">
        <f t="shared" si="436"/>
        <v>0</v>
      </c>
      <c r="AE1421" t="s">
        <v>41</v>
      </c>
      <c r="AF1421">
        <f>IF(AE1421="website",1,0)</f>
        <v>1</v>
      </c>
    </row>
    <row r="1422" spans="1:32">
      <c r="A1422" t="s">
        <v>2071</v>
      </c>
      <c r="B1422" t="s">
        <v>33</v>
      </c>
      <c r="C1422" s="3">
        <f t="shared" si="418"/>
        <v>0</v>
      </c>
      <c r="D1422">
        <f t="shared" si="419"/>
        <v>1</v>
      </c>
      <c r="E1422" t="s">
        <v>659</v>
      </c>
      <c r="F1422" t="s">
        <v>562</v>
      </c>
      <c r="G1422" s="1">
        <v>21138</v>
      </c>
      <c r="H1422" s="2">
        <f t="shared" ca="1" si="420"/>
        <v>68</v>
      </c>
      <c r="I1422" s="2">
        <f t="shared" ca="1" si="421"/>
        <v>0.61428571428571432</v>
      </c>
      <c r="J1422" t="s">
        <v>45</v>
      </c>
      <c r="K1422" t="s">
        <v>37</v>
      </c>
      <c r="L1422">
        <f t="shared" si="422"/>
        <v>1</v>
      </c>
      <c r="M1422">
        <f t="shared" si="423"/>
        <v>0</v>
      </c>
      <c r="N1422">
        <f t="shared" si="424"/>
        <v>0</v>
      </c>
      <c r="O1422" t="s">
        <v>137</v>
      </c>
      <c r="P1422">
        <f t="shared" si="425"/>
        <v>0</v>
      </c>
      <c r="Q1422">
        <f t="shared" si="426"/>
        <v>0</v>
      </c>
      <c r="R1422">
        <f t="shared" si="427"/>
        <v>0</v>
      </c>
      <c r="S1422">
        <f t="shared" si="428"/>
        <v>0</v>
      </c>
      <c r="T1422">
        <f t="shared" si="429"/>
        <v>0</v>
      </c>
      <c r="U1422">
        <f t="shared" si="430"/>
        <v>0</v>
      </c>
      <c r="V1422">
        <f t="shared" si="431"/>
        <v>0</v>
      </c>
      <c r="W1422" t="s">
        <v>39</v>
      </c>
      <c r="X1422">
        <f t="shared" si="432"/>
        <v>1</v>
      </c>
      <c r="Y1422">
        <f t="shared" si="433"/>
        <v>0</v>
      </c>
      <c r="Z1422">
        <v>1</v>
      </c>
      <c r="AA1422">
        <f t="shared" si="434"/>
        <v>0</v>
      </c>
      <c r="AB1422" t="s">
        <v>46</v>
      </c>
      <c r="AC1422">
        <f t="shared" si="435"/>
        <v>0</v>
      </c>
      <c r="AD1422">
        <f t="shared" si="436"/>
        <v>0</v>
      </c>
      <c r="AE1422" t="s">
        <v>41</v>
      </c>
      <c r="AF1422">
        <f>IF(AE1422="website",1,0)</f>
        <v>1</v>
      </c>
    </row>
    <row r="1423" spans="1:32">
      <c r="A1423" t="s">
        <v>2072</v>
      </c>
      <c r="B1423" t="s">
        <v>33</v>
      </c>
      <c r="C1423" s="3">
        <f t="shared" si="418"/>
        <v>0</v>
      </c>
      <c r="D1423">
        <f t="shared" si="419"/>
        <v>1</v>
      </c>
      <c r="E1423" t="s">
        <v>772</v>
      </c>
      <c r="F1423" t="s">
        <v>513</v>
      </c>
      <c r="G1423" s="1">
        <v>20104</v>
      </c>
      <c r="H1423" s="2">
        <f t="shared" ca="1" si="420"/>
        <v>71</v>
      </c>
      <c r="I1423" s="2">
        <f t="shared" ca="1" si="421"/>
        <v>0.65714285714285714</v>
      </c>
      <c r="J1423" t="s">
        <v>45</v>
      </c>
      <c r="K1423" t="s">
        <v>37</v>
      </c>
      <c r="L1423">
        <f t="shared" si="422"/>
        <v>1</v>
      </c>
      <c r="M1423">
        <f t="shared" si="423"/>
        <v>0</v>
      </c>
      <c r="N1423">
        <f t="shared" si="424"/>
        <v>0</v>
      </c>
      <c r="O1423" t="s">
        <v>600</v>
      </c>
      <c r="P1423">
        <f t="shared" si="425"/>
        <v>0</v>
      </c>
      <c r="Q1423">
        <f t="shared" si="426"/>
        <v>0</v>
      </c>
      <c r="R1423">
        <f t="shared" si="427"/>
        <v>0</v>
      </c>
      <c r="S1423">
        <f t="shared" si="428"/>
        <v>0</v>
      </c>
      <c r="T1423">
        <f t="shared" si="429"/>
        <v>0</v>
      </c>
      <c r="U1423">
        <f t="shared" si="430"/>
        <v>0</v>
      </c>
      <c r="V1423">
        <f t="shared" si="431"/>
        <v>0</v>
      </c>
      <c r="W1423" t="s">
        <v>58</v>
      </c>
      <c r="X1423">
        <f t="shared" si="432"/>
        <v>0</v>
      </c>
      <c r="Y1423">
        <f t="shared" si="433"/>
        <v>1</v>
      </c>
      <c r="Z1423">
        <v>1</v>
      </c>
      <c r="AA1423">
        <f t="shared" si="434"/>
        <v>0</v>
      </c>
      <c r="AB1423" t="s">
        <v>40</v>
      </c>
      <c r="AC1423">
        <f t="shared" si="435"/>
        <v>0</v>
      </c>
      <c r="AD1423">
        <f t="shared" si="436"/>
        <v>0</v>
      </c>
      <c r="AE1423" t="s">
        <v>41</v>
      </c>
      <c r="AF1423">
        <f>IF(AE1423="website",1,0)</f>
        <v>1</v>
      </c>
    </row>
    <row r="1424" spans="1:32">
      <c r="A1424" t="s">
        <v>2073</v>
      </c>
      <c r="B1424" t="s">
        <v>33</v>
      </c>
      <c r="C1424" s="3">
        <f t="shared" si="418"/>
        <v>0</v>
      </c>
      <c r="D1424">
        <f t="shared" si="419"/>
        <v>1</v>
      </c>
      <c r="E1424" t="s">
        <v>357</v>
      </c>
      <c r="F1424" t="s">
        <v>645</v>
      </c>
      <c r="G1424" s="1">
        <v>20353</v>
      </c>
      <c r="H1424" s="2">
        <f t="shared" ca="1" si="420"/>
        <v>71</v>
      </c>
      <c r="I1424" s="2">
        <f t="shared" ca="1" si="421"/>
        <v>0.65714285714285714</v>
      </c>
      <c r="J1424" t="s">
        <v>45</v>
      </c>
      <c r="K1424" t="s">
        <v>248</v>
      </c>
      <c r="L1424">
        <f t="shared" si="422"/>
        <v>0</v>
      </c>
      <c r="M1424">
        <f t="shared" si="423"/>
        <v>0</v>
      </c>
      <c r="N1424">
        <f t="shared" si="424"/>
        <v>0</v>
      </c>
      <c r="O1424" t="s">
        <v>249</v>
      </c>
      <c r="P1424">
        <f t="shared" si="425"/>
        <v>0</v>
      </c>
      <c r="Q1424">
        <f t="shared" si="426"/>
        <v>0</v>
      </c>
      <c r="R1424">
        <f t="shared" si="427"/>
        <v>0</v>
      </c>
      <c r="S1424">
        <f t="shared" si="428"/>
        <v>0</v>
      </c>
      <c r="T1424">
        <f t="shared" si="429"/>
        <v>0</v>
      </c>
      <c r="U1424">
        <f t="shared" si="430"/>
        <v>0</v>
      </c>
      <c r="V1424">
        <f t="shared" si="431"/>
        <v>0</v>
      </c>
      <c r="W1424" t="s">
        <v>39</v>
      </c>
      <c r="X1424">
        <f t="shared" si="432"/>
        <v>1</v>
      </c>
      <c r="Y1424">
        <f t="shared" si="433"/>
        <v>0</v>
      </c>
      <c r="Z1424">
        <v>4</v>
      </c>
      <c r="AA1424">
        <f t="shared" si="434"/>
        <v>0.75</v>
      </c>
      <c r="AB1424" t="s">
        <v>40</v>
      </c>
      <c r="AC1424">
        <f t="shared" si="435"/>
        <v>0</v>
      </c>
      <c r="AD1424">
        <f t="shared" si="436"/>
        <v>0</v>
      </c>
      <c r="AE1424" t="s">
        <v>41</v>
      </c>
      <c r="AF1424">
        <f>IF(AE1424="website",1,0)</f>
        <v>1</v>
      </c>
    </row>
    <row r="1425" spans="1:32">
      <c r="A1425" t="s">
        <v>2074</v>
      </c>
      <c r="B1425" t="s">
        <v>33</v>
      </c>
      <c r="C1425" s="3">
        <f t="shared" si="418"/>
        <v>0</v>
      </c>
      <c r="D1425">
        <f t="shared" si="419"/>
        <v>1</v>
      </c>
      <c r="E1425" t="s">
        <v>782</v>
      </c>
      <c r="F1425" t="s">
        <v>573</v>
      </c>
      <c r="G1425" s="1">
        <v>19795</v>
      </c>
      <c r="H1425" s="2">
        <f t="shared" ca="1" si="420"/>
        <v>72</v>
      </c>
      <c r="I1425" s="2">
        <f t="shared" ca="1" si="421"/>
        <v>0.67142857142857137</v>
      </c>
      <c r="J1425" t="s">
        <v>36</v>
      </c>
      <c r="K1425" t="s">
        <v>37</v>
      </c>
      <c r="L1425">
        <f t="shared" si="422"/>
        <v>1</v>
      </c>
      <c r="M1425">
        <f t="shared" si="423"/>
        <v>0</v>
      </c>
      <c r="N1425">
        <f t="shared" si="424"/>
        <v>0</v>
      </c>
      <c r="O1425" t="s">
        <v>183</v>
      </c>
      <c r="P1425">
        <f t="shared" si="425"/>
        <v>0</v>
      </c>
      <c r="Q1425">
        <f t="shared" si="426"/>
        <v>0</v>
      </c>
      <c r="R1425">
        <f t="shared" si="427"/>
        <v>0</v>
      </c>
      <c r="S1425">
        <f t="shared" si="428"/>
        <v>0</v>
      </c>
      <c r="T1425">
        <f t="shared" si="429"/>
        <v>0</v>
      </c>
      <c r="U1425">
        <f t="shared" si="430"/>
        <v>0</v>
      </c>
      <c r="V1425">
        <f t="shared" si="431"/>
        <v>0</v>
      </c>
      <c r="W1425" t="s">
        <v>39</v>
      </c>
      <c r="X1425">
        <f t="shared" si="432"/>
        <v>1</v>
      </c>
      <c r="Y1425">
        <f t="shared" si="433"/>
        <v>0</v>
      </c>
      <c r="Z1425">
        <v>2</v>
      </c>
      <c r="AA1425">
        <f t="shared" si="434"/>
        <v>0.25</v>
      </c>
      <c r="AB1425" t="s">
        <v>40</v>
      </c>
      <c r="AC1425">
        <f t="shared" si="435"/>
        <v>1</v>
      </c>
      <c r="AD1425">
        <f t="shared" si="436"/>
        <v>0</v>
      </c>
      <c r="AE1425" t="s">
        <v>50</v>
      </c>
      <c r="AF1425">
        <f>IF(AE1425="website",1,0)</f>
        <v>0</v>
      </c>
    </row>
    <row r="1426" spans="1:32">
      <c r="A1426" t="s">
        <v>2075</v>
      </c>
      <c r="B1426" t="s">
        <v>33</v>
      </c>
      <c r="C1426" s="3">
        <f t="shared" si="418"/>
        <v>0</v>
      </c>
      <c r="D1426">
        <f t="shared" si="419"/>
        <v>1</v>
      </c>
      <c r="E1426" t="s">
        <v>795</v>
      </c>
      <c r="F1426" t="s">
        <v>117</v>
      </c>
      <c r="G1426" s="1">
        <v>26283</v>
      </c>
      <c r="H1426" s="2">
        <f t="shared" ca="1" si="420"/>
        <v>54</v>
      </c>
      <c r="I1426" s="2">
        <f t="shared" ca="1" si="421"/>
        <v>0.41428571428571431</v>
      </c>
      <c r="J1426" t="s">
        <v>45</v>
      </c>
      <c r="K1426" t="s">
        <v>153</v>
      </c>
      <c r="L1426">
        <f t="shared" si="422"/>
        <v>0</v>
      </c>
      <c r="M1426">
        <f t="shared" si="423"/>
        <v>0</v>
      </c>
      <c r="N1426">
        <f t="shared" si="424"/>
        <v>0</v>
      </c>
      <c r="O1426" t="s">
        <v>778</v>
      </c>
      <c r="P1426">
        <f t="shared" si="425"/>
        <v>0</v>
      </c>
      <c r="Q1426">
        <f t="shared" si="426"/>
        <v>0</v>
      </c>
      <c r="R1426">
        <f t="shared" si="427"/>
        <v>0</v>
      </c>
      <c r="S1426">
        <f t="shared" si="428"/>
        <v>0</v>
      </c>
      <c r="T1426">
        <f t="shared" si="429"/>
        <v>0</v>
      </c>
      <c r="U1426">
        <f t="shared" si="430"/>
        <v>0</v>
      </c>
      <c r="V1426">
        <f t="shared" si="431"/>
        <v>0</v>
      </c>
      <c r="W1426" t="s">
        <v>39</v>
      </c>
      <c r="X1426">
        <f t="shared" si="432"/>
        <v>1</v>
      </c>
      <c r="Y1426">
        <f t="shared" si="433"/>
        <v>0</v>
      </c>
      <c r="Z1426">
        <v>3</v>
      </c>
      <c r="AA1426">
        <f t="shared" si="434"/>
        <v>0.5</v>
      </c>
      <c r="AB1426" t="s">
        <v>46</v>
      </c>
      <c r="AC1426">
        <f t="shared" si="435"/>
        <v>0</v>
      </c>
      <c r="AD1426">
        <f t="shared" si="436"/>
        <v>0</v>
      </c>
      <c r="AE1426" t="s">
        <v>41</v>
      </c>
      <c r="AF1426">
        <f>IF(AE1426="website",1,0)</f>
        <v>1</v>
      </c>
    </row>
    <row r="1427" spans="1:32">
      <c r="A1427" t="s">
        <v>2076</v>
      </c>
      <c r="B1427" t="s">
        <v>33</v>
      </c>
      <c r="C1427" s="3">
        <f t="shared" si="418"/>
        <v>0</v>
      </c>
      <c r="D1427">
        <f t="shared" si="419"/>
        <v>1</v>
      </c>
      <c r="E1427" t="s">
        <v>1554</v>
      </c>
      <c r="F1427" t="s">
        <v>623</v>
      </c>
      <c r="G1427" s="1">
        <v>23517</v>
      </c>
      <c r="H1427" s="2">
        <f t="shared" ca="1" si="420"/>
        <v>62</v>
      </c>
      <c r="I1427" s="2">
        <f t="shared" ca="1" si="421"/>
        <v>0.52857142857142858</v>
      </c>
      <c r="J1427" t="s">
        <v>36</v>
      </c>
      <c r="K1427" t="s">
        <v>37</v>
      </c>
      <c r="L1427">
        <f t="shared" si="422"/>
        <v>1</v>
      </c>
      <c r="M1427">
        <f t="shared" si="423"/>
        <v>0</v>
      </c>
      <c r="N1427">
        <f t="shared" si="424"/>
        <v>0</v>
      </c>
      <c r="O1427" t="s">
        <v>565</v>
      </c>
      <c r="P1427">
        <f t="shared" si="425"/>
        <v>0</v>
      </c>
      <c r="Q1427">
        <f t="shared" si="426"/>
        <v>0</v>
      </c>
      <c r="R1427">
        <f t="shared" si="427"/>
        <v>0</v>
      </c>
      <c r="S1427">
        <f t="shared" si="428"/>
        <v>0</v>
      </c>
      <c r="T1427">
        <f t="shared" si="429"/>
        <v>0</v>
      </c>
      <c r="U1427">
        <f t="shared" si="430"/>
        <v>0</v>
      </c>
      <c r="V1427">
        <f t="shared" si="431"/>
        <v>0</v>
      </c>
      <c r="W1427" t="s">
        <v>39</v>
      </c>
      <c r="X1427">
        <f t="shared" si="432"/>
        <v>1</v>
      </c>
      <c r="Y1427">
        <f t="shared" si="433"/>
        <v>0</v>
      </c>
      <c r="Z1427">
        <v>2</v>
      </c>
      <c r="AA1427">
        <f t="shared" si="434"/>
        <v>0.25</v>
      </c>
      <c r="AB1427" t="s">
        <v>46</v>
      </c>
      <c r="AC1427">
        <f t="shared" si="435"/>
        <v>0</v>
      </c>
      <c r="AD1427">
        <f t="shared" si="436"/>
        <v>0</v>
      </c>
      <c r="AE1427" t="s">
        <v>41</v>
      </c>
      <c r="AF1427">
        <f>IF(AE1427="website",1,0)</f>
        <v>1</v>
      </c>
    </row>
    <row r="1428" spans="1:32">
      <c r="A1428" t="s">
        <v>2077</v>
      </c>
      <c r="B1428" t="s">
        <v>33</v>
      </c>
      <c r="C1428" s="3">
        <f t="shared" si="418"/>
        <v>0</v>
      </c>
      <c r="D1428">
        <f t="shared" si="419"/>
        <v>1</v>
      </c>
      <c r="E1428" t="s">
        <v>699</v>
      </c>
      <c r="F1428" t="s">
        <v>695</v>
      </c>
      <c r="G1428" s="1">
        <v>20219</v>
      </c>
      <c r="H1428" s="2">
        <f t="shared" ca="1" si="420"/>
        <v>71</v>
      </c>
      <c r="I1428" s="2">
        <f t="shared" ca="1" si="421"/>
        <v>0.65714285714285714</v>
      </c>
      <c r="J1428" t="s">
        <v>36</v>
      </c>
      <c r="K1428" t="s">
        <v>819</v>
      </c>
      <c r="L1428">
        <f t="shared" si="422"/>
        <v>0</v>
      </c>
      <c r="M1428">
        <f t="shared" si="423"/>
        <v>0</v>
      </c>
      <c r="N1428">
        <f t="shared" si="424"/>
        <v>0</v>
      </c>
      <c r="O1428" t="s">
        <v>1061</v>
      </c>
      <c r="P1428">
        <f t="shared" si="425"/>
        <v>0</v>
      </c>
      <c r="Q1428">
        <f t="shared" si="426"/>
        <v>0</v>
      </c>
      <c r="R1428">
        <f t="shared" si="427"/>
        <v>0</v>
      </c>
      <c r="S1428">
        <f t="shared" si="428"/>
        <v>0</v>
      </c>
      <c r="T1428">
        <f t="shared" si="429"/>
        <v>0</v>
      </c>
      <c r="U1428">
        <f t="shared" si="430"/>
        <v>0</v>
      </c>
      <c r="V1428">
        <f t="shared" si="431"/>
        <v>0</v>
      </c>
      <c r="W1428" t="s">
        <v>39</v>
      </c>
      <c r="X1428">
        <f t="shared" si="432"/>
        <v>1</v>
      </c>
      <c r="Y1428">
        <f t="shared" si="433"/>
        <v>0</v>
      </c>
      <c r="Z1428">
        <v>5</v>
      </c>
      <c r="AA1428">
        <f t="shared" si="434"/>
        <v>1</v>
      </c>
      <c r="AB1428" t="s">
        <v>46</v>
      </c>
      <c r="AC1428">
        <f t="shared" si="435"/>
        <v>0</v>
      </c>
      <c r="AD1428">
        <f t="shared" si="436"/>
        <v>0</v>
      </c>
      <c r="AE1428" t="s">
        <v>41</v>
      </c>
      <c r="AF1428">
        <f>IF(AE1428="website",1,0)</f>
        <v>1</v>
      </c>
    </row>
    <row r="1429" spans="1:32">
      <c r="A1429" t="s">
        <v>2078</v>
      </c>
      <c r="B1429" t="s">
        <v>33</v>
      </c>
      <c r="C1429" s="3">
        <f t="shared" si="418"/>
        <v>0</v>
      </c>
      <c r="D1429">
        <f t="shared" si="419"/>
        <v>1</v>
      </c>
      <c r="E1429" t="s">
        <v>976</v>
      </c>
      <c r="F1429" t="s">
        <v>720</v>
      </c>
      <c r="G1429" s="1">
        <v>19698</v>
      </c>
      <c r="H1429" s="2">
        <f t="shared" ca="1" si="420"/>
        <v>72</v>
      </c>
      <c r="I1429" s="2">
        <f t="shared" ca="1" si="421"/>
        <v>0.67142857142857137</v>
      </c>
      <c r="J1429" t="s">
        <v>36</v>
      </c>
      <c r="K1429" t="s">
        <v>37</v>
      </c>
      <c r="L1429">
        <f t="shared" si="422"/>
        <v>1</v>
      </c>
      <c r="M1429">
        <f t="shared" si="423"/>
        <v>0</v>
      </c>
      <c r="N1429">
        <f t="shared" si="424"/>
        <v>0</v>
      </c>
      <c r="O1429" t="s">
        <v>76</v>
      </c>
      <c r="P1429">
        <f t="shared" si="425"/>
        <v>0</v>
      </c>
      <c r="Q1429">
        <f t="shared" si="426"/>
        <v>1</v>
      </c>
      <c r="R1429">
        <f t="shared" si="427"/>
        <v>0</v>
      </c>
      <c r="S1429">
        <f t="shared" si="428"/>
        <v>0</v>
      </c>
      <c r="T1429">
        <f t="shared" si="429"/>
        <v>0</v>
      </c>
      <c r="U1429">
        <f t="shared" si="430"/>
        <v>0</v>
      </c>
      <c r="V1429">
        <f t="shared" si="431"/>
        <v>0</v>
      </c>
      <c r="W1429" t="s">
        <v>39</v>
      </c>
      <c r="X1429">
        <f t="shared" si="432"/>
        <v>1</v>
      </c>
      <c r="Y1429">
        <f t="shared" si="433"/>
        <v>0</v>
      </c>
      <c r="Z1429">
        <v>4</v>
      </c>
      <c r="AA1429">
        <f t="shared" si="434"/>
        <v>0.75</v>
      </c>
      <c r="AB1429" t="s">
        <v>40</v>
      </c>
      <c r="AC1429">
        <f t="shared" si="435"/>
        <v>1</v>
      </c>
      <c r="AD1429">
        <f t="shared" si="436"/>
        <v>0</v>
      </c>
      <c r="AE1429" t="s">
        <v>50</v>
      </c>
      <c r="AF1429">
        <f>IF(AE1429="website",1,0)</f>
        <v>0</v>
      </c>
    </row>
    <row r="1430" spans="1:32">
      <c r="A1430" t="s">
        <v>2079</v>
      </c>
      <c r="B1430" t="s">
        <v>33</v>
      </c>
      <c r="C1430" s="3">
        <f t="shared" si="418"/>
        <v>0</v>
      </c>
      <c r="D1430">
        <f t="shared" si="419"/>
        <v>1</v>
      </c>
      <c r="E1430" t="s">
        <v>875</v>
      </c>
      <c r="F1430" t="s">
        <v>372</v>
      </c>
      <c r="G1430" s="1">
        <v>33512</v>
      </c>
      <c r="H1430" s="2">
        <f t="shared" ca="1" si="420"/>
        <v>35</v>
      </c>
      <c r="I1430" s="2">
        <f t="shared" ca="1" si="421"/>
        <v>0.14285714285714285</v>
      </c>
      <c r="J1430" t="s">
        <v>45</v>
      </c>
      <c r="K1430" t="s">
        <v>37</v>
      </c>
      <c r="L1430">
        <f t="shared" si="422"/>
        <v>1</v>
      </c>
      <c r="M1430">
        <f t="shared" si="423"/>
        <v>0</v>
      </c>
      <c r="N1430">
        <f t="shared" si="424"/>
        <v>0</v>
      </c>
      <c r="O1430" t="s">
        <v>124</v>
      </c>
      <c r="P1430">
        <f t="shared" si="425"/>
        <v>0</v>
      </c>
      <c r="Q1430">
        <f t="shared" si="426"/>
        <v>0</v>
      </c>
      <c r="R1430">
        <f t="shared" si="427"/>
        <v>0</v>
      </c>
      <c r="S1430">
        <f t="shared" si="428"/>
        <v>0</v>
      </c>
      <c r="T1430">
        <f t="shared" si="429"/>
        <v>0</v>
      </c>
      <c r="U1430">
        <f t="shared" si="430"/>
        <v>1</v>
      </c>
      <c r="V1430">
        <f t="shared" si="431"/>
        <v>0</v>
      </c>
      <c r="W1430" t="s">
        <v>58</v>
      </c>
      <c r="X1430">
        <f t="shared" si="432"/>
        <v>0</v>
      </c>
      <c r="Y1430">
        <f t="shared" si="433"/>
        <v>1</v>
      </c>
      <c r="Z1430">
        <v>5</v>
      </c>
      <c r="AA1430">
        <f t="shared" si="434"/>
        <v>1</v>
      </c>
      <c r="AB1430" t="s">
        <v>46</v>
      </c>
      <c r="AC1430">
        <f t="shared" si="435"/>
        <v>1</v>
      </c>
      <c r="AD1430">
        <f t="shared" si="436"/>
        <v>0</v>
      </c>
      <c r="AE1430" t="s">
        <v>50</v>
      </c>
      <c r="AF1430">
        <f>IF(AE1430="website",1,0)</f>
        <v>0</v>
      </c>
    </row>
    <row r="1431" spans="1:32">
      <c r="A1431" t="s">
        <v>2080</v>
      </c>
      <c r="B1431" t="s">
        <v>33</v>
      </c>
      <c r="C1431" s="3">
        <f t="shared" si="418"/>
        <v>0</v>
      </c>
      <c r="D1431">
        <f t="shared" si="419"/>
        <v>1</v>
      </c>
      <c r="E1431" t="s">
        <v>152</v>
      </c>
      <c r="F1431" t="s">
        <v>720</v>
      </c>
      <c r="G1431" s="1">
        <v>23265</v>
      </c>
      <c r="H1431" s="2">
        <f t="shared" ca="1" si="420"/>
        <v>63</v>
      </c>
      <c r="I1431" s="2">
        <f t="shared" ca="1" si="421"/>
        <v>0.54285714285714282</v>
      </c>
      <c r="J1431" t="s">
        <v>45</v>
      </c>
      <c r="K1431" t="s">
        <v>37</v>
      </c>
      <c r="L1431">
        <f t="shared" si="422"/>
        <v>1</v>
      </c>
      <c r="M1431">
        <f t="shared" si="423"/>
        <v>0</v>
      </c>
      <c r="N1431">
        <f t="shared" si="424"/>
        <v>0</v>
      </c>
      <c r="O1431" t="s">
        <v>124</v>
      </c>
      <c r="P1431">
        <f t="shared" si="425"/>
        <v>0</v>
      </c>
      <c r="Q1431">
        <f t="shared" si="426"/>
        <v>0</v>
      </c>
      <c r="R1431">
        <f t="shared" si="427"/>
        <v>0</v>
      </c>
      <c r="S1431">
        <f t="shared" si="428"/>
        <v>0</v>
      </c>
      <c r="T1431">
        <f t="shared" si="429"/>
        <v>0</v>
      </c>
      <c r="U1431">
        <f t="shared" si="430"/>
        <v>1</v>
      </c>
      <c r="V1431">
        <f t="shared" si="431"/>
        <v>0</v>
      </c>
      <c r="W1431" t="s">
        <v>39</v>
      </c>
      <c r="X1431">
        <f t="shared" si="432"/>
        <v>1</v>
      </c>
      <c r="Y1431">
        <f t="shared" si="433"/>
        <v>0</v>
      </c>
      <c r="Z1431">
        <v>4</v>
      </c>
      <c r="AA1431">
        <f t="shared" si="434"/>
        <v>0.75</v>
      </c>
      <c r="AB1431" t="s">
        <v>46</v>
      </c>
      <c r="AC1431">
        <f t="shared" si="435"/>
        <v>0</v>
      </c>
      <c r="AD1431">
        <f t="shared" si="436"/>
        <v>0</v>
      </c>
      <c r="AE1431" t="s">
        <v>41</v>
      </c>
      <c r="AF1431">
        <f>IF(AE1431="website",1,0)</f>
        <v>1</v>
      </c>
    </row>
    <row r="1432" spans="1:32">
      <c r="A1432" t="s">
        <v>2081</v>
      </c>
      <c r="B1432" t="s">
        <v>33</v>
      </c>
      <c r="C1432" s="3">
        <f t="shared" si="418"/>
        <v>0</v>
      </c>
      <c r="D1432">
        <f t="shared" si="419"/>
        <v>1</v>
      </c>
      <c r="E1432" t="s">
        <v>776</v>
      </c>
      <c r="F1432" t="s">
        <v>928</v>
      </c>
      <c r="G1432" s="1">
        <v>15888</v>
      </c>
      <c r="H1432" s="2">
        <f t="shared" ca="1" si="420"/>
        <v>83</v>
      </c>
      <c r="I1432" s="2">
        <f t="shared" ca="1" si="421"/>
        <v>0.82857142857142863</v>
      </c>
      <c r="J1432" t="s">
        <v>36</v>
      </c>
      <c r="K1432" t="s">
        <v>113</v>
      </c>
      <c r="L1432">
        <f t="shared" si="422"/>
        <v>0</v>
      </c>
      <c r="M1432">
        <f t="shared" si="423"/>
        <v>0</v>
      </c>
      <c r="N1432">
        <f t="shared" si="424"/>
        <v>1</v>
      </c>
      <c r="O1432" t="s">
        <v>891</v>
      </c>
      <c r="P1432">
        <f t="shared" si="425"/>
        <v>0</v>
      </c>
      <c r="Q1432">
        <f t="shared" si="426"/>
        <v>0</v>
      </c>
      <c r="R1432">
        <f t="shared" si="427"/>
        <v>0</v>
      </c>
      <c r="S1432">
        <f t="shared" si="428"/>
        <v>0</v>
      </c>
      <c r="T1432">
        <f t="shared" si="429"/>
        <v>0</v>
      </c>
      <c r="U1432">
        <f t="shared" si="430"/>
        <v>0</v>
      </c>
      <c r="V1432">
        <f t="shared" si="431"/>
        <v>0</v>
      </c>
      <c r="W1432" t="s">
        <v>39</v>
      </c>
      <c r="X1432">
        <f t="shared" si="432"/>
        <v>1</v>
      </c>
      <c r="Y1432">
        <f t="shared" si="433"/>
        <v>0</v>
      </c>
      <c r="Z1432">
        <v>3</v>
      </c>
      <c r="AA1432">
        <f t="shared" si="434"/>
        <v>0.5</v>
      </c>
      <c r="AB1432" t="s">
        <v>40</v>
      </c>
      <c r="AC1432">
        <f t="shared" si="435"/>
        <v>0</v>
      </c>
      <c r="AD1432">
        <f t="shared" si="436"/>
        <v>0</v>
      </c>
      <c r="AE1432" t="s">
        <v>41</v>
      </c>
      <c r="AF1432">
        <f>IF(AE1432="website",1,0)</f>
        <v>1</v>
      </c>
    </row>
    <row r="1433" spans="1:32">
      <c r="A1433" t="s">
        <v>2082</v>
      </c>
      <c r="B1433" t="s">
        <v>33</v>
      </c>
      <c r="C1433" s="3">
        <f t="shared" si="418"/>
        <v>0</v>
      </c>
      <c r="D1433">
        <f t="shared" si="419"/>
        <v>1</v>
      </c>
      <c r="E1433" t="s">
        <v>544</v>
      </c>
      <c r="F1433" t="s">
        <v>552</v>
      </c>
      <c r="G1433" s="1">
        <v>18988</v>
      </c>
      <c r="H1433" s="2">
        <f t="shared" ca="1" si="420"/>
        <v>74</v>
      </c>
      <c r="I1433" s="2">
        <f t="shared" ca="1" si="421"/>
        <v>0.7</v>
      </c>
      <c r="J1433" t="s">
        <v>45</v>
      </c>
      <c r="K1433" t="s">
        <v>37</v>
      </c>
      <c r="L1433">
        <f t="shared" si="422"/>
        <v>1</v>
      </c>
      <c r="M1433">
        <f t="shared" si="423"/>
        <v>0</v>
      </c>
      <c r="N1433">
        <f t="shared" si="424"/>
        <v>0</v>
      </c>
      <c r="O1433" t="s">
        <v>183</v>
      </c>
      <c r="P1433">
        <f t="shared" si="425"/>
        <v>0</v>
      </c>
      <c r="Q1433">
        <f t="shared" si="426"/>
        <v>0</v>
      </c>
      <c r="R1433">
        <f t="shared" si="427"/>
        <v>0</v>
      </c>
      <c r="S1433">
        <f t="shared" si="428"/>
        <v>0</v>
      </c>
      <c r="T1433">
        <f t="shared" si="429"/>
        <v>0</v>
      </c>
      <c r="U1433">
        <f t="shared" si="430"/>
        <v>0</v>
      </c>
      <c r="V1433">
        <f t="shared" si="431"/>
        <v>0</v>
      </c>
      <c r="W1433" t="s">
        <v>39</v>
      </c>
      <c r="X1433">
        <f t="shared" si="432"/>
        <v>1</v>
      </c>
      <c r="Y1433">
        <f t="shared" si="433"/>
        <v>0</v>
      </c>
      <c r="Z1433">
        <v>3</v>
      </c>
      <c r="AA1433">
        <f t="shared" si="434"/>
        <v>0.5</v>
      </c>
      <c r="AB1433" t="s">
        <v>46</v>
      </c>
      <c r="AC1433">
        <f t="shared" si="435"/>
        <v>1</v>
      </c>
      <c r="AD1433">
        <f t="shared" si="436"/>
        <v>0</v>
      </c>
      <c r="AE1433" t="s">
        <v>50</v>
      </c>
      <c r="AF1433">
        <f>IF(AE1433="website",1,0)</f>
        <v>0</v>
      </c>
    </row>
    <row r="1434" spans="1:32">
      <c r="A1434" t="s">
        <v>2083</v>
      </c>
      <c r="B1434" t="s">
        <v>33</v>
      </c>
      <c r="C1434" s="3">
        <f t="shared" si="418"/>
        <v>0</v>
      </c>
      <c r="D1434">
        <f t="shared" si="419"/>
        <v>1</v>
      </c>
      <c r="E1434" t="s">
        <v>288</v>
      </c>
      <c r="F1434" t="s">
        <v>1270</v>
      </c>
      <c r="G1434" s="1">
        <v>19461</v>
      </c>
      <c r="H1434" s="2">
        <f t="shared" ca="1" si="420"/>
        <v>73</v>
      </c>
      <c r="I1434" s="2">
        <f t="shared" ca="1" si="421"/>
        <v>0.68571428571428572</v>
      </c>
      <c r="J1434" t="s">
        <v>45</v>
      </c>
      <c r="K1434" t="s">
        <v>113</v>
      </c>
      <c r="L1434">
        <f t="shared" si="422"/>
        <v>0</v>
      </c>
      <c r="M1434">
        <f t="shared" si="423"/>
        <v>0</v>
      </c>
      <c r="N1434">
        <f t="shared" si="424"/>
        <v>1</v>
      </c>
      <c r="O1434" t="s">
        <v>675</v>
      </c>
      <c r="P1434">
        <f t="shared" si="425"/>
        <v>0</v>
      </c>
      <c r="Q1434">
        <f t="shared" si="426"/>
        <v>0</v>
      </c>
      <c r="R1434">
        <f t="shared" si="427"/>
        <v>0</v>
      </c>
      <c r="S1434">
        <f t="shared" si="428"/>
        <v>0</v>
      </c>
      <c r="T1434">
        <f t="shared" si="429"/>
        <v>0</v>
      </c>
      <c r="U1434">
        <f t="shared" si="430"/>
        <v>0</v>
      </c>
      <c r="V1434">
        <f t="shared" si="431"/>
        <v>0</v>
      </c>
      <c r="W1434" t="s">
        <v>39</v>
      </c>
      <c r="X1434">
        <f t="shared" si="432"/>
        <v>1</v>
      </c>
      <c r="Y1434">
        <f t="shared" si="433"/>
        <v>0</v>
      </c>
      <c r="Z1434">
        <v>4</v>
      </c>
      <c r="AA1434">
        <f t="shared" si="434"/>
        <v>0.75</v>
      </c>
      <c r="AB1434" t="s">
        <v>46</v>
      </c>
      <c r="AC1434">
        <f t="shared" si="435"/>
        <v>0</v>
      </c>
      <c r="AD1434">
        <f t="shared" si="436"/>
        <v>0</v>
      </c>
      <c r="AE1434" t="s">
        <v>41</v>
      </c>
      <c r="AF1434">
        <f>IF(AE1434="website",1,0)</f>
        <v>1</v>
      </c>
    </row>
    <row r="1435" spans="1:32">
      <c r="A1435" t="s">
        <v>2084</v>
      </c>
      <c r="B1435" t="s">
        <v>55</v>
      </c>
      <c r="C1435" s="3">
        <f t="shared" si="418"/>
        <v>1</v>
      </c>
      <c r="D1435">
        <f t="shared" si="419"/>
        <v>0</v>
      </c>
      <c r="E1435" t="s">
        <v>2070</v>
      </c>
      <c r="F1435" t="s">
        <v>57</v>
      </c>
      <c r="G1435" s="1">
        <v>31223</v>
      </c>
      <c r="H1435" s="2">
        <f t="shared" ca="1" si="420"/>
        <v>41</v>
      </c>
      <c r="I1435" s="2">
        <f t="shared" ca="1" si="421"/>
        <v>0.22857142857142856</v>
      </c>
      <c r="J1435" t="s">
        <v>36</v>
      </c>
      <c r="K1435" t="s">
        <v>37</v>
      </c>
      <c r="L1435">
        <f t="shared" si="422"/>
        <v>1</v>
      </c>
      <c r="M1435">
        <f t="shared" si="423"/>
        <v>0</v>
      </c>
      <c r="N1435">
        <f t="shared" si="424"/>
        <v>0</v>
      </c>
      <c r="O1435" t="s">
        <v>38</v>
      </c>
      <c r="P1435">
        <f t="shared" si="425"/>
        <v>1</v>
      </c>
      <c r="Q1435">
        <f t="shared" si="426"/>
        <v>0</v>
      </c>
      <c r="R1435">
        <f t="shared" si="427"/>
        <v>0</v>
      </c>
      <c r="S1435">
        <f t="shared" si="428"/>
        <v>0</v>
      </c>
      <c r="T1435">
        <f t="shared" si="429"/>
        <v>0</v>
      </c>
      <c r="U1435">
        <f t="shared" si="430"/>
        <v>0</v>
      </c>
      <c r="V1435">
        <f t="shared" si="431"/>
        <v>0</v>
      </c>
      <c r="W1435" t="s">
        <v>58</v>
      </c>
      <c r="X1435">
        <f t="shared" si="432"/>
        <v>0</v>
      </c>
      <c r="Y1435">
        <f t="shared" si="433"/>
        <v>1</v>
      </c>
      <c r="Z1435">
        <v>5</v>
      </c>
      <c r="AA1435">
        <f t="shared" si="434"/>
        <v>1</v>
      </c>
      <c r="AB1435" t="s">
        <v>46</v>
      </c>
      <c r="AC1435">
        <f t="shared" si="435"/>
        <v>1</v>
      </c>
      <c r="AD1435">
        <f t="shared" si="436"/>
        <v>0</v>
      </c>
      <c r="AE1435" t="s">
        <v>50</v>
      </c>
      <c r="AF1435">
        <f>IF(AE1435="website",1,0)</f>
        <v>0</v>
      </c>
    </row>
    <row r="1436" spans="1:32">
      <c r="A1436" t="s">
        <v>2085</v>
      </c>
      <c r="B1436" t="s">
        <v>33</v>
      </c>
      <c r="C1436" s="3">
        <f t="shared" si="418"/>
        <v>0</v>
      </c>
      <c r="D1436">
        <f t="shared" si="419"/>
        <v>1</v>
      </c>
      <c r="E1436" t="s">
        <v>842</v>
      </c>
      <c r="F1436" t="s">
        <v>730</v>
      </c>
      <c r="G1436" s="1">
        <v>24570</v>
      </c>
      <c r="H1436" s="2">
        <f t="shared" ca="1" si="420"/>
        <v>59</v>
      </c>
      <c r="I1436" s="2">
        <f t="shared" ca="1" si="421"/>
        <v>0.48571428571428571</v>
      </c>
      <c r="J1436" t="s">
        <v>45</v>
      </c>
      <c r="K1436" t="s">
        <v>37</v>
      </c>
      <c r="L1436">
        <f t="shared" si="422"/>
        <v>1</v>
      </c>
      <c r="M1436">
        <f t="shared" si="423"/>
        <v>0</v>
      </c>
      <c r="N1436">
        <f t="shared" si="424"/>
        <v>0</v>
      </c>
      <c r="O1436" t="s">
        <v>592</v>
      </c>
      <c r="P1436">
        <f t="shared" si="425"/>
        <v>0</v>
      </c>
      <c r="Q1436">
        <f t="shared" si="426"/>
        <v>0</v>
      </c>
      <c r="R1436">
        <f t="shared" si="427"/>
        <v>0</v>
      </c>
      <c r="S1436">
        <f t="shared" si="428"/>
        <v>0</v>
      </c>
      <c r="T1436">
        <f t="shared" si="429"/>
        <v>0</v>
      </c>
      <c r="U1436">
        <f t="shared" si="430"/>
        <v>0</v>
      </c>
      <c r="V1436">
        <f t="shared" si="431"/>
        <v>0</v>
      </c>
      <c r="W1436" t="s">
        <v>58</v>
      </c>
      <c r="X1436">
        <f t="shared" si="432"/>
        <v>0</v>
      </c>
      <c r="Y1436">
        <f t="shared" si="433"/>
        <v>1</v>
      </c>
      <c r="Z1436">
        <v>2</v>
      </c>
      <c r="AA1436">
        <f t="shared" si="434"/>
        <v>0.25</v>
      </c>
      <c r="AB1436" t="s">
        <v>46</v>
      </c>
      <c r="AC1436">
        <f t="shared" si="435"/>
        <v>1</v>
      </c>
      <c r="AD1436">
        <f t="shared" si="436"/>
        <v>0</v>
      </c>
      <c r="AE1436" t="s">
        <v>50</v>
      </c>
      <c r="AF1436">
        <f>IF(AE1436="website",1,0)</f>
        <v>0</v>
      </c>
    </row>
    <row r="1437" spans="1:32">
      <c r="A1437" t="s">
        <v>2086</v>
      </c>
      <c r="B1437" t="s">
        <v>33</v>
      </c>
      <c r="C1437" s="3">
        <f t="shared" si="418"/>
        <v>0</v>
      </c>
      <c r="D1437">
        <f t="shared" si="419"/>
        <v>1</v>
      </c>
      <c r="E1437" t="s">
        <v>655</v>
      </c>
      <c r="F1437" t="s">
        <v>61</v>
      </c>
      <c r="G1437" s="1">
        <v>36077</v>
      </c>
      <c r="H1437" s="2">
        <f t="shared" ca="1" si="420"/>
        <v>27</v>
      </c>
      <c r="I1437" s="2">
        <f t="shared" ca="1" si="421"/>
        <v>2.8571428571428571E-2</v>
      </c>
      <c r="J1437" t="s">
        <v>45</v>
      </c>
      <c r="K1437" t="s">
        <v>37</v>
      </c>
      <c r="L1437">
        <f t="shared" si="422"/>
        <v>1</v>
      </c>
      <c r="M1437">
        <f t="shared" si="423"/>
        <v>0</v>
      </c>
      <c r="N1437">
        <f t="shared" si="424"/>
        <v>0</v>
      </c>
      <c r="O1437" t="s">
        <v>38</v>
      </c>
      <c r="P1437">
        <f t="shared" si="425"/>
        <v>1</v>
      </c>
      <c r="Q1437">
        <f t="shared" si="426"/>
        <v>0</v>
      </c>
      <c r="R1437">
        <f t="shared" si="427"/>
        <v>0</v>
      </c>
      <c r="S1437">
        <f t="shared" si="428"/>
        <v>0</v>
      </c>
      <c r="T1437">
        <f t="shared" si="429"/>
        <v>0</v>
      </c>
      <c r="U1437">
        <f t="shared" si="430"/>
        <v>0</v>
      </c>
      <c r="V1437">
        <f t="shared" si="431"/>
        <v>0</v>
      </c>
      <c r="W1437" t="s">
        <v>39</v>
      </c>
      <c r="X1437">
        <f t="shared" si="432"/>
        <v>1</v>
      </c>
      <c r="Y1437">
        <f t="shared" si="433"/>
        <v>0</v>
      </c>
      <c r="Z1437">
        <v>2</v>
      </c>
      <c r="AA1437">
        <f t="shared" si="434"/>
        <v>0.25</v>
      </c>
      <c r="AB1437" t="s">
        <v>46</v>
      </c>
      <c r="AC1437">
        <f t="shared" si="435"/>
        <v>0</v>
      </c>
      <c r="AD1437">
        <f t="shared" si="436"/>
        <v>0</v>
      </c>
      <c r="AE1437" t="s">
        <v>41</v>
      </c>
      <c r="AF1437">
        <f>IF(AE1437="website",1,0)</f>
        <v>1</v>
      </c>
    </row>
    <row r="1438" spans="1:32">
      <c r="A1438" t="s">
        <v>2087</v>
      </c>
      <c r="B1438" t="s">
        <v>33</v>
      </c>
      <c r="C1438" s="3">
        <f t="shared" si="418"/>
        <v>0</v>
      </c>
      <c r="D1438">
        <f t="shared" si="419"/>
        <v>1</v>
      </c>
      <c r="E1438" t="s">
        <v>722</v>
      </c>
      <c r="F1438" t="s">
        <v>372</v>
      </c>
      <c r="G1438" s="1">
        <v>35528</v>
      </c>
      <c r="H1438" s="2">
        <f t="shared" ca="1" si="420"/>
        <v>29</v>
      </c>
      <c r="I1438" s="2">
        <f t="shared" ca="1" si="421"/>
        <v>5.7142857142857141E-2</v>
      </c>
      <c r="J1438" t="s">
        <v>45</v>
      </c>
      <c r="K1438" t="s">
        <v>37</v>
      </c>
      <c r="L1438">
        <f t="shared" si="422"/>
        <v>1</v>
      </c>
      <c r="M1438">
        <f t="shared" si="423"/>
        <v>0</v>
      </c>
      <c r="N1438">
        <f t="shared" si="424"/>
        <v>0</v>
      </c>
      <c r="O1438" t="s">
        <v>97</v>
      </c>
      <c r="P1438">
        <f t="shared" si="425"/>
        <v>0</v>
      </c>
      <c r="Q1438">
        <f t="shared" si="426"/>
        <v>0</v>
      </c>
      <c r="R1438">
        <f t="shared" si="427"/>
        <v>0</v>
      </c>
      <c r="S1438">
        <f t="shared" si="428"/>
        <v>0</v>
      </c>
      <c r="T1438">
        <f t="shared" si="429"/>
        <v>1</v>
      </c>
      <c r="U1438">
        <f t="shared" si="430"/>
        <v>0</v>
      </c>
      <c r="V1438">
        <f t="shared" si="431"/>
        <v>0</v>
      </c>
      <c r="W1438" t="s">
        <v>58</v>
      </c>
      <c r="X1438">
        <f t="shared" si="432"/>
        <v>0</v>
      </c>
      <c r="Y1438">
        <f t="shared" si="433"/>
        <v>1</v>
      </c>
      <c r="Z1438">
        <v>5</v>
      </c>
      <c r="AA1438">
        <f t="shared" si="434"/>
        <v>1</v>
      </c>
      <c r="AB1438" t="s">
        <v>46</v>
      </c>
      <c r="AC1438">
        <f t="shared" si="435"/>
        <v>1</v>
      </c>
      <c r="AD1438">
        <f t="shared" si="436"/>
        <v>0</v>
      </c>
      <c r="AE1438" t="s">
        <v>50</v>
      </c>
      <c r="AF1438">
        <f>IF(AE1438="website",1,0)</f>
        <v>0</v>
      </c>
    </row>
    <row r="1439" spans="1:32">
      <c r="A1439" t="s">
        <v>2088</v>
      </c>
      <c r="B1439" t="s">
        <v>33</v>
      </c>
      <c r="C1439" s="3">
        <f t="shared" si="418"/>
        <v>0</v>
      </c>
      <c r="D1439">
        <f t="shared" si="419"/>
        <v>1</v>
      </c>
      <c r="E1439" t="s">
        <v>1140</v>
      </c>
      <c r="F1439" t="s">
        <v>117</v>
      </c>
      <c r="G1439" s="1">
        <v>32359</v>
      </c>
      <c r="H1439" s="2">
        <f t="shared" ca="1" si="420"/>
        <v>38</v>
      </c>
      <c r="I1439" s="2">
        <f t="shared" ca="1" si="421"/>
        <v>0.18571428571428572</v>
      </c>
      <c r="J1439" t="s">
        <v>45</v>
      </c>
      <c r="K1439" t="s">
        <v>37</v>
      </c>
      <c r="L1439">
        <f t="shared" si="422"/>
        <v>1</v>
      </c>
      <c r="M1439">
        <f t="shared" si="423"/>
        <v>0</v>
      </c>
      <c r="N1439">
        <f t="shared" si="424"/>
        <v>0</v>
      </c>
      <c r="O1439" t="s">
        <v>38</v>
      </c>
      <c r="P1439">
        <f t="shared" si="425"/>
        <v>1</v>
      </c>
      <c r="Q1439">
        <f t="shared" si="426"/>
        <v>0</v>
      </c>
      <c r="R1439">
        <f t="shared" si="427"/>
        <v>0</v>
      </c>
      <c r="S1439">
        <f t="shared" si="428"/>
        <v>0</v>
      </c>
      <c r="T1439">
        <f t="shared" si="429"/>
        <v>0</v>
      </c>
      <c r="U1439">
        <f t="shared" si="430"/>
        <v>0</v>
      </c>
      <c r="V1439">
        <f t="shared" si="431"/>
        <v>0</v>
      </c>
      <c r="W1439" t="s">
        <v>39</v>
      </c>
      <c r="X1439">
        <f t="shared" si="432"/>
        <v>1</v>
      </c>
      <c r="Y1439">
        <f t="shared" si="433"/>
        <v>0</v>
      </c>
      <c r="Z1439">
        <v>2</v>
      </c>
      <c r="AA1439">
        <f t="shared" si="434"/>
        <v>0.25</v>
      </c>
      <c r="AB1439" t="s">
        <v>40</v>
      </c>
      <c r="AC1439">
        <f t="shared" si="435"/>
        <v>1</v>
      </c>
      <c r="AD1439">
        <f t="shared" si="436"/>
        <v>0</v>
      </c>
      <c r="AE1439" t="s">
        <v>50</v>
      </c>
      <c r="AF1439">
        <f>IF(AE1439="website",1,0)</f>
        <v>0</v>
      </c>
    </row>
    <row r="1440" spans="1:32">
      <c r="A1440" t="s">
        <v>2089</v>
      </c>
      <c r="B1440" t="s">
        <v>33</v>
      </c>
      <c r="C1440" s="3">
        <f t="shared" si="418"/>
        <v>0</v>
      </c>
      <c r="D1440">
        <f t="shared" si="419"/>
        <v>1</v>
      </c>
      <c r="E1440" t="s">
        <v>259</v>
      </c>
      <c r="F1440" t="s">
        <v>730</v>
      </c>
      <c r="G1440" s="1">
        <v>36813</v>
      </c>
      <c r="H1440" s="2">
        <f t="shared" ca="1" si="420"/>
        <v>25</v>
      </c>
      <c r="I1440" s="2">
        <f t="shared" ca="1" si="421"/>
        <v>0</v>
      </c>
      <c r="J1440" t="s">
        <v>36</v>
      </c>
      <c r="K1440" t="s">
        <v>37</v>
      </c>
      <c r="L1440">
        <f t="shared" si="422"/>
        <v>1</v>
      </c>
      <c r="M1440">
        <f t="shared" si="423"/>
        <v>0</v>
      </c>
      <c r="N1440">
        <f t="shared" si="424"/>
        <v>0</v>
      </c>
      <c r="O1440" t="s">
        <v>305</v>
      </c>
      <c r="P1440">
        <f t="shared" si="425"/>
        <v>0</v>
      </c>
      <c r="Q1440">
        <f t="shared" si="426"/>
        <v>0</v>
      </c>
      <c r="R1440">
        <f t="shared" si="427"/>
        <v>0</v>
      </c>
      <c r="S1440">
        <f t="shared" si="428"/>
        <v>0</v>
      </c>
      <c r="T1440">
        <f t="shared" si="429"/>
        <v>0</v>
      </c>
      <c r="U1440">
        <f t="shared" si="430"/>
        <v>0</v>
      </c>
      <c r="V1440">
        <f t="shared" si="431"/>
        <v>0</v>
      </c>
      <c r="W1440" t="s">
        <v>39</v>
      </c>
      <c r="X1440">
        <f t="shared" si="432"/>
        <v>1</v>
      </c>
      <c r="Y1440">
        <f t="shared" si="433"/>
        <v>0</v>
      </c>
      <c r="Z1440">
        <v>2</v>
      </c>
      <c r="AA1440">
        <f t="shared" si="434"/>
        <v>0.25</v>
      </c>
      <c r="AB1440" t="s">
        <v>46</v>
      </c>
      <c r="AC1440">
        <f t="shared" si="435"/>
        <v>1</v>
      </c>
      <c r="AD1440">
        <f t="shared" si="436"/>
        <v>0</v>
      </c>
      <c r="AE1440" t="s">
        <v>50</v>
      </c>
      <c r="AF1440">
        <f>IF(AE1440="website",1,0)</f>
        <v>0</v>
      </c>
    </row>
    <row r="1441" spans="1:32">
      <c r="A1441" t="s">
        <v>2090</v>
      </c>
      <c r="B1441" t="s">
        <v>33</v>
      </c>
      <c r="C1441" s="3">
        <f t="shared" si="418"/>
        <v>0</v>
      </c>
      <c r="D1441">
        <f t="shared" si="419"/>
        <v>1</v>
      </c>
      <c r="E1441" t="s">
        <v>548</v>
      </c>
      <c r="F1441" t="s">
        <v>685</v>
      </c>
      <c r="G1441" s="1">
        <v>19195</v>
      </c>
      <c r="H1441" s="2">
        <f t="shared" ca="1" si="420"/>
        <v>74</v>
      </c>
      <c r="I1441" s="2">
        <f t="shared" ca="1" si="421"/>
        <v>0.7</v>
      </c>
      <c r="J1441" t="s">
        <v>36</v>
      </c>
      <c r="K1441" t="s">
        <v>37</v>
      </c>
      <c r="L1441">
        <f t="shared" si="422"/>
        <v>1</v>
      </c>
      <c r="M1441">
        <f t="shared" si="423"/>
        <v>0</v>
      </c>
      <c r="N1441">
        <f t="shared" si="424"/>
        <v>0</v>
      </c>
      <c r="O1441" t="s">
        <v>137</v>
      </c>
      <c r="P1441">
        <f t="shared" si="425"/>
        <v>0</v>
      </c>
      <c r="Q1441">
        <f t="shared" si="426"/>
        <v>0</v>
      </c>
      <c r="R1441">
        <f t="shared" si="427"/>
        <v>0</v>
      </c>
      <c r="S1441">
        <f t="shared" si="428"/>
        <v>0</v>
      </c>
      <c r="T1441">
        <f t="shared" si="429"/>
        <v>0</v>
      </c>
      <c r="U1441">
        <f t="shared" si="430"/>
        <v>0</v>
      </c>
      <c r="V1441">
        <f t="shared" si="431"/>
        <v>0</v>
      </c>
      <c r="W1441" t="s">
        <v>58</v>
      </c>
      <c r="X1441">
        <f t="shared" si="432"/>
        <v>0</v>
      </c>
      <c r="Y1441">
        <f t="shared" si="433"/>
        <v>1</v>
      </c>
      <c r="Z1441">
        <v>2</v>
      </c>
      <c r="AA1441">
        <f t="shared" si="434"/>
        <v>0.25</v>
      </c>
      <c r="AB1441" t="s">
        <v>46</v>
      </c>
      <c r="AC1441">
        <f t="shared" si="435"/>
        <v>1</v>
      </c>
      <c r="AD1441">
        <f t="shared" si="436"/>
        <v>0</v>
      </c>
      <c r="AE1441" t="s">
        <v>50</v>
      </c>
      <c r="AF1441">
        <f>IF(AE1441="website",1,0)</f>
        <v>0</v>
      </c>
    </row>
    <row r="1442" spans="1:32">
      <c r="A1442" t="s">
        <v>2091</v>
      </c>
      <c r="B1442" t="s">
        <v>33</v>
      </c>
      <c r="C1442" s="3">
        <f t="shared" si="418"/>
        <v>0</v>
      </c>
      <c r="D1442">
        <f t="shared" si="419"/>
        <v>1</v>
      </c>
      <c r="E1442" t="s">
        <v>259</v>
      </c>
      <c r="F1442" t="s">
        <v>623</v>
      </c>
      <c r="G1442" s="1">
        <v>16688</v>
      </c>
      <c r="H1442" s="2">
        <f t="shared" ca="1" si="420"/>
        <v>81</v>
      </c>
      <c r="I1442" s="2">
        <f t="shared" ca="1" si="421"/>
        <v>0.8</v>
      </c>
      <c r="J1442" t="s">
        <v>36</v>
      </c>
      <c r="K1442" t="s">
        <v>37</v>
      </c>
      <c r="L1442">
        <f t="shared" si="422"/>
        <v>1</v>
      </c>
      <c r="M1442">
        <f t="shared" si="423"/>
        <v>0</v>
      </c>
      <c r="N1442">
        <f t="shared" si="424"/>
        <v>0</v>
      </c>
      <c r="O1442" t="s">
        <v>38</v>
      </c>
      <c r="P1442">
        <f t="shared" si="425"/>
        <v>1</v>
      </c>
      <c r="Q1442">
        <f t="shared" si="426"/>
        <v>0</v>
      </c>
      <c r="R1442">
        <f t="shared" si="427"/>
        <v>0</v>
      </c>
      <c r="S1442">
        <f t="shared" si="428"/>
        <v>0</v>
      </c>
      <c r="T1442">
        <f t="shared" si="429"/>
        <v>0</v>
      </c>
      <c r="U1442">
        <f t="shared" si="430"/>
        <v>0</v>
      </c>
      <c r="V1442">
        <f t="shared" si="431"/>
        <v>0</v>
      </c>
      <c r="W1442" t="s">
        <v>58</v>
      </c>
      <c r="X1442">
        <f t="shared" si="432"/>
        <v>0</v>
      </c>
      <c r="Y1442">
        <f t="shared" si="433"/>
        <v>1</v>
      </c>
      <c r="Z1442">
        <v>5</v>
      </c>
      <c r="AA1442">
        <f t="shared" si="434"/>
        <v>1</v>
      </c>
      <c r="AB1442" t="s">
        <v>46</v>
      </c>
      <c r="AC1442">
        <f t="shared" si="435"/>
        <v>0</v>
      </c>
      <c r="AD1442">
        <f t="shared" si="436"/>
        <v>0</v>
      </c>
      <c r="AE1442" t="s">
        <v>41</v>
      </c>
      <c r="AF1442">
        <f>IF(AE1442="website",1,0)</f>
        <v>1</v>
      </c>
    </row>
    <row r="1443" spans="1:32">
      <c r="A1443" t="s">
        <v>2092</v>
      </c>
      <c r="B1443" t="s">
        <v>33</v>
      </c>
      <c r="C1443" s="3">
        <f t="shared" si="418"/>
        <v>0</v>
      </c>
      <c r="D1443">
        <f t="shared" si="419"/>
        <v>1</v>
      </c>
      <c r="E1443" t="s">
        <v>997</v>
      </c>
      <c r="F1443" t="s">
        <v>674</v>
      </c>
      <c r="G1443" s="1">
        <v>36694</v>
      </c>
      <c r="H1443" s="2">
        <f t="shared" ca="1" si="420"/>
        <v>26</v>
      </c>
      <c r="I1443" s="2">
        <f t="shared" ca="1" si="421"/>
        <v>1.4285714285714285E-2</v>
      </c>
      <c r="J1443" t="s">
        <v>45</v>
      </c>
      <c r="K1443" t="s">
        <v>37</v>
      </c>
      <c r="L1443">
        <f t="shared" si="422"/>
        <v>1</v>
      </c>
      <c r="M1443">
        <f t="shared" si="423"/>
        <v>0</v>
      </c>
      <c r="N1443">
        <f t="shared" si="424"/>
        <v>0</v>
      </c>
      <c r="O1443" t="s">
        <v>137</v>
      </c>
      <c r="P1443">
        <f t="shared" si="425"/>
        <v>0</v>
      </c>
      <c r="Q1443">
        <f t="shared" si="426"/>
        <v>0</v>
      </c>
      <c r="R1443">
        <f t="shared" si="427"/>
        <v>0</v>
      </c>
      <c r="S1443">
        <f t="shared" si="428"/>
        <v>0</v>
      </c>
      <c r="T1443">
        <f t="shared" si="429"/>
        <v>0</v>
      </c>
      <c r="U1443">
        <f t="shared" si="430"/>
        <v>0</v>
      </c>
      <c r="V1443">
        <f t="shared" si="431"/>
        <v>0</v>
      </c>
      <c r="W1443" t="s">
        <v>39</v>
      </c>
      <c r="X1443">
        <f t="shared" si="432"/>
        <v>1</v>
      </c>
      <c r="Y1443">
        <f t="shared" si="433"/>
        <v>0</v>
      </c>
      <c r="Z1443">
        <v>2</v>
      </c>
      <c r="AA1443">
        <f t="shared" si="434"/>
        <v>0.25</v>
      </c>
      <c r="AB1443" t="s">
        <v>40</v>
      </c>
      <c r="AC1443">
        <f t="shared" si="435"/>
        <v>0</v>
      </c>
      <c r="AD1443">
        <f t="shared" si="436"/>
        <v>1</v>
      </c>
      <c r="AE1443" t="s">
        <v>90</v>
      </c>
      <c r="AF1443">
        <f>IF(AE1443="website",1,0)</f>
        <v>0</v>
      </c>
    </row>
    <row r="1444" spans="1:32">
      <c r="A1444" t="s">
        <v>2093</v>
      </c>
      <c r="B1444" t="s">
        <v>33</v>
      </c>
      <c r="C1444" s="3">
        <f t="shared" si="418"/>
        <v>0</v>
      </c>
      <c r="D1444">
        <f t="shared" si="419"/>
        <v>1</v>
      </c>
      <c r="E1444" t="s">
        <v>755</v>
      </c>
      <c r="F1444" t="s">
        <v>716</v>
      </c>
      <c r="G1444" s="1">
        <v>29181</v>
      </c>
      <c r="H1444" s="2">
        <f t="shared" ca="1" si="420"/>
        <v>46</v>
      </c>
      <c r="I1444" s="2">
        <f t="shared" ca="1" si="421"/>
        <v>0.3</v>
      </c>
      <c r="J1444" t="s">
        <v>36</v>
      </c>
      <c r="K1444" t="s">
        <v>37</v>
      </c>
      <c r="L1444">
        <f t="shared" si="422"/>
        <v>1</v>
      </c>
      <c r="M1444">
        <f t="shared" si="423"/>
        <v>0</v>
      </c>
      <c r="N1444">
        <f t="shared" si="424"/>
        <v>0</v>
      </c>
      <c r="O1444" t="s">
        <v>600</v>
      </c>
      <c r="P1444">
        <f t="shared" si="425"/>
        <v>0</v>
      </c>
      <c r="Q1444">
        <f t="shared" si="426"/>
        <v>0</v>
      </c>
      <c r="R1444">
        <f t="shared" si="427"/>
        <v>0</v>
      </c>
      <c r="S1444">
        <f t="shared" si="428"/>
        <v>0</v>
      </c>
      <c r="T1444">
        <f t="shared" si="429"/>
        <v>0</v>
      </c>
      <c r="U1444">
        <f t="shared" si="430"/>
        <v>0</v>
      </c>
      <c r="V1444">
        <f t="shared" si="431"/>
        <v>0</v>
      </c>
      <c r="W1444" t="s">
        <v>39</v>
      </c>
      <c r="X1444">
        <f t="shared" si="432"/>
        <v>1</v>
      </c>
      <c r="Y1444">
        <f t="shared" si="433"/>
        <v>0</v>
      </c>
      <c r="Z1444">
        <v>2</v>
      </c>
      <c r="AA1444">
        <f t="shared" si="434"/>
        <v>0.25</v>
      </c>
      <c r="AB1444" t="s">
        <v>46</v>
      </c>
      <c r="AC1444">
        <f t="shared" si="435"/>
        <v>0</v>
      </c>
      <c r="AD1444">
        <f t="shared" si="436"/>
        <v>0</v>
      </c>
      <c r="AE1444" t="s">
        <v>41</v>
      </c>
      <c r="AF1444">
        <f>IF(AE1444="website",1,0)</f>
        <v>1</v>
      </c>
    </row>
    <row r="1445" spans="1:32">
      <c r="A1445" t="s">
        <v>2094</v>
      </c>
      <c r="B1445" t="s">
        <v>33</v>
      </c>
      <c r="C1445" s="3">
        <f t="shared" si="418"/>
        <v>0</v>
      </c>
      <c r="D1445">
        <f t="shared" si="419"/>
        <v>1</v>
      </c>
      <c r="E1445" t="s">
        <v>344</v>
      </c>
      <c r="F1445" t="s">
        <v>576</v>
      </c>
      <c r="G1445" s="1">
        <v>29762</v>
      </c>
      <c r="H1445" s="2">
        <f t="shared" ca="1" si="420"/>
        <v>45</v>
      </c>
      <c r="I1445" s="2">
        <f t="shared" ca="1" si="421"/>
        <v>0.2857142857142857</v>
      </c>
      <c r="J1445" t="s">
        <v>45</v>
      </c>
      <c r="K1445" t="s">
        <v>37</v>
      </c>
      <c r="L1445">
        <f t="shared" si="422"/>
        <v>1</v>
      </c>
      <c r="M1445">
        <f t="shared" si="423"/>
        <v>0</v>
      </c>
      <c r="N1445">
        <f t="shared" si="424"/>
        <v>0</v>
      </c>
      <c r="O1445" t="s">
        <v>137</v>
      </c>
      <c r="P1445">
        <f t="shared" si="425"/>
        <v>0</v>
      </c>
      <c r="Q1445">
        <f t="shared" si="426"/>
        <v>0</v>
      </c>
      <c r="R1445">
        <f t="shared" si="427"/>
        <v>0</v>
      </c>
      <c r="S1445">
        <f t="shared" si="428"/>
        <v>0</v>
      </c>
      <c r="T1445">
        <f t="shared" si="429"/>
        <v>0</v>
      </c>
      <c r="U1445">
        <f t="shared" si="430"/>
        <v>0</v>
      </c>
      <c r="V1445">
        <f t="shared" si="431"/>
        <v>0</v>
      </c>
      <c r="W1445" t="s">
        <v>39</v>
      </c>
      <c r="X1445">
        <f t="shared" si="432"/>
        <v>1</v>
      </c>
      <c r="Y1445">
        <f t="shared" si="433"/>
        <v>0</v>
      </c>
      <c r="Z1445">
        <v>3</v>
      </c>
      <c r="AA1445">
        <f t="shared" si="434"/>
        <v>0.5</v>
      </c>
      <c r="AB1445" t="s">
        <v>46</v>
      </c>
      <c r="AC1445">
        <f t="shared" si="435"/>
        <v>0</v>
      </c>
      <c r="AD1445">
        <f t="shared" si="436"/>
        <v>0</v>
      </c>
      <c r="AE1445" t="s">
        <v>41</v>
      </c>
      <c r="AF1445">
        <f>IF(AE1445="website",1,0)</f>
        <v>1</v>
      </c>
    </row>
    <row r="1446" spans="1:32">
      <c r="A1446" t="s">
        <v>2095</v>
      </c>
      <c r="B1446" t="s">
        <v>33</v>
      </c>
      <c r="C1446" s="3">
        <f t="shared" si="418"/>
        <v>0</v>
      </c>
      <c r="D1446">
        <f t="shared" si="419"/>
        <v>1</v>
      </c>
      <c r="E1446" t="s">
        <v>1032</v>
      </c>
      <c r="F1446" t="s">
        <v>549</v>
      </c>
      <c r="G1446" s="1">
        <v>32350</v>
      </c>
      <c r="H1446" s="2">
        <f t="shared" ca="1" si="420"/>
        <v>38</v>
      </c>
      <c r="I1446" s="2">
        <f t="shared" ca="1" si="421"/>
        <v>0.18571428571428572</v>
      </c>
      <c r="J1446" t="s">
        <v>45</v>
      </c>
      <c r="K1446" t="s">
        <v>37</v>
      </c>
      <c r="L1446">
        <f t="shared" si="422"/>
        <v>1</v>
      </c>
      <c r="M1446">
        <f t="shared" si="423"/>
        <v>0</v>
      </c>
      <c r="N1446">
        <f t="shared" si="424"/>
        <v>0</v>
      </c>
      <c r="O1446" t="s">
        <v>600</v>
      </c>
      <c r="P1446">
        <f t="shared" si="425"/>
        <v>0</v>
      </c>
      <c r="Q1446">
        <f t="shared" si="426"/>
        <v>0</v>
      </c>
      <c r="R1446">
        <f t="shared" si="427"/>
        <v>0</v>
      </c>
      <c r="S1446">
        <f t="shared" si="428"/>
        <v>0</v>
      </c>
      <c r="T1446">
        <f t="shared" si="429"/>
        <v>0</v>
      </c>
      <c r="U1446">
        <f t="shared" si="430"/>
        <v>0</v>
      </c>
      <c r="V1446">
        <f t="shared" si="431"/>
        <v>0</v>
      </c>
      <c r="W1446" t="s">
        <v>39</v>
      </c>
      <c r="X1446">
        <f t="shared" si="432"/>
        <v>1</v>
      </c>
      <c r="Y1446">
        <f t="shared" si="433"/>
        <v>0</v>
      </c>
      <c r="Z1446">
        <v>5</v>
      </c>
      <c r="AA1446">
        <f t="shared" si="434"/>
        <v>1</v>
      </c>
      <c r="AB1446" t="s">
        <v>46</v>
      </c>
      <c r="AC1446">
        <f t="shared" si="435"/>
        <v>0</v>
      </c>
      <c r="AD1446">
        <f t="shared" si="436"/>
        <v>0</v>
      </c>
      <c r="AE1446" t="s">
        <v>41</v>
      </c>
      <c r="AF1446">
        <f>IF(AE1446="website",1,0)</f>
        <v>1</v>
      </c>
    </row>
    <row r="1447" spans="1:32">
      <c r="A1447" t="s">
        <v>2096</v>
      </c>
      <c r="B1447" t="s">
        <v>33</v>
      </c>
      <c r="C1447" s="3">
        <f t="shared" si="418"/>
        <v>0</v>
      </c>
      <c r="D1447">
        <f t="shared" si="419"/>
        <v>1</v>
      </c>
      <c r="E1447" t="s">
        <v>570</v>
      </c>
      <c r="F1447" t="s">
        <v>656</v>
      </c>
      <c r="G1447" s="1">
        <v>18971</v>
      </c>
      <c r="H1447" s="2">
        <f t="shared" ca="1" si="420"/>
        <v>74</v>
      </c>
      <c r="I1447" s="2">
        <f t="shared" ca="1" si="421"/>
        <v>0.7</v>
      </c>
      <c r="J1447" t="s">
        <v>36</v>
      </c>
      <c r="K1447" t="s">
        <v>37</v>
      </c>
      <c r="L1447">
        <f t="shared" si="422"/>
        <v>1</v>
      </c>
      <c r="M1447">
        <f t="shared" si="423"/>
        <v>0</v>
      </c>
      <c r="N1447">
        <f t="shared" si="424"/>
        <v>0</v>
      </c>
      <c r="O1447" t="s">
        <v>559</v>
      </c>
      <c r="P1447">
        <f t="shared" si="425"/>
        <v>0</v>
      </c>
      <c r="Q1447">
        <f t="shared" si="426"/>
        <v>0</v>
      </c>
      <c r="R1447">
        <f t="shared" si="427"/>
        <v>0</v>
      </c>
      <c r="S1447">
        <f t="shared" si="428"/>
        <v>0</v>
      </c>
      <c r="T1447">
        <f t="shared" si="429"/>
        <v>0</v>
      </c>
      <c r="U1447">
        <f t="shared" si="430"/>
        <v>0</v>
      </c>
      <c r="V1447">
        <f t="shared" si="431"/>
        <v>0</v>
      </c>
      <c r="W1447" t="s">
        <v>39</v>
      </c>
      <c r="X1447">
        <f t="shared" si="432"/>
        <v>1</v>
      </c>
      <c r="Y1447">
        <f t="shared" si="433"/>
        <v>0</v>
      </c>
      <c r="Z1447">
        <v>4</v>
      </c>
      <c r="AA1447">
        <f t="shared" si="434"/>
        <v>0.75</v>
      </c>
      <c r="AB1447" t="s">
        <v>46</v>
      </c>
      <c r="AC1447">
        <f t="shared" si="435"/>
        <v>0</v>
      </c>
      <c r="AD1447">
        <f t="shared" si="436"/>
        <v>0</v>
      </c>
      <c r="AE1447" t="s">
        <v>41</v>
      </c>
      <c r="AF1447">
        <f>IF(AE1447="website",1,0)</f>
        <v>1</v>
      </c>
    </row>
    <row r="1448" spans="1:32">
      <c r="A1448" t="s">
        <v>2097</v>
      </c>
      <c r="B1448" t="s">
        <v>33</v>
      </c>
      <c r="C1448" s="3">
        <f t="shared" si="418"/>
        <v>0</v>
      </c>
      <c r="D1448">
        <f t="shared" si="419"/>
        <v>1</v>
      </c>
      <c r="E1448" t="s">
        <v>1087</v>
      </c>
      <c r="F1448" t="s">
        <v>709</v>
      </c>
      <c r="G1448" s="1">
        <v>26433</v>
      </c>
      <c r="H1448" s="2">
        <f t="shared" ca="1" si="420"/>
        <v>54</v>
      </c>
      <c r="I1448" s="2">
        <f t="shared" ca="1" si="421"/>
        <v>0.41428571428571431</v>
      </c>
      <c r="J1448" t="s">
        <v>36</v>
      </c>
      <c r="K1448" t="s">
        <v>37</v>
      </c>
      <c r="L1448">
        <f t="shared" si="422"/>
        <v>1</v>
      </c>
      <c r="M1448">
        <f t="shared" si="423"/>
        <v>0</v>
      </c>
      <c r="N1448">
        <f t="shared" si="424"/>
        <v>0</v>
      </c>
      <c r="O1448" t="s">
        <v>124</v>
      </c>
      <c r="P1448">
        <f t="shared" si="425"/>
        <v>0</v>
      </c>
      <c r="Q1448">
        <f t="shared" si="426"/>
        <v>0</v>
      </c>
      <c r="R1448">
        <f t="shared" si="427"/>
        <v>0</v>
      </c>
      <c r="S1448">
        <f t="shared" si="428"/>
        <v>0</v>
      </c>
      <c r="T1448">
        <f t="shared" si="429"/>
        <v>0</v>
      </c>
      <c r="U1448">
        <f t="shared" si="430"/>
        <v>1</v>
      </c>
      <c r="V1448">
        <f t="shared" si="431"/>
        <v>0</v>
      </c>
      <c r="W1448" t="s">
        <v>58</v>
      </c>
      <c r="X1448">
        <f t="shared" si="432"/>
        <v>0</v>
      </c>
      <c r="Y1448">
        <f t="shared" si="433"/>
        <v>1</v>
      </c>
      <c r="Z1448">
        <v>4</v>
      </c>
      <c r="AA1448">
        <f t="shared" si="434"/>
        <v>0.75</v>
      </c>
      <c r="AB1448" t="s">
        <v>40</v>
      </c>
      <c r="AC1448">
        <f t="shared" si="435"/>
        <v>0</v>
      </c>
      <c r="AD1448">
        <f t="shared" si="436"/>
        <v>1</v>
      </c>
      <c r="AE1448" t="s">
        <v>90</v>
      </c>
      <c r="AF1448">
        <f>IF(AE1448="website",1,0)</f>
        <v>0</v>
      </c>
    </row>
    <row r="1449" spans="1:32">
      <c r="A1449" t="s">
        <v>2098</v>
      </c>
      <c r="B1449" t="s">
        <v>33</v>
      </c>
      <c r="C1449" s="3">
        <f t="shared" si="418"/>
        <v>0</v>
      </c>
      <c r="D1449">
        <f t="shared" si="419"/>
        <v>1</v>
      </c>
      <c r="E1449" t="s">
        <v>226</v>
      </c>
      <c r="F1449" t="s">
        <v>887</v>
      </c>
      <c r="G1449" s="1">
        <v>21624</v>
      </c>
      <c r="H1449" s="2">
        <f t="shared" ca="1" si="420"/>
        <v>67</v>
      </c>
      <c r="I1449" s="2">
        <f t="shared" ca="1" si="421"/>
        <v>0.6</v>
      </c>
      <c r="J1449" t="s">
        <v>45</v>
      </c>
      <c r="K1449" t="s">
        <v>172</v>
      </c>
      <c r="L1449">
        <f t="shared" si="422"/>
        <v>0</v>
      </c>
      <c r="M1449">
        <f t="shared" si="423"/>
        <v>0</v>
      </c>
      <c r="N1449">
        <f t="shared" si="424"/>
        <v>0</v>
      </c>
      <c r="O1449" t="s">
        <v>833</v>
      </c>
      <c r="P1449">
        <f t="shared" si="425"/>
        <v>0</v>
      </c>
      <c r="Q1449">
        <f t="shared" si="426"/>
        <v>0</v>
      </c>
      <c r="R1449">
        <f t="shared" si="427"/>
        <v>0</v>
      </c>
      <c r="S1449">
        <f t="shared" si="428"/>
        <v>0</v>
      </c>
      <c r="T1449">
        <f t="shared" si="429"/>
        <v>0</v>
      </c>
      <c r="U1449">
        <f t="shared" si="430"/>
        <v>0</v>
      </c>
      <c r="V1449">
        <f t="shared" si="431"/>
        <v>0</v>
      </c>
      <c r="W1449" t="s">
        <v>39</v>
      </c>
      <c r="X1449">
        <f t="shared" si="432"/>
        <v>1</v>
      </c>
      <c r="Y1449">
        <f t="shared" si="433"/>
        <v>0</v>
      </c>
      <c r="Z1449">
        <v>1</v>
      </c>
      <c r="AA1449">
        <f t="shared" si="434"/>
        <v>0</v>
      </c>
      <c r="AB1449" t="s">
        <v>46</v>
      </c>
      <c r="AC1449">
        <f t="shared" si="435"/>
        <v>0</v>
      </c>
      <c r="AD1449">
        <f t="shared" si="436"/>
        <v>0</v>
      </c>
      <c r="AE1449" t="s">
        <v>41</v>
      </c>
      <c r="AF1449">
        <f>IF(AE1449="website",1,0)</f>
        <v>1</v>
      </c>
    </row>
    <row r="1450" spans="1:32">
      <c r="A1450" t="s">
        <v>2099</v>
      </c>
      <c r="B1450" t="s">
        <v>33</v>
      </c>
      <c r="C1450" s="3">
        <f t="shared" si="418"/>
        <v>0</v>
      </c>
      <c r="D1450">
        <f t="shared" si="419"/>
        <v>1</v>
      </c>
      <c r="E1450" t="s">
        <v>976</v>
      </c>
      <c r="F1450" t="s">
        <v>856</v>
      </c>
      <c r="G1450" s="1">
        <v>36325</v>
      </c>
      <c r="H1450" s="2">
        <f t="shared" ca="1" si="420"/>
        <v>27</v>
      </c>
      <c r="I1450" s="2">
        <f t="shared" ca="1" si="421"/>
        <v>2.8571428571428571E-2</v>
      </c>
      <c r="J1450" t="s">
        <v>36</v>
      </c>
      <c r="K1450" t="s">
        <v>37</v>
      </c>
      <c r="L1450">
        <f t="shared" si="422"/>
        <v>1</v>
      </c>
      <c r="M1450">
        <f t="shared" si="423"/>
        <v>0</v>
      </c>
      <c r="N1450">
        <f t="shared" si="424"/>
        <v>0</v>
      </c>
      <c r="O1450" t="s">
        <v>38</v>
      </c>
      <c r="P1450">
        <f t="shared" si="425"/>
        <v>1</v>
      </c>
      <c r="Q1450">
        <f t="shared" si="426"/>
        <v>0</v>
      </c>
      <c r="R1450">
        <f t="shared" si="427"/>
        <v>0</v>
      </c>
      <c r="S1450">
        <f t="shared" si="428"/>
        <v>0</v>
      </c>
      <c r="T1450">
        <f t="shared" si="429"/>
        <v>0</v>
      </c>
      <c r="U1450">
        <f t="shared" si="430"/>
        <v>0</v>
      </c>
      <c r="V1450">
        <f t="shared" si="431"/>
        <v>0</v>
      </c>
      <c r="W1450" t="s">
        <v>58</v>
      </c>
      <c r="X1450">
        <f t="shared" si="432"/>
        <v>0</v>
      </c>
      <c r="Y1450">
        <f t="shared" si="433"/>
        <v>1</v>
      </c>
      <c r="Z1450">
        <v>5</v>
      </c>
      <c r="AA1450">
        <f t="shared" si="434"/>
        <v>1</v>
      </c>
      <c r="AB1450" t="s">
        <v>46</v>
      </c>
      <c r="AC1450">
        <f t="shared" si="435"/>
        <v>0</v>
      </c>
      <c r="AD1450">
        <f t="shared" si="436"/>
        <v>0</v>
      </c>
      <c r="AE1450" t="s">
        <v>41</v>
      </c>
      <c r="AF1450">
        <f>IF(AE1450="website",1,0)</f>
        <v>1</v>
      </c>
    </row>
    <row r="1451" spans="1:32">
      <c r="A1451" t="s">
        <v>2100</v>
      </c>
      <c r="B1451" t="s">
        <v>33</v>
      </c>
      <c r="C1451" s="3">
        <f t="shared" si="418"/>
        <v>0</v>
      </c>
      <c r="D1451">
        <f t="shared" si="419"/>
        <v>1</v>
      </c>
      <c r="E1451" t="s">
        <v>556</v>
      </c>
      <c r="F1451" t="s">
        <v>633</v>
      </c>
      <c r="G1451" s="1">
        <v>35161</v>
      </c>
      <c r="H1451" s="2">
        <f t="shared" ca="1" si="420"/>
        <v>30</v>
      </c>
      <c r="I1451" s="2">
        <f t="shared" ca="1" si="421"/>
        <v>7.1428571428571425E-2</v>
      </c>
      <c r="J1451" t="s">
        <v>36</v>
      </c>
      <c r="K1451" t="s">
        <v>37</v>
      </c>
      <c r="L1451">
        <f t="shared" si="422"/>
        <v>1</v>
      </c>
      <c r="M1451">
        <f t="shared" si="423"/>
        <v>0</v>
      </c>
      <c r="N1451">
        <f t="shared" si="424"/>
        <v>0</v>
      </c>
      <c r="O1451" t="s">
        <v>305</v>
      </c>
      <c r="P1451">
        <f t="shared" si="425"/>
        <v>0</v>
      </c>
      <c r="Q1451">
        <f t="shared" si="426"/>
        <v>0</v>
      </c>
      <c r="R1451">
        <f t="shared" si="427"/>
        <v>0</v>
      </c>
      <c r="S1451">
        <f t="shared" si="428"/>
        <v>0</v>
      </c>
      <c r="T1451">
        <f t="shared" si="429"/>
        <v>0</v>
      </c>
      <c r="U1451">
        <f t="shared" si="430"/>
        <v>0</v>
      </c>
      <c r="V1451">
        <f t="shared" si="431"/>
        <v>0</v>
      </c>
      <c r="W1451" t="s">
        <v>39</v>
      </c>
      <c r="X1451">
        <f t="shared" si="432"/>
        <v>1</v>
      </c>
      <c r="Y1451">
        <f t="shared" si="433"/>
        <v>0</v>
      </c>
      <c r="Z1451">
        <v>5</v>
      </c>
      <c r="AA1451">
        <f t="shared" si="434"/>
        <v>1</v>
      </c>
      <c r="AB1451" t="s">
        <v>46</v>
      </c>
      <c r="AC1451">
        <f t="shared" si="435"/>
        <v>0</v>
      </c>
      <c r="AD1451">
        <f t="shared" si="436"/>
        <v>0</v>
      </c>
      <c r="AE1451" t="s">
        <v>41</v>
      </c>
      <c r="AF1451">
        <f>IF(AE1451="website",1,0)</f>
        <v>1</v>
      </c>
    </row>
    <row r="1452" spans="1:32">
      <c r="A1452" t="s">
        <v>2101</v>
      </c>
      <c r="B1452" t="s">
        <v>33</v>
      </c>
      <c r="C1452" s="3">
        <f t="shared" si="418"/>
        <v>0</v>
      </c>
      <c r="D1452">
        <f t="shared" si="419"/>
        <v>1</v>
      </c>
      <c r="E1452" t="s">
        <v>578</v>
      </c>
      <c r="F1452" t="s">
        <v>430</v>
      </c>
      <c r="G1452" s="1">
        <v>30608</v>
      </c>
      <c r="H1452" s="2">
        <f t="shared" ca="1" si="420"/>
        <v>42</v>
      </c>
      <c r="I1452" s="2">
        <f t="shared" ca="1" si="421"/>
        <v>0.24285714285714285</v>
      </c>
      <c r="J1452" t="s">
        <v>36</v>
      </c>
      <c r="K1452" t="s">
        <v>37</v>
      </c>
      <c r="L1452">
        <f t="shared" si="422"/>
        <v>1</v>
      </c>
      <c r="M1452">
        <f t="shared" si="423"/>
        <v>0</v>
      </c>
      <c r="N1452">
        <f t="shared" si="424"/>
        <v>0</v>
      </c>
      <c r="O1452" t="s">
        <v>38</v>
      </c>
      <c r="P1452">
        <f t="shared" si="425"/>
        <v>1</v>
      </c>
      <c r="Q1452">
        <f t="shared" si="426"/>
        <v>0</v>
      </c>
      <c r="R1452">
        <f t="shared" si="427"/>
        <v>0</v>
      </c>
      <c r="S1452">
        <f t="shared" si="428"/>
        <v>0</v>
      </c>
      <c r="T1452">
        <f t="shared" si="429"/>
        <v>0</v>
      </c>
      <c r="U1452">
        <f t="shared" si="430"/>
        <v>0</v>
      </c>
      <c r="V1452">
        <f t="shared" si="431"/>
        <v>0</v>
      </c>
      <c r="W1452" t="s">
        <v>39</v>
      </c>
      <c r="X1452">
        <f t="shared" si="432"/>
        <v>1</v>
      </c>
      <c r="Y1452">
        <f t="shared" si="433"/>
        <v>0</v>
      </c>
      <c r="Z1452">
        <v>1</v>
      </c>
      <c r="AA1452">
        <f t="shared" si="434"/>
        <v>0</v>
      </c>
      <c r="AB1452" t="s">
        <v>46</v>
      </c>
      <c r="AC1452">
        <f t="shared" si="435"/>
        <v>0</v>
      </c>
      <c r="AD1452">
        <f t="shared" si="436"/>
        <v>0</v>
      </c>
      <c r="AE1452" t="s">
        <v>41</v>
      </c>
      <c r="AF1452">
        <f>IF(AE1452="website",1,0)</f>
        <v>1</v>
      </c>
    </row>
    <row r="1453" spans="1:32">
      <c r="A1453" t="s">
        <v>2102</v>
      </c>
      <c r="B1453" t="s">
        <v>33</v>
      </c>
      <c r="C1453" s="3">
        <f t="shared" si="418"/>
        <v>0</v>
      </c>
      <c r="D1453">
        <f t="shared" si="419"/>
        <v>1</v>
      </c>
      <c r="E1453" t="s">
        <v>649</v>
      </c>
      <c r="F1453" t="s">
        <v>308</v>
      </c>
      <c r="G1453" s="1">
        <v>34186</v>
      </c>
      <c r="H1453" s="2">
        <f t="shared" ca="1" si="420"/>
        <v>33</v>
      </c>
      <c r="I1453" s="2">
        <f t="shared" ca="1" si="421"/>
        <v>0.11428571428571428</v>
      </c>
      <c r="J1453" t="s">
        <v>36</v>
      </c>
      <c r="K1453" t="s">
        <v>153</v>
      </c>
      <c r="L1453">
        <f t="shared" si="422"/>
        <v>0</v>
      </c>
      <c r="M1453">
        <f t="shared" si="423"/>
        <v>0</v>
      </c>
      <c r="N1453">
        <f t="shared" si="424"/>
        <v>0</v>
      </c>
      <c r="O1453" t="s">
        <v>945</v>
      </c>
      <c r="P1453">
        <f t="shared" si="425"/>
        <v>0</v>
      </c>
      <c r="Q1453">
        <f t="shared" si="426"/>
        <v>0</v>
      </c>
      <c r="R1453">
        <f t="shared" si="427"/>
        <v>0</v>
      </c>
      <c r="S1453">
        <f t="shared" si="428"/>
        <v>0</v>
      </c>
      <c r="T1453">
        <f t="shared" si="429"/>
        <v>0</v>
      </c>
      <c r="U1453">
        <f t="shared" si="430"/>
        <v>0</v>
      </c>
      <c r="V1453">
        <f t="shared" si="431"/>
        <v>0</v>
      </c>
      <c r="W1453" t="s">
        <v>39</v>
      </c>
      <c r="X1453">
        <f t="shared" si="432"/>
        <v>1</v>
      </c>
      <c r="Y1453">
        <f t="shared" si="433"/>
        <v>0</v>
      </c>
      <c r="Z1453">
        <v>3</v>
      </c>
      <c r="AA1453">
        <f t="shared" si="434"/>
        <v>0.5</v>
      </c>
      <c r="AB1453" t="s">
        <v>46</v>
      </c>
      <c r="AC1453">
        <f t="shared" si="435"/>
        <v>0</v>
      </c>
      <c r="AD1453">
        <f t="shared" si="436"/>
        <v>1</v>
      </c>
      <c r="AE1453" t="s">
        <v>90</v>
      </c>
      <c r="AF1453">
        <f>IF(AE1453="website",1,0)</f>
        <v>0</v>
      </c>
    </row>
    <row r="1454" spans="1:32">
      <c r="A1454" t="s">
        <v>2103</v>
      </c>
      <c r="B1454" t="s">
        <v>33</v>
      </c>
      <c r="C1454" s="3">
        <f t="shared" si="418"/>
        <v>0</v>
      </c>
      <c r="D1454">
        <f t="shared" si="419"/>
        <v>1</v>
      </c>
      <c r="E1454" t="s">
        <v>719</v>
      </c>
      <c r="F1454" t="s">
        <v>691</v>
      </c>
      <c r="G1454" s="1">
        <v>29866</v>
      </c>
      <c r="H1454" s="2">
        <f t="shared" ca="1" si="420"/>
        <v>44</v>
      </c>
      <c r="I1454" s="2">
        <f t="shared" ca="1" si="421"/>
        <v>0.27142857142857141</v>
      </c>
      <c r="J1454" t="s">
        <v>45</v>
      </c>
      <c r="K1454" t="s">
        <v>37</v>
      </c>
      <c r="L1454">
        <f t="shared" si="422"/>
        <v>1</v>
      </c>
      <c r="M1454">
        <f t="shared" si="423"/>
        <v>0</v>
      </c>
      <c r="N1454">
        <f t="shared" si="424"/>
        <v>0</v>
      </c>
      <c r="O1454" t="s">
        <v>38</v>
      </c>
      <c r="P1454">
        <f t="shared" si="425"/>
        <v>1</v>
      </c>
      <c r="Q1454">
        <f t="shared" si="426"/>
        <v>0</v>
      </c>
      <c r="R1454">
        <f t="shared" si="427"/>
        <v>0</v>
      </c>
      <c r="S1454">
        <f t="shared" si="428"/>
        <v>0</v>
      </c>
      <c r="T1454">
        <f t="shared" si="429"/>
        <v>0</v>
      </c>
      <c r="U1454">
        <f t="shared" si="430"/>
        <v>0</v>
      </c>
      <c r="V1454">
        <f t="shared" si="431"/>
        <v>0</v>
      </c>
      <c r="W1454" t="s">
        <v>39</v>
      </c>
      <c r="X1454">
        <f t="shared" si="432"/>
        <v>1</v>
      </c>
      <c r="Y1454">
        <f t="shared" si="433"/>
        <v>0</v>
      </c>
      <c r="Z1454">
        <v>2</v>
      </c>
      <c r="AA1454">
        <f t="shared" si="434"/>
        <v>0.25</v>
      </c>
      <c r="AB1454" t="s">
        <v>46</v>
      </c>
      <c r="AC1454">
        <f t="shared" si="435"/>
        <v>1</v>
      </c>
      <c r="AD1454">
        <f t="shared" si="436"/>
        <v>0</v>
      </c>
      <c r="AE1454" t="s">
        <v>50</v>
      </c>
      <c r="AF1454">
        <f>IF(AE1454="website",1,0)</f>
        <v>0</v>
      </c>
    </row>
    <row r="1455" spans="1:32">
      <c r="A1455" t="s">
        <v>2104</v>
      </c>
      <c r="B1455" t="s">
        <v>33</v>
      </c>
      <c r="C1455" s="3">
        <f t="shared" si="418"/>
        <v>0</v>
      </c>
      <c r="D1455">
        <f t="shared" si="419"/>
        <v>1</v>
      </c>
      <c r="E1455" t="s">
        <v>894</v>
      </c>
      <c r="F1455" t="s">
        <v>607</v>
      </c>
      <c r="G1455" s="1">
        <v>17676</v>
      </c>
      <c r="H1455" s="2">
        <f t="shared" ca="1" si="420"/>
        <v>78</v>
      </c>
      <c r="I1455" s="2">
        <f t="shared" ca="1" si="421"/>
        <v>0.75714285714285712</v>
      </c>
      <c r="J1455" t="s">
        <v>36</v>
      </c>
      <c r="K1455" t="s">
        <v>37</v>
      </c>
      <c r="L1455">
        <f t="shared" si="422"/>
        <v>1</v>
      </c>
      <c r="M1455">
        <f t="shared" si="423"/>
        <v>0</v>
      </c>
      <c r="N1455">
        <f t="shared" si="424"/>
        <v>0</v>
      </c>
      <c r="O1455" t="s">
        <v>38</v>
      </c>
      <c r="P1455">
        <f t="shared" si="425"/>
        <v>1</v>
      </c>
      <c r="Q1455">
        <f t="shared" si="426"/>
        <v>0</v>
      </c>
      <c r="R1455">
        <f t="shared" si="427"/>
        <v>0</v>
      </c>
      <c r="S1455">
        <f t="shared" si="428"/>
        <v>0</v>
      </c>
      <c r="T1455">
        <f t="shared" si="429"/>
        <v>0</v>
      </c>
      <c r="U1455">
        <f t="shared" si="430"/>
        <v>0</v>
      </c>
      <c r="V1455">
        <f t="shared" si="431"/>
        <v>0</v>
      </c>
      <c r="W1455" t="s">
        <v>58</v>
      </c>
      <c r="X1455">
        <f t="shared" si="432"/>
        <v>0</v>
      </c>
      <c r="Y1455">
        <f t="shared" si="433"/>
        <v>1</v>
      </c>
      <c r="Z1455">
        <v>1</v>
      </c>
      <c r="AA1455">
        <f t="shared" si="434"/>
        <v>0</v>
      </c>
      <c r="AB1455" t="s">
        <v>46</v>
      </c>
      <c r="AC1455">
        <f t="shared" si="435"/>
        <v>0</v>
      </c>
      <c r="AD1455">
        <f t="shared" si="436"/>
        <v>1</v>
      </c>
      <c r="AE1455" t="s">
        <v>90</v>
      </c>
      <c r="AF1455">
        <f>IF(AE1455="website",1,0)</f>
        <v>0</v>
      </c>
    </row>
    <row r="1456" spans="1:32">
      <c r="A1456" t="s">
        <v>2105</v>
      </c>
      <c r="B1456" t="s">
        <v>33</v>
      </c>
      <c r="C1456" s="3">
        <f t="shared" si="418"/>
        <v>0</v>
      </c>
      <c r="D1456">
        <f t="shared" si="419"/>
        <v>1</v>
      </c>
      <c r="E1456" t="s">
        <v>1554</v>
      </c>
      <c r="F1456" t="s">
        <v>112</v>
      </c>
      <c r="G1456" s="1">
        <v>32674</v>
      </c>
      <c r="H1456" s="2">
        <f t="shared" ca="1" si="420"/>
        <v>37</v>
      </c>
      <c r="I1456" s="2">
        <f t="shared" ca="1" si="421"/>
        <v>0.17142857142857143</v>
      </c>
      <c r="J1456" t="s">
        <v>36</v>
      </c>
      <c r="K1456" t="s">
        <v>37</v>
      </c>
      <c r="L1456">
        <f t="shared" si="422"/>
        <v>1</v>
      </c>
      <c r="M1456">
        <f t="shared" si="423"/>
        <v>0</v>
      </c>
      <c r="N1456">
        <f t="shared" si="424"/>
        <v>0</v>
      </c>
      <c r="O1456" t="s">
        <v>137</v>
      </c>
      <c r="P1456">
        <f t="shared" si="425"/>
        <v>0</v>
      </c>
      <c r="Q1456">
        <f t="shared" si="426"/>
        <v>0</v>
      </c>
      <c r="R1456">
        <f t="shared" si="427"/>
        <v>0</v>
      </c>
      <c r="S1456">
        <f t="shared" si="428"/>
        <v>0</v>
      </c>
      <c r="T1456">
        <f t="shared" si="429"/>
        <v>0</v>
      </c>
      <c r="U1456">
        <f t="shared" si="430"/>
        <v>0</v>
      </c>
      <c r="V1456">
        <f t="shared" si="431"/>
        <v>0</v>
      </c>
      <c r="W1456" t="s">
        <v>39</v>
      </c>
      <c r="X1456">
        <f t="shared" si="432"/>
        <v>1</v>
      </c>
      <c r="Y1456">
        <f t="shared" si="433"/>
        <v>0</v>
      </c>
      <c r="Z1456">
        <v>3</v>
      </c>
      <c r="AA1456">
        <f t="shared" si="434"/>
        <v>0.5</v>
      </c>
      <c r="AB1456" t="s">
        <v>40</v>
      </c>
      <c r="AC1456">
        <f t="shared" si="435"/>
        <v>1</v>
      </c>
      <c r="AD1456">
        <f t="shared" si="436"/>
        <v>0</v>
      </c>
      <c r="AE1456" t="s">
        <v>50</v>
      </c>
      <c r="AF1456">
        <f>IF(AE1456="website",1,0)</f>
        <v>0</v>
      </c>
    </row>
    <row r="1457" spans="1:32">
      <c r="A1457" t="s">
        <v>2106</v>
      </c>
      <c r="B1457" t="s">
        <v>55</v>
      </c>
      <c r="C1457" s="3">
        <f t="shared" si="418"/>
        <v>1</v>
      </c>
      <c r="D1457">
        <f t="shared" si="419"/>
        <v>0</v>
      </c>
      <c r="E1457" t="s">
        <v>1405</v>
      </c>
      <c r="F1457" t="s">
        <v>57</v>
      </c>
      <c r="G1457" s="1">
        <v>33781</v>
      </c>
      <c r="H1457" s="2">
        <f t="shared" ca="1" si="420"/>
        <v>34</v>
      </c>
      <c r="I1457" s="2">
        <f t="shared" ca="1" si="421"/>
        <v>0.12857142857142856</v>
      </c>
      <c r="J1457" t="s">
        <v>36</v>
      </c>
      <c r="K1457" t="s">
        <v>37</v>
      </c>
      <c r="L1457">
        <f t="shared" si="422"/>
        <v>1</v>
      </c>
      <c r="M1457">
        <f t="shared" si="423"/>
        <v>0</v>
      </c>
      <c r="N1457">
        <f t="shared" si="424"/>
        <v>0</v>
      </c>
      <c r="O1457" t="s">
        <v>76</v>
      </c>
      <c r="P1457">
        <f t="shared" si="425"/>
        <v>0</v>
      </c>
      <c r="Q1457">
        <f t="shared" si="426"/>
        <v>1</v>
      </c>
      <c r="R1457">
        <f t="shared" si="427"/>
        <v>0</v>
      </c>
      <c r="S1457">
        <f t="shared" si="428"/>
        <v>0</v>
      </c>
      <c r="T1457">
        <f t="shared" si="429"/>
        <v>0</v>
      </c>
      <c r="U1457">
        <f t="shared" si="430"/>
        <v>0</v>
      </c>
      <c r="V1457">
        <f t="shared" si="431"/>
        <v>0</v>
      </c>
      <c r="W1457" t="s">
        <v>58</v>
      </c>
      <c r="X1457">
        <f t="shared" si="432"/>
        <v>0</v>
      </c>
      <c r="Y1457">
        <f t="shared" si="433"/>
        <v>1</v>
      </c>
      <c r="Z1457">
        <v>1</v>
      </c>
      <c r="AA1457">
        <f t="shared" si="434"/>
        <v>0</v>
      </c>
      <c r="AB1457" t="s">
        <v>40</v>
      </c>
      <c r="AC1457">
        <f t="shared" si="435"/>
        <v>0</v>
      </c>
      <c r="AD1457">
        <f t="shared" si="436"/>
        <v>0</v>
      </c>
      <c r="AE1457" t="s">
        <v>41</v>
      </c>
      <c r="AF1457">
        <f>IF(AE1457="website",1,0)</f>
        <v>1</v>
      </c>
    </row>
    <row r="1458" spans="1:32">
      <c r="A1458" t="s">
        <v>2107</v>
      </c>
      <c r="B1458" t="s">
        <v>33</v>
      </c>
      <c r="C1458" s="3">
        <f t="shared" si="418"/>
        <v>0</v>
      </c>
      <c r="D1458">
        <f t="shared" si="419"/>
        <v>1</v>
      </c>
      <c r="E1458" t="s">
        <v>564</v>
      </c>
      <c r="F1458" t="s">
        <v>674</v>
      </c>
      <c r="G1458" s="1">
        <v>17925</v>
      </c>
      <c r="H1458" s="2">
        <f t="shared" ca="1" si="420"/>
        <v>77</v>
      </c>
      <c r="I1458" s="2">
        <f t="shared" ca="1" si="421"/>
        <v>0.74285714285714288</v>
      </c>
      <c r="J1458" t="s">
        <v>36</v>
      </c>
      <c r="K1458" t="s">
        <v>37</v>
      </c>
      <c r="L1458">
        <f t="shared" si="422"/>
        <v>1</v>
      </c>
      <c r="M1458">
        <f t="shared" si="423"/>
        <v>0</v>
      </c>
      <c r="N1458">
        <f t="shared" si="424"/>
        <v>0</v>
      </c>
      <c r="O1458" t="s">
        <v>38</v>
      </c>
      <c r="P1458">
        <f t="shared" si="425"/>
        <v>1</v>
      </c>
      <c r="Q1458">
        <f t="shared" si="426"/>
        <v>0</v>
      </c>
      <c r="R1458">
        <f t="shared" si="427"/>
        <v>0</v>
      </c>
      <c r="S1458">
        <f t="shared" si="428"/>
        <v>0</v>
      </c>
      <c r="T1458">
        <f t="shared" si="429"/>
        <v>0</v>
      </c>
      <c r="U1458">
        <f t="shared" si="430"/>
        <v>0</v>
      </c>
      <c r="V1458">
        <f t="shared" si="431"/>
        <v>0</v>
      </c>
      <c r="W1458" t="s">
        <v>39</v>
      </c>
      <c r="X1458">
        <f t="shared" si="432"/>
        <v>1</v>
      </c>
      <c r="Y1458">
        <f t="shared" si="433"/>
        <v>0</v>
      </c>
      <c r="Z1458">
        <v>3</v>
      </c>
      <c r="AA1458">
        <f t="shared" si="434"/>
        <v>0.5</v>
      </c>
      <c r="AB1458" t="s">
        <v>40</v>
      </c>
      <c r="AC1458">
        <f t="shared" si="435"/>
        <v>1</v>
      </c>
      <c r="AD1458">
        <f t="shared" si="436"/>
        <v>0</v>
      </c>
      <c r="AE1458" t="s">
        <v>50</v>
      </c>
      <c r="AF1458">
        <f>IF(AE1458="website",1,0)</f>
        <v>0</v>
      </c>
    </row>
    <row r="1459" spans="1:32">
      <c r="A1459" t="s">
        <v>2108</v>
      </c>
      <c r="B1459" t="s">
        <v>33</v>
      </c>
      <c r="C1459" s="3">
        <f t="shared" si="418"/>
        <v>0</v>
      </c>
      <c r="D1459">
        <f t="shared" si="419"/>
        <v>1</v>
      </c>
      <c r="E1459" t="s">
        <v>903</v>
      </c>
      <c r="F1459" t="s">
        <v>885</v>
      </c>
      <c r="G1459" s="1">
        <v>18522</v>
      </c>
      <c r="H1459" s="2">
        <f t="shared" ca="1" si="420"/>
        <v>76</v>
      </c>
      <c r="I1459" s="2">
        <f t="shared" ca="1" si="421"/>
        <v>0.72857142857142854</v>
      </c>
      <c r="J1459" t="s">
        <v>45</v>
      </c>
      <c r="K1459" t="s">
        <v>37</v>
      </c>
      <c r="L1459">
        <f t="shared" si="422"/>
        <v>1</v>
      </c>
      <c r="M1459">
        <f t="shared" si="423"/>
        <v>0</v>
      </c>
      <c r="N1459">
        <f t="shared" si="424"/>
        <v>0</v>
      </c>
      <c r="O1459" t="s">
        <v>97</v>
      </c>
      <c r="P1459">
        <f t="shared" si="425"/>
        <v>0</v>
      </c>
      <c r="Q1459">
        <f t="shared" si="426"/>
        <v>0</v>
      </c>
      <c r="R1459">
        <f t="shared" si="427"/>
        <v>0</v>
      </c>
      <c r="S1459">
        <f t="shared" si="428"/>
        <v>0</v>
      </c>
      <c r="T1459">
        <f t="shared" si="429"/>
        <v>1</v>
      </c>
      <c r="U1459">
        <f t="shared" si="430"/>
        <v>0</v>
      </c>
      <c r="V1459">
        <f t="shared" si="431"/>
        <v>0</v>
      </c>
      <c r="W1459" t="s">
        <v>39</v>
      </c>
      <c r="X1459">
        <f t="shared" si="432"/>
        <v>1</v>
      </c>
      <c r="Y1459">
        <f t="shared" si="433"/>
        <v>0</v>
      </c>
      <c r="Z1459">
        <v>1</v>
      </c>
      <c r="AA1459">
        <f t="shared" si="434"/>
        <v>0</v>
      </c>
      <c r="AB1459" t="s">
        <v>46</v>
      </c>
      <c r="AC1459">
        <f t="shared" si="435"/>
        <v>0</v>
      </c>
      <c r="AD1459">
        <f t="shared" si="436"/>
        <v>0</v>
      </c>
      <c r="AE1459" t="s">
        <v>41</v>
      </c>
      <c r="AF1459">
        <f>IF(AE1459="website",1,0)</f>
        <v>1</v>
      </c>
    </row>
    <row r="1460" spans="1:32">
      <c r="A1460" t="s">
        <v>2109</v>
      </c>
      <c r="B1460" t="s">
        <v>33</v>
      </c>
      <c r="C1460" s="3">
        <f t="shared" si="418"/>
        <v>0</v>
      </c>
      <c r="D1460">
        <f t="shared" si="419"/>
        <v>1</v>
      </c>
      <c r="E1460" t="s">
        <v>329</v>
      </c>
      <c r="F1460" t="s">
        <v>549</v>
      </c>
      <c r="G1460" s="1">
        <v>18169</v>
      </c>
      <c r="H1460" s="2">
        <f t="shared" ca="1" si="420"/>
        <v>77</v>
      </c>
      <c r="I1460" s="2">
        <f t="shared" ca="1" si="421"/>
        <v>0.74285714285714288</v>
      </c>
      <c r="J1460" t="s">
        <v>45</v>
      </c>
      <c r="K1460" t="s">
        <v>37</v>
      </c>
      <c r="L1460">
        <f t="shared" si="422"/>
        <v>1</v>
      </c>
      <c r="M1460">
        <f t="shared" si="423"/>
        <v>0</v>
      </c>
      <c r="N1460">
        <f t="shared" si="424"/>
        <v>0</v>
      </c>
      <c r="O1460" t="s">
        <v>97</v>
      </c>
      <c r="P1460">
        <f t="shared" si="425"/>
        <v>0</v>
      </c>
      <c r="Q1460">
        <f t="shared" si="426"/>
        <v>0</v>
      </c>
      <c r="R1460">
        <f t="shared" si="427"/>
        <v>0</v>
      </c>
      <c r="S1460">
        <f t="shared" si="428"/>
        <v>0</v>
      </c>
      <c r="T1460">
        <f t="shared" si="429"/>
        <v>1</v>
      </c>
      <c r="U1460">
        <f t="shared" si="430"/>
        <v>0</v>
      </c>
      <c r="V1460">
        <f t="shared" si="431"/>
        <v>0</v>
      </c>
      <c r="W1460" t="s">
        <v>39</v>
      </c>
      <c r="X1460">
        <f t="shared" si="432"/>
        <v>1</v>
      </c>
      <c r="Y1460">
        <f t="shared" si="433"/>
        <v>0</v>
      </c>
      <c r="Z1460">
        <v>5</v>
      </c>
      <c r="AA1460">
        <f t="shared" si="434"/>
        <v>1</v>
      </c>
      <c r="AB1460" t="s">
        <v>46</v>
      </c>
      <c r="AC1460">
        <f t="shared" si="435"/>
        <v>0</v>
      </c>
      <c r="AD1460">
        <f t="shared" si="436"/>
        <v>0</v>
      </c>
      <c r="AE1460" t="s">
        <v>41</v>
      </c>
      <c r="AF1460">
        <f>IF(AE1460="website",1,0)</f>
        <v>1</v>
      </c>
    </row>
    <row r="1461" spans="1:32">
      <c r="A1461" t="s">
        <v>2110</v>
      </c>
      <c r="B1461" t="s">
        <v>33</v>
      </c>
      <c r="C1461" s="3">
        <f t="shared" si="418"/>
        <v>0</v>
      </c>
      <c r="D1461">
        <f t="shared" si="419"/>
        <v>1</v>
      </c>
      <c r="E1461" t="s">
        <v>556</v>
      </c>
      <c r="F1461" t="s">
        <v>738</v>
      </c>
      <c r="G1461" s="1">
        <v>26638</v>
      </c>
      <c r="H1461" s="2">
        <f t="shared" ca="1" si="420"/>
        <v>53</v>
      </c>
      <c r="I1461" s="2">
        <f t="shared" ca="1" si="421"/>
        <v>0.4</v>
      </c>
      <c r="J1461" t="s">
        <v>36</v>
      </c>
      <c r="K1461" t="s">
        <v>248</v>
      </c>
      <c r="L1461">
        <f t="shared" si="422"/>
        <v>0</v>
      </c>
      <c r="M1461">
        <f t="shared" si="423"/>
        <v>0</v>
      </c>
      <c r="N1461">
        <f t="shared" si="424"/>
        <v>0</v>
      </c>
      <c r="O1461" t="s">
        <v>582</v>
      </c>
      <c r="P1461">
        <f t="shared" si="425"/>
        <v>0</v>
      </c>
      <c r="Q1461">
        <f t="shared" si="426"/>
        <v>0</v>
      </c>
      <c r="R1461">
        <f t="shared" si="427"/>
        <v>0</v>
      </c>
      <c r="S1461">
        <f t="shared" si="428"/>
        <v>0</v>
      </c>
      <c r="T1461">
        <f t="shared" si="429"/>
        <v>0</v>
      </c>
      <c r="U1461">
        <f t="shared" si="430"/>
        <v>0</v>
      </c>
      <c r="V1461">
        <f t="shared" si="431"/>
        <v>0</v>
      </c>
      <c r="W1461" t="s">
        <v>39</v>
      </c>
      <c r="X1461">
        <f t="shared" si="432"/>
        <v>1</v>
      </c>
      <c r="Y1461">
        <f t="shared" si="433"/>
        <v>0</v>
      </c>
      <c r="Z1461">
        <v>1</v>
      </c>
      <c r="AA1461">
        <f t="shared" si="434"/>
        <v>0</v>
      </c>
      <c r="AB1461" t="s">
        <v>40</v>
      </c>
      <c r="AC1461">
        <f t="shared" si="435"/>
        <v>1</v>
      </c>
      <c r="AD1461">
        <f t="shared" si="436"/>
        <v>0</v>
      </c>
      <c r="AE1461" t="s">
        <v>50</v>
      </c>
      <c r="AF1461">
        <f>IF(AE1461="website",1,0)</f>
        <v>0</v>
      </c>
    </row>
    <row r="1462" spans="1:32">
      <c r="A1462" t="s">
        <v>2111</v>
      </c>
      <c r="B1462" t="s">
        <v>33</v>
      </c>
      <c r="C1462" s="3">
        <f t="shared" si="418"/>
        <v>0</v>
      </c>
      <c r="D1462">
        <f t="shared" si="419"/>
        <v>1</v>
      </c>
      <c r="E1462" t="s">
        <v>800</v>
      </c>
      <c r="F1462" t="s">
        <v>641</v>
      </c>
      <c r="G1462" s="1">
        <v>16084</v>
      </c>
      <c r="H1462" s="2">
        <f t="shared" ca="1" si="420"/>
        <v>82</v>
      </c>
      <c r="I1462" s="2">
        <f t="shared" ca="1" si="421"/>
        <v>0.81428571428571428</v>
      </c>
      <c r="J1462" t="s">
        <v>36</v>
      </c>
      <c r="K1462" t="s">
        <v>37</v>
      </c>
      <c r="L1462">
        <f t="shared" si="422"/>
        <v>1</v>
      </c>
      <c r="M1462">
        <f t="shared" si="423"/>
        <v>0</v>
      </c>
      <c r="N1462">
        <f t="shared" si="424"/>
        <v>0</v>
      </c>
      <c r="O1462" t="s">
        <v>38</v>
      </c>
      <c r="P1462">
        <f t="shared" si="425"/>
        <v>1</v>
      </c>
      <c r="Q1462">
        <f t="shared" si="426"/>
        <v>0</v>
      </c>
      <c r="R1462">
        <f t="shared" si="427"/>
        <v>0</v>
      </c>
      <c r="S1462">
        <f t="shared" si="428"/>
        <v>0</v>
      </c>
      <c r="T1462">
        <f t="shared" si="429"/>
        <v>0</v>
      </c>
      <c r="U1462">
        <f t="shared" si="430"/>
        <v>0</v>
      </c>
      <c r="V1462">
        <f t="shared" si="431"/>
        <v>0</v>
      </c>
      <c r="W1462" t="s">
        <v>39</v>
      </c>
      <c r="X1462">
        <f t="shared" si="432"/>
        <v>1</v>
      </c>
      <c r="Y1462">
        <f t="shared" si="433"/>
        <v>0</v>
      </c>
      <c r="Z1462">
        <v>5</v>
      </c>
      <c r="AA1462">
        <f t="shared" si="434"/>
        <v>1</v>
      </c>
      <c r="AB1462" t="s">
        <v>46</v>
      </c>
      <c r="AC1462">
        <f t="shared" si="435"/>
        <v>0</v>
      </c>
      <c r="AD1462">
        <f t="shared" si="436"/>
        <v>0</v>
      </c>
      <c r="AE1462" t="s">
        <v>41</v>
      </c>
      <c r="AF1462">
        <f>IF(AE1462="website",1,0)</f>
        <v>1</v>
      </c>
    </row>
    <row r="1463" spans="1:32">
      <c r="A1463" t="s">
        <v>2112</v>
      </c>
      <c r="B1463" t="s">
        <v>33</v>
      </c>
      <c r="C1463" s="3">
        <f t="shared" si="418"/>
        <v>0</v>
      </c>
      <c r="D1463">
        <f t="shared" si="419"/>
        <v>1</v>
      </c>
      <c r="E1463" t="s">
        <v>305</v>
      </c>
      <c r="F1463" t="s">
        <v>720</v>
      </c>
      <c r="G1463" s="1">
        <v>30791</v>
      </c>
      <c r="H1463" s="2">
        <f t="shared" ca="1" si="420"/>
        <v>42</v>
      </c>
      <c r="I1463" s="2">
        <f t="shared" ca="1" si="421"/>
        <v>0.24285714285714285</v>
      </c>
      <c r="J1463" t="s">
        <v>36</v>
      </c>
      <c r="K1463" t="s">
        <v>113</v>
      </c>
      <c r="L1463">
        <f t="shared" si="422"/>
        <v>0</v>
      </c>
      <c r="M1463">
        <f t="shared" si="423"/>
        <v>0</v>
      </c>
      <c r="N1463">
        <f t="shared" si="424"/>
        <v>1</v>
      </c>
      <c r="O1463" t="s">
        <v>675</v>
      </c>
      <c r="P1463">
        <f t="shared" si="425"/>
        <v>0</v>
      </c>
      <c r="Q1463">
        <f t="shared" si="426"/>
        <v>0</v>
      </c>
      <c r="R1463">
        <f t="shared" si="427"/>
        <v>0</v>
      </c>
      <c r="S1463">
        <f t="shared" si="428"/>
        <v>0</v>
      </c>
      <c r="T1463">
        <f t="shared" si="429"/>
        <v>0</v>
      </c>
      <c r="U1463">
        <f t="shared" si="430"/>
        <v>0</v>
      </c>
      <c r="V1463">
        <f t="shared" si="431"/>
        <v>0</v>
      </c>
      <c r="W1463" t="s">
        <v>58</v>
      </c>
      <c r="X1463">
        <f t="shared" si="432"/>
        <v>0</v>
      </c>
      <c r="Y1463">
        <f t="shared" si="433"/>
        <v>1</v>
      </c>
      <c r="Z1463">
        <v>3</v>
      </c>
      <c r="AA1463">
        <f t="shared" si="434"/>
        <v>0.5</v>
      </c>
      <c r="AB1463" t="s">
        <v>46</v>
      </c>
      <c r="AC1463">
        <f t="shared" si="435"/>
        <v>1</v>
      </c>
      <c r="AD1463">
        <f t="shared" si="436"/>
        <v>0</v>
      </c>
      <c r="AE1463" t="s">
        <v>50</v>
      </c>
      <c r="AF1463">
        <f>IF(AE1463="website",1,0)</f>
        <v>0</v>
      </c>
    </row>
    <row r="1464" spans="1:32">
      <c r="A1464" t="s">
        <v>2113</v>
      </c>
      <c r="B1464" t="s">
        <v>33</v>
      </c>
      <c r="C1464" s="3">
        <f t="shared" si="418"/>
        <v>0</v>
      </c>
      <c r="D1464">
        <f t="shared" si="419"/>
        <v>1</v>
      </c>
      <c r="E1464" t="s">
        <v>590</v>
      </c>
      <c r="F1464" t="s">
        <v>887</v>
      </c>
      <c r="G1464" s="1">
        <v>16068</v>
      </c>
      <c r="H1464" s="2">
        <f t="shared" ca="1" si="420"/>
        <v>82</v>
      </c>
      <c r="I1464" s="2">
        <f t="shared" ca="1" si="421"/>
        <v>0.81428571428571428</v>
      </c>
      <c r="J1464" t="s">
        <v>45</v>
      </c>
      <c r="K1464" t="s">
        <v>37</v>
      </c>
      <c r="L1464">
        <f t="shared" si="422"/>
        <v>1</v>
      </c>
      <c r="M1464">
        <f t="shared" si="423"/>
        <v>0</v>
      </c>
      <c r="N1464">
        <f t="shared" si="424"/>
        <v>0</v>
      </c>
      <c r="O1464" t="s">
        <v>38</v>
      </c>
      <c r="P1464">
        <f t="shared" si="425"/>
        <v>1</v>
      </c>
      <c r="Q1464">
        <f t="shared" si="426"/>
        <v>0</v>
      </c>
      <c r="R1464">
        <f t="shared" si="427"/>
        <v>0</v>
      </c>
      <c r="S1464">
        <f t="shared" si="428"/>
        <v>0</v>
      </c>
      <c r="T1464">
        <f t="shared" si="429"/>
        <v>0</v>
      </c>
      <c r="U1464">
        <f t="shared" si="430"/>
        <v>0</v>
      </c>
      <c r="V1464">
        <f t="shared" si="431"/>
        <v>0</v>
      </c>
      <c r="W1464" t="s">
        <v>39</v>
      </c>
      <c r="X1464">
        <f t="shared" si="432"/>
        <v>1</v>
      </c>
      <c r="Y1464">
        <f t="shared" si="433"/>
        <v>0</v>
      </c>
      <c r="Z1464">
        <v>2</v>
      </c>
      <c r="AA1464">
        <f t="shared" si="434"/>
        <v>0.25</v>
      </c>
      <c r="AB1464" t="s">
        <v>40</v>
      </c>
      <c r="AC1464">
        <f t="shared" si="435"/>
        <v>0</v>
      </c>
      <c r="AD1464">
        <f t="shared" si="436"/>
        <v>0</v>
      </c>
      <c r="AE1464" t="s">
        <v>41</v>
      </c>
      <c r="AF1464">
        <f>IF(AE1464="website",1,0)</f>
        <v>1</v>
      </c>
    </row>
    <row r="1465" spans="1:32">
      <c r="A1465" t="s">
        <v>2114</v>
      </c>
      <c r="B1465" t="s">
        <v>33</v>
      </c>
      <c r="C1465" s="3">
        <f t="shared" si="418"/>
        <v>0</v>
      </c>
      <c r="D1465">
        <f t="shared" si="419"/>
        <v>1</v>
      </c>
      <c r="E1465" t="s">
        <v>329</v>
      </c>
      <c r="F1465" t="s">
        <v>552</v>
      </c>
      <c r="G1465" s="1">
        <v>14635</v>
      </c>
      <c r="H1465" s="2">
        <f t="shared" ca="1" si="420"/>
        <v>86</v>
      </c>
      <c r="I1465" s="2">
        <f t="shared" ca="1" si="421"/>
        <v>0.87142857142857144</v>
      </c>
      <c r="J1465" t="s">
        <v>45</v>
      </c>
      <c r="K1465" t="s">
        <v>37</v>
      </c>
      <c r="L1465">
        <f t="shared" si="422"/>
        <v>1</v>
      </c>
      <c r="M1465">
        <f t="shared" si="423"/>
        <v>0</v>
      </c>
      <c r="N1465">
        <f t="shared" si="424"/>
        <v>0</v>
      </c>
      <c r="O1465" t="s">
        <v>97</v>
      </c>
      <c r="P1465">
        <f t="shared" si="425"/>
        <v>0</v>
      </c>
      <c r="Q1465">
        <f t="shared" si="426"/>
        <v>0</v>
      </c>
      <c r="R1465">
        <f t="shared" si="427"/>
        <v>0</v>
      </c>
      <c r="S1465">
        <f t="shared" si="428"/>
        <v>0</v>
      </c>
      <c r="T1465">
        <f t="shared" si="429"/>
        <v>1</v>
      </c>
      <c r="U1465">
        <f t="shared" si="430"/>
        <v>0</v>
      </c>
      <c r="V1465">
        <f t="shared" si="431"/>
        <v>0</v>
      </c>
      <c r="W1465" t="s">
        <v>39</v>
      </c>
      <c r="X1465">
        <f t="shared" si="432"/>
        <v>1</v>
      </c>
      <c r="Y1465">
        <f t="shared" si="433"/>
        <v>0</v>
      </c>
      <c r="Z1465">
        <v>1</v>
      </c>
      <c r="AA1465">
        <f t="shared" si="434"/>
        <v>0</v>
      </c>
      <c r="AB1465" t="s">
        <v>46</v>
      </c>
      <c r="AC1465">
        <f t="shared" si="435"/>
        <v>0</v>
      </c>
      <c r="AD1465">
        <f t="shared" si="436"/>
        <v>0</v>
      </c>
      <c r="AE1465" t="s">
        <v>41</v>
      </c>
      <c r="AF1465">
        <f>IF(AE1465="website",1,0)</f>
        <v>1</v>
      </c>
    </row>
    <row r="1466" spans="1:32">
      <c r="A1466" t="s">
        <v>2115</v>
      </c>
      <c r="B1466" t="s">
        <v>33</v>
      </c>
      <c r="C1466" s="3">
        <f t="shared" si="418"/>
        <v>0</v>
      </c>
      <c r="D1466">
        <f t="shared" si="419"/>
        <v>1</v>
      </c>
      <c r="E1466" t="s">
        <v>858</v>
      </c>
      <c r="F1466" t="s">
        <v>372</v>
      </c>
      <c r="G1466" s="1">
        <v>33063</v>
      </c>
      <c r="H1466" s="2">
        <f t="shared" ca="1" si="420"/>
        <v>36</v>
      </c>
      <c r="I1466" s="2">
        <f t="shared" ca="1" si="421"/>
        <v>0.15714285714285714</v>
      </c>
      <c r="J1466" t="s">
        <v>45</v>
      </c>
      <c r="K1466" t="s">
        <v>37</v>
      </c>
      <c r="L1466">
        <f t="shared" si="422"/>
        <v>1</v>
      </c>
      <c r="M1466">
        <f t="shared" si="423"/>
        <v>0</v>
      </c>
      <c r="N1466">
        <f t="shared" si="424"/>
        <v>0</v>
      </c>
      <c r="O1466" t="s">
        <v>559</v>
      </c>
      <c r="P1466">
        <f t="shared" si="425"/>
        <v>0</v>
      </c>
      <c r="Q1466">
        <f t="shared" si="426"/>
        <v>0</v>
      </c>
      <c r="R1466">
        <f t="shared" si="427"/>
        <v>0</v>
      </c>
      <c r="S1466">
        <f t="shared" si="428"/>
        <v>0</v>
      </c>
      <c r="T1466">
        <f t="shared" si="429"/>
        <v>0</v>
      </c>
      <c r="U1466">
        <f t="shared" si="430"/>
        <v>0</v>
      </c>
      <c r="V1466">
        <f t="shared" si="431"/>
        <v>0</v>
      </c>
      <c r="W1466" t="s">
        <v>39</v>
      </c>
      <c r="X1466">
        <f t="shared" si="432"/>
        <v>1</v>
      </c>
      <c r="Y1466">
        <f t="shared" si="433"/>
        <v>0</v>
      </c>
      <c r="Z1466">
        <v>3</v>
      </c>
      <c r="AA1466">
        <f t="shared" si="434"/>
        <v>0.5</v>
      </c>
      <c r="AB1466" t="s">
        <v>40</v>
      </c>
      <c r="AC1466">
        <f t="shared" si="435"/>
        <v>0</v>
      </c>
      <c r="AD1466">
        <f t="shared" si="436"/>
        <v>0</v>
      </c>
      <c r="AE1466" t="s">
        <v>41</v>
      </c>
      <c r="AF1466">
        <f>IF(AE1466="website",1,0)</f>
        <v>1</v>
      </c>
    </row>
    <row r="1467" spans="1:32">
      <c r="A1467" t="s">
        <v>2116</v>
      </c>
      <c r="B1467" t="s">
        <v>33</v>
      </c>
      <c r="C1467" s="3">
        <f t="shared" si="418"/>
        <v>0</v>
      </c>
      <c r="D1467">
        <f t="shared" si="419"/>
        <v>1</v>
      </c>
      <c r="E1467" t="s">
        <v>587</v>
      </c>
      <c r="F1467" t="s">
        <v>339</v>
      </c>
      <c r="G1467" s="1">
        <v>36400</v>
      </c>
      <c r="H1467" s="2">
        <f t="shared" ca="1" si="420"/>
        <v>27</v>
      </c>
      <c r="I1467" s="2">
        <f t="shared" ca="1" si="421"/>
        <v>2.8571428571428571E-2</v>
      </c>
      <c r="J1467" t="s">
        <v>36</v>
      </c>
      <c r="K1467" t="s">
        <v>153</v>
      </c>
      <c r="L1467">
        <f t="shared" si="422"/>
        <v>0</v>
      </c>
      <c r="M1467">
        <f t="shared" si="423"/>
        <v>0</v>
      </c>
      <c r="N1467">
        <f t="shared" si="424"/>
        <v>0</v>
      </c>
      <c r="O1467" t="s">
        <v>778</v>
      </c>
      <c r="P1467">
        <f t="shared" si="425"/>
        <v>0</v>
      </c>
      <c r="Q1467">
        <f t="shared" si="426"/>
        <v>0</v>
      </c>
      <c r="R1467">
        <f t="shared" si="427"/>
        <v>0</v>
      </c>
      <c r="S1467">
        <f t="shared" si="428"/>
        <v>0</v>
      </c>
      <c r="T1467">
        <f t="shared" si="429"/>
        <v>0</v>
      </c>
      <c r="U1467">
        <f t="shared" si="430"/>
        <v>0</v>
      </c>
      <c r="V1467">
        <f t="shared" si="431"/>
        <v>0</v>
      </c>
      <c r="W1467" t="s">
        <v>58</v>
      </c>
      <c r="X1467">
        <f t="shared" si="432"/>
        <v>0</v>
      </c>
      <c r="Y1467">
        <f t="shared" si="433"/>
        <v>1</v>
      </c>
      <c r="Z1467">
        <v>2</v>
      </c>
      <c r="AA1467">
        <f t="shared" si="434"/>
        <v>0.25</v>
      </c>
      <c r="AB1467" t="s">
        <v>46</v>
      </c>
      <c r="AC1467">
        <f t="shared" si="435"/>
        <v>0</v>
      </c>
      <c r="AD1467">
        <f t="shared" si="436"/>
        <v>0</v>
      </c>
      <c r="AE1467" t="s">
        <v>41</v>
      </c>
      <c r="AF1467">
        <f>IF(AE1467="website",1,0)</f>
        <v>1</v>
      </c>
    </row>
    <row r="1468" spans="1:32">
      <c r="A1468" t="s">
        <v>2117</v>
      </c>
      <c r="B1468" t="s">
        <v>33</v>
      </c>
      <c r="C1468" s="3">
        <f t="shared" si="418"/>
        <v>0</v>
      </c>
      <c r="D1468">
        <f t="shared" si="419"/>
        <v>1</v>
      </c>
      <c r="E1468" t="s">
        <v>768</v>
      </c>
      <c r="F1468" t="s">
        <v>613</v>
      </c>
      <c r="G1468" s="1">
        <v>18828</v>
      </c>
      <c r="H1468" s="2">
        <f t="shared" ca="1" si="420"/>
        <v>75</v>
      </c>
      <c r="I1468" s="2">
        <f t="shared" ca="1" si="421"/>
        <v>0.7142857142857143</v>
      </c>
      <c r="J1468" t="s">
        <v>36</v>
      </c>
      <c r="K1468" t="s">
        <v>37</v>
      </c>
      <c r="L1468">
        <f t="shared" si="422"/>
        <v>1</v>
      </c>
      <c r="M1468">
        <f t="shared" si="423"/>
        <v>0</v>
      </c>
      <c r="N1468">
        <f t="shared" si="424"/>
        <v>0</v>
      </c>
      <c r="O1468" t="s">
        <v>38</v>
      </c>
      <c r="P1468">
        <f t="shared" si="425"/>
        <v>1</v>
      </c>
      <c r="Q1468">
        <f t="shared" si="426"/>
        <v>0</v>
      </c>
      <c r="R1468">
        <f t="shared" si="427"/>
        <v>0</v>
      </c>
      <c r="S1468">
        <f t="shared" si="428"/>
        <v>0</v>
      </c>
      <c r="T1468">
        <f t="shared" si="429"/>
        <v>0</v>
      </c>
      <c r="U1468">
        <f t="shared" si="430"/>
        <v>0</v>
      </c>
      <c r="V1468">
        <f t="shared" si="431"/>
        <v>0</v>
      </c>
      <c r="W1468" t="s">
        <v>39</v>
      </c>
      <c r="X1468">
        <f t="shared" si="432"/>
        <v>1</v>
      </c>
      <c r="Y1468">
        <f t="shared" si="433"/>
        <v>0</v>
      </c>
      <c r="Z1468">
        <v>5</v>
      </c>
      <c r="AA1468">
        <f t="shared" si="434"/>
        <v>1</v>
      </c>
      <c r="AB1468" t="s">
        <v>46</v>
      </c>
      <c r="AC1468">
        <f t="shared" si="435"/>
        <v>0</v>
      </c>
      <c r="AD1468">
        <f t="shared" si="436"/>
        <v>1</v>
      </c>
      <c r="AE1468" t="s">
        <v>90</v>
      </c>
      <c r="AF1468">
        <f>IF(AE1468="website",1,0)</f>
        <v>0</v>
      </c>
    </row>
    <row r="1469" spans="1:32">
      <c r="A1469" t="s">
        <v>2118</v>
      </c>
      <c r="B1469" t="s">
        <v>33</v>
      </c>
      <c r="C1469" s="3">
        <f t="shared" si="418"/>
        <v>0</v>
      </c>
      <c r="D1469">
        <f t="shared" si="419"/>
        <v>1</v>
      </c>
      <c r="E1469" t="s">
        <v>671</v>
      </c>
      <c r="F1469" t="s">
        <v>610</v>
      </c>
      <c r="G1469" s="1">
        <v>14847</v>
      </c>
      <c r="H1469" s="2">
        <f t="shared" ca="1" si="420"/>
        <v>86</v>
      </c>
      <c r="I1469" s="2">
        <f t="shared" ca="1" si="421"/>
        <v>0.87142857142857144</v>
      </c>
      <c r="J1469" t="s">
        <v>45</v>
      </c>
      <c r="K1469" t="s">
        <v>65</v>
      </c>
      <c r="L1469">
        <f t="shared" si="422"/>
        <v>0</v>
      </c>
      <c r="M1469">
        <f t="shared" si="423"/>
        <v>1</v>
      </c>
      <c r="N1469">
        <f t="shared" si="424"/>
        <v>0</v>
      </c>
      <c r="O1469" t="s">
        <v>723</v>
      </c>
      <c r="P1469">
        <f t="shared" si="425"/>
        <v>0</v>
      </c>
      <c r="Q1469">
        <f t="shared" si="426"/>
        <v>0</v>
      </c>
      <c r="R1469">
        <f t="shared" si="427"/>
        <v>0</v>
      </c>
      <c r="S1469">
        <f t="shared" si="428"/>
        <v>0</v>
      </c>
      <c r="T1469">
        <f t="shared" si="429"/>
        <v>0</v>
      </c>
      <c r="U1469">
        <f t="shared" si="430"/>
        <v>0</v>
      </c>
      <c r="V1469">
        <f t="shared" si="431"/>
        <v>0</v>
      </c>
      <c r="W1469" t="s">
        <v>39</v>
      </c>
      <c r="X1469">
        <f t="shared" si="432"/>
        <v>1</v>
      </c>
      <c r="Y1469">
        <f t="shared" si="433"/>
        <v>0</v>
      </c>
      <c r="Z1469">
        <v>3</v>
      </c>
      <c r="AA1469">
        <f t="shared" si="434"/>
        <v>0.5</v>
      </c>
      <c r="AB1469" t="s">
        <v>46</v>
      </c>
      <c r="AC1469">
        <f t="shared" si="435"/>
        <v>0</v>
      </c>
      <c r="AD1469">
        <f t="shared" si="436"/>
        <v>0</v>
      </c>
      <c r="AE1469" t="s">
        <v>41</v>
      </c>
      <c r="AF1469">
        <f>IF(AE1469="website",1,0)</f>
        <v>1</v>
      </c>
    </row>
    <row r="1470" spans="1:32">
      <c r="A1470" t="s">
        <v>2119</v>
      </c>
      <c r="B1470" t="s">
        <v>33</v>
      </c>
      <c r="C1470" s="3">
        <f t="shared" si="418"/>
        <v>0</v>
      </c>
      <c r="D1470">
        <f t="shared" si="419"/>
        <v>1</v>
      </c>
      <c r="E1470" t="s">
        <v>903</v>
      </c>
      <c r="F1470" t="s">
        <v>695</v>
      </c>
      <c r="G1470" s="1">
        <v>25705</v>
      </c>
      <c r="H1470" s="2">
        <f t="shared" ca="1" si="420"/>
        <v>56</v>
      </c>
      <c r="I1470" s="2">
        <f t="shared" ca="1" si="421"/>
        <v>0.44285714285714284</v>
      </c>
      <c r="J1470" t="s">
        <v>45</v>
      </c>
      <c r="K1470" t="s">
        <v>37</v>
      </c>
      <c r="L1470">
        <f t="shared" si="422"/>
        <v>1</v>
      </c>
      <c r="M1470">
        <f t="shared" si="423"/>
        <v>0</v>
      </c>
      <c r="N1470">
        <f t="shared" si="424"/>
        <v>0</v>
      </c>
      <c r="O1470" t="s">
        <v>137</v>
      </c>
      <c r="P1470">
        <f t="shared" si="425"/>
        <v>0</v>
      </c>
      <c r="Q1470">
        <f t="shared" si="426"/>
        <v>0</v>
      </c>
      <c r="R1470">
        <f t="shared" si="427"/>
        <v>0</v>
      </c>
      <c r="S1470">
        <f t="shared" si="428"/>
        <v>0</v>
      </c>
      <c r="T1470">
        <f t="shared" si="429"/>
        <v>0</v>
      </c>
      <c r="U1470">
        <f t="shared" si="430"/>
        <v>0</v>
      </c>
      <c r="V1470">
        <f t="shared" si="431"/>
        <v>0</v>
      </c>
      <c r="W1470" t="s">
        <v>39</v>
      </c>
      <c r="X1470">
        <f t="shared" si="432"/>
        <v>1</v>
      </c>
      <c r="Y1470">
        <f t="shared" si="433"/>
        <v>0</v>
      </c>
      <c r="Z1470">
        <v>1</v>
      </c>
      <c r="AA1470">
        <f t="shared" si="434"/>
        <v>0</v>
      </c>
      <c r="AB1470" t="s">
        <v>46</v>
      </c>
      <c r="AC1470">
        <f t="shared" si="435"/>
        <v>0</v>
      </c>
      <c r="AD1470">
        <f t="shared" si="436"/>
        <v>0</v>
      </c>
      <c r="AE1470" t="s">
        <v>41</v>
      </c>
      <c r="AF1470">
        <f>IF(AE1470="website",1,0)</f>
        <v>1</v>
      </c>
    </row>
    <row r="1471" spans="1:32">
      <c r="A1471" t="s">
        <v>2120</v>
      </c>
      <c r="B1471" t="s">
        <v>33</v>
      </c>
      <c r="C1471" s="3">
        <f t="shared" si="418"/>
        <v>0</v>
      </c>
      <c r="D1471">
        <f t="shared" si="419"/>
        <v>1</v>
      </c>
      <c r="E1471" t="s">
        <v>576</v>
      </c>
      <c r="F1471" t="s">
        <v>695</v>
      </c>
      <c r="G1471" s="1">
        <v>14758</v>
      </c>
      <c r="H1471" s="2">
        <f t="shared" ca="1" si="420"/>
        <v>86</v>
      </c>
      <c r="I1471" s="2">
        <f t="shared" ca="1" si="421"/>
        <v>0.87142857142857144</v>
      </c>
      <c r="J1471" t="s">
        <v>45</v>
      </c>
      <c r="K1471" t="s">
        <v>37</v>
      </c>
      <c r="L1471">
        <f t="shared" si="422"/>
        <v>1</v>
      </c>
      <c r="M1471">
        <f t="shared" si="423"/>
        <v>0</v>
      </c>
      <c r="N1471">
        <f t="shared" si="424"/>
        <v>0</v>
      </c>
      <c r="O1471" t="s">
        <v>137</v>
      </c>
      <c r="P1471">
        <f t="shared" si="425"/>
        <v>0</v>
      </c>
      <c r="Q1471">
        <f t="shared" si="426"/>
        <v>0</v>
      </c>
      <c r="R1471">
        <f t="shared" si="427"/>
        <v>0</v>
      </c>
      <c r="S1471">
        <f t="shared" si="428"/>
        <v>0</v>
      </c>
      <c r="T1471">
        <f t="shared" si="429"/>
        <v>0</v>
      </c>
      <c r="U1471">
        <f t="shared" si="430"/>
        <v>0</v>
      </c>
      <c r="V1471">
        <f t="shared" si="431"/>
        <v>0</v>
      </c>
      <c r="W1471" t="s">
        <v>58</v>
      </c>
      <c r="X1471">
        <f t="shared" si="432"/>
        <v>0</v>
      </c>
      <c r="Y1471">
        <f t="shared" si="433"/>
        <v>1</v>
      </c>
      <c r="Z1471">
        <v>3</v>
      </c>
      <c r="AA1471">
        <f t="shared" si="434"/>
        <v>0.5</v>
      </c>
      <c r="AB1471" t="s">
        <v>40</v>
      </c>
      <c r="AC1471">
        <f t="shared" si="435"/>
        <v>1</v>
      </c>
      <c r="AD1471">
        <f t="shared" si="436"/>
        <v>0</v>
      </c>
      <c r="AE1471" t="s">
        <v>50</v>
      </c>
      <c r="AF1471">
        <f>IF(AE1471="website",1,0)</f>
        <v>0</v>
      </c>
    </row>
    <row r="1472" spans="1:32">
      <c r="A1472" t="s">
        <v>2121</v>
      </c>
      <c r="B1472" t="s">
        <v>33</v>
      </c>
      <c r="C1472" s="3">
        <f t="shared" si="418"/>
        <v>0</v>
      </c>
      <c r="D1472">
        <f t="shared" si="419"/>
        <v>1</v>
      </c>
      <c r="E1472" t="s">
        <v>921</v>
      </c>
      <c r="F1472" t="s">
        <v>579</v>
      </c>
      <c r="G1472" s="1">
        <v>14755</v>
      </c>
      <c r="H1472" s="2">
        <f t="shared" ca="1" si="420"/>
        <v>86</v>
      </c>
      <c r="I1472" s="2">
        <f t="shared" ca="1" si="421"/>
        <v>0.87142857142857144</v>
      </c>
      <c r="J1472" t="s">
        <v>36</v>
      </c>
      <c r="K1472" t="s">
        <v>248</v>
      </c>
      <c r="L1472">
        <f t="shared" si="422"/>
        <v>0</v>
      </c>
      <c r="M1472">
        <f t="shared" si="423"/>
        <v>0</v>
      </c>
      <c r="N1472">
        <f t="shared" si="424"/>
        <v>0</v>
      </c>
      <c r="O1472" t="s">
        <v>249</v>
      </c>
      <c r="P1472">
        <f t="shared" si="425"/>
        <v>0</v>
      </c>
      <c r="Q1472">
        <f t="shared" si="426"/>
        <v>0</v>
      </c>
      <c r="R1472">
        <f t="shared" si="427"/>
        <v>0</v>
      </c>
      <c r="S1472">
        <f t="shared" si="428"/>
        <v>0</v>
      </c>
      <c r="T1472">
        <f t="shared" si="429"/>
        <v>0</v>
      </c>
      <c r="U1472">
        <f t="shared" si="430"/>
        <v>0</v>
      </c>
      <c r="V1472">
        <f t="shared" si="431"/>
        <v>0</v>
      </c>
      <c r="W1472" t="s">
        <v>39</v>
      </c>
      <c r="X1472">
        <f t="shared" si="432"/>
        <v>1</v>
      </c>
      <c r="Y1472">
        <f t="shared" si="433"/>
        <v>0</v>
      </c>
      <c r="Z1472">
        <v>1</v>
      </c>
      <c r="AA1472">
        <f t="shared" si="434"/>
        <v>0</v>
      </c>
      <c r="AB1472" t="s">
        <v>40</v>
      </c>
      <c r="AC1472">
        <f t="shared" si="435"/>
        <v>0</v>
      </c>
      <c r="AD1472">
        <f t="shared" si="436"/>
        <v>0</v>
      </c>
      <c r="AE1472" t="s">
        <v>41</v>
      </c>
      <c r="AF1472">
        <f>IF(AE1472="website",1,0)</f>
        <v>1</v>
      </c>
    </row>
    <row r="1473" spans="1:32">
      <c r="A1473" t="s">
        <v>2122</v>
      </c>
      <c r="B1473" t="s">
        <v>33</v>
      </c>
      <c r="C1473" s="3">
        <f t="shared" si="418"/>
        <v>0</v>
      </c>
      <c r="D1473">
        <f t="shared" si="419"/>
        <v>1</v>
      </c>
      <c r="E1473" t="s">
        <v>792</v>
      </c>
      <c r="F1473" t="s">
        <v>882</v>
      </c>
      <c r="G1473" s="1">
        <v>33320</v>
      </c>
      <c r="H1473" s="2">
        <f t="shared" ca="1" si="420"/>
        <v>35</v>
      </c>
      <c r="I1473" s="2">
        <f t="shared" ca="1" si="421"/>
        <v>0.14285714285714285</v>
      </c>
      <c r="J1473" t="s">
        <v>45</v>
      </c>
      <c r="K1473" t="s">
        <v>37</v>
      </c>
      <c r="L1473">
        <f t="shared" si="422"/>
        <v>1</v>
      </c>
      <c r="M1473">
        <f t="shared" si="423"/>
        <v>0</v>
      </c>
      <c r="N1473">
        <f t="shared" si="424"/>
        <v>0</v>
      </c>
      <c r="O1473" t="s">
        <v>565</v>
      </c>
      <c r="P1473">
        <f t="shared" si="425"/>
        <v>0</v>
      </c>
      <c r="Q1473">
        <f t="shared" si="426"/>
        <v>0</v>
      </c>
      <c r="R1473">
        <f t="shared" si="427"/>
        <v>0</v>
      </c>
      <c r="S1473">
        <f t="shared" si="428"/>
        <v>0</v>
      </c>
      <c r="T1473">
        <f t="shared" si="429"/>
        <v>0</v>
      </c>
      <c r="U1473">
        <f t="shared" si="430"/>
        <v>0</v>
      </c>
      <c r="V1473">
        <f t="shared" si="431"/>
        <v>0</v>
      </c>
      <c r="W1473" t="s">
        <v>39</v>
      </c>
      <c r="X1473">
        <f t="shared" si="432"/>
        <v>1</v>
      </c>
      <c r="Y1473">
        <f t="shared" si="433"/>
        <v>0</v>
      </c>
      <c r="Z1473">
        <v>1</v>
      </c>
      <c r="AA1473">
        <f t="shared" si="434"/>
        <v>0</v>
      </c>
      <c r="AB1473" t="s">
        <v>46</v>
      </c>
      <c r="AC1473">
        <f t="shared" si="435"/>
        <v>0</v>
      </c>
      <c r="AD1473">
        <f t="shared" si="436"/>
        <v>0</v>
      </c>
      <c r="AE1473" t="s">
        <v>41</v>
      </c>
      <c r="AF1473">
        <f>IF(AE1473="website",1,0)</f>
        <v>1</v>
      </c>
    </row>
    <row r="1474" spans="1:32">
      <c r="A1474" t="s">
        <v>2123</v>
      </c>
      <c r="B1474" t="s">
        <v>33</v>
      </c>
      <c r="C1474" s="3">
        <f t="shared" ref="C1474:C1537" si="437">IF(B1474="company",1,0)</f>
        <v>0</v>
      </c>
      <c r="D1474">
        <f t="shared" ref="D1474:D1537" si="438">IF(B1474="individual",1,0)</f>
        <v>1</v>
      </c>
      <c r="E1474" t="s">
        <v>847</v>
      </c>
      <c r="F1474" t="s">
        <v>757</v>
      </c>
      <c r="G1474" s="1">
        <v>27102</v>
      </c>
      <c r="H1474" s="2">
        <f t="shared" ref="H1474:H1537" ca="1" si="439">DATEDIF(G1474,TODAY(),"Y")</f>
        <v>52</v>
      </c>
      <c r="I1474" s="2">
        <f t="shared" ref="I1474:I1537" ca="1" si="440">(H1474-MIN(H:H))/(MAX(H:H)-MIN(H:H))</f>
        <v>0.38571428571428573</v>
      </c>
      <c r="J1474" t="s">
        <v>36</v>
      </c>
      <c r="K1474" t="s">
        <v>37</v>
      </c>
      <c r="L1474">
        <f t="shared" ref="L1474:L1537" si="441">IF(K1474="usa",1,0)</f>
        <v>1</v>
      </c>
      <c r="M1474">
        <f t="shared" ref="M1474:M1537" si="442">IF(K1474="canada",1,0)</f>
        <v>0</v>
      </c>
      <c r="N1474">
        <f t="shared" ref="N1474:N1537" si="443">IF(K1474="germany",1,0)</f>
        <v>0</v>
      </c>
      <c r="O1474" t="s">
        <v>38</v>
      </c>
      <c r="P1474">
        <f t="shared" ref="P1474:P1537" si="444">IF(O1474="california",1,0)</f>
        <v>1</v>
      </c>
      <c r="Q1474">
        <f t="shared" ref="Q1474:Q1537" si="445">IF(O1474="oregon",1,0)</f>
        <v>0</v>
      </c>
      <c r="R1474">
        <f t="shared" ref="R1474:R1537" si="446">IF(O1474="quebec",1,0)</f>
        <v>0</v>
      </c>
      <c r="S1474">
        <f t="shared" ref="S1474:S1537" si="447">IF(O1474="berlin",1,0)</f>
        <v>0</v>
      </c>
      <c r="T1474">
        <f t="shared" ref="T1474:T1537" si="448">IF(O1474="arizona",1,0)</f>
        <v>0</v>
      </c>
      <c r="U1474">
        <f t="shared" ref="U1474:U1537" si="449">IF(O1474="nevada",1,0)</f>
        <v>0</v>
      </c>
      <c r="V1474">
        <f t="shared" ref="V1474:V1537" si="450">IF(O1474="colardo",1,0)</f>
        <v>0</v>
      </c>
      <c r="W1474" t="s">
        <v>39</v>
      </c>
      <c r="X1474">
        <f t="shared" ref="X1474:X1537" si="451">IF(W1474="home",1,0)</f>
        <v>1</v>
      </c>
      <c r="Y1474">
        <f t="shared" ref="Y1474:Y1537" si="452">IF(W1474="investment",1,0)</f>
        <v>0</v>
      </c>
      <c r="Z1474">
        <v>2</v>
      </c>
      <c r="AA1474">
        <f t="shared" ref="AA1474:AA1537" si="453">(Z1474-1)/4</f>
        <v>0.25</v>
      </c>
      <c r="AB1474" t="s">
        <v>46</v>
      </c>
      <c r="AC1474">
        <f t="shared" ref="AC1474:AC1537" si="454">IF(AE1474="agency",1,0)</f>
        <v>1</v>
      </c>
      <c r="AD1474">
        <f t="shared" ref="AD1474:AD1537" si="455">IF(AE1474="client",1,0)</f>
        <v>0</v>
      </c>
      <c r="AE1474" t="s">
        <v>50</v>
      </c>
      <c r="AF1474">
        <f>IF(AE1474="website",1,0)</f>
        <v>0</v>
      </c>
    </row>
    <row r="1475" spans="1:32">
      <c r="A1475" t="s">
        <v>2124</v>
      </c>
      <c r="B1475" t="s">
        <v>33</v>
      </c>
      <c r="C1475" s="3">
        <f t="shared" si="437"/>
        <v>0</v>
      </c>
      <c r="D1475">
        <f t="shared" si="438"/>
        <v>1</v>
      </c>
      <c r="E1475" t="s">
        <v>191</v>
      </c>
      <c r="F1475" t="s">
        <v>247</v>
      </c>
      <c r="G1475" s="1">
        <v>25303</v>
      </c>
      <c r="H1475" s="2">
        <f t="shared" ca="1" si="439"/>
        <v>57</v>
      </c>
      <c r="I1475" s="2">
        <f t="shared" ca="1" si="440"/>
        <v>0.45714285714285713</v>
      </c>
      <c r="J1475" t="s">
        <v>45</v>
      </c>
      <c r="K1475" t="s">
        <v>37</v>
      </c>
      <c r="L1475">
        <f t="shared" si="441"/>
        <v>1</v>
      </c>
      <c r="M1475">
        <f t="shared" si="442"/>
        <v>0</v>
      </c>
      <c r="N1475">
        <f t="shared" si="443"/>
        <v>0</v>
      </c>
      <c r="O1475" t="s">
        <v>76</v>
      </c>
      <c r="P1475">
        <f t="shared" si="444"/>
        <v>0</v>
      </c>
      <c r="Q1475">
        <f t="shared" si="445"/>
        <v>1</v>
      </c>
      <c r="R1475">
        <f t="shared" si="446"/>
        <v>0</v>
      </c>
      <c r="S1475">
        <f t="shared" si="447"/>
        <v>0</v>
      </c>
      <c r="T1475">
        <f t="shared" si="448"/>
        <v>0</v>
      </c>
      <c r="U1475">
        <f t="shared" si="449"/>
        <v>0</v>
      </c>
      <c r="V1475">
        <f t="shared" si="450"/>
        <v>0</v>
      </c>
      <c r="W1475" t="s">
        <v>39</v>
      </c>
      <c r="X1475">
        <f t="shared" si="451"/>
        <v>1</v>
      </c>
      <c r="Y1475">
        <f t="shared" si="452"/>
        <v>0</v>
      </c>
      <c r="Z1475">
        <v>3</v>
      </c>
      <c r="AA1475">
        <f t="shared" si="453"/>
        <v>0.5</v>
      </c>
      <c r="AB1475" t="s">
        <v>46</v>
      </c>
      <c r="AC1475">
        <f t="shared" si="454"/>
        <v>0</v>
      </c>
      <c r="AD1475">
        <f t="shared" si="455"/>
        <v>0</v>
      </c>
      <c r="AE1475" t="s">
        <v>41</v>
      </c>
      <c r="AF1475">
        <f>IF(AE1475="website",1,0)</f>
        <v>1</v>
      </c>
    </row>
    <row r="1476" spans="1:32">
      <c r="A1476" t="s">
        <v>2125</v>
      </c>
      <c r="B1476" t="s">
        <v>33</v>
      </c>
      <c r="C1476" s="3">
        <f t="shared" si="437"/>
        <v>0</v>
      </c>
      <c r="D1476">
        <f t="shared" si="438"/>
        <v>1</v>
      </c>
      <c r="E1476" t="s">
        <v>795</v>
      </c>
      <c r="F1476" t="s">
        <v>247</v>
      </c>
      <c r="G1476" s="1">
        <v>16286</v>
      </c>
      <c r="H1476" s="2">
        <f t="shared" ca="1" si="439"/>
        <v>82</v>
      </c>
      <c r="I1476" s="2">
        <f t="shared" ca="1" si="440"/>
        <v>0.81428571428571428</v>
      </c>
      <c r="J1476" t="s">
        <v>45</v>
      </c>
      <c r="K1476" t="s">
        <v>158</v>
      </c>
      <c r="L1476">
        <f t="shared" si="441"/>
        <v>0</v>
      </c>
      <c r="M1476">
        <f t="shared" si="442"/>
        <v>0</v>
      </c>
      <c r="N1476">
        <f t="shared" si="443"/>
        <v>0</v>
      </c>
      <c r="O1476" t="s">
        <v>1068</v>
      </c>
      <c r="P1476">
        <f t="shared" si="444"/>
        <v>0</v>
      </c>
      <c r="Q1476">
        <f t="shared" si="445"/>
        <v>0</v>
      </c>
      <c r="R1476">
        <f t="shared" si="446"/>
        <v>0</v>
      </c>
      <c r="S1476">
        <f t="shared" si="447"/>
        <v>0</v>
      </c>
      <c r="T1476">
        <f t="shared" si="448"/>
        <v>0</v>
      </c>
      <c r="U1476">
        <f t="shared" si="449"/>
        <v>0</v>
      </c>
      <c r="V1476">
        <f t="shared" si="450"/>
        <v>0</v>
      </c>
      <c r="W1476" t="s">
        <v>39</v>
      </c>
      <c r="X1476">
        <f t="shared" si="451"/>
        <v>1</v>
      </c>
      <c r="Y1476">
        <f t="shared" si="452"/>
        <v>0</v>
      </c>
      <c r="Z1476">
        <v>4</v>
      </c>
      <c r="AA1476">
        <f t="shared" si="453"/>
        <v>0.75</v>
      </c>
      <c r="AB1476" t="s">
        <v>40</v>
      </c>
      <c r="AC1476">
        <f t="shared" si="454"/>
        <v>1</v>
      </c>
      <c r="AD1476">
        <f t="shared" si="455"/>
        <v>0</v>
      </c>
      <c r="AE1476" t="s">
        <v>50</v>
      </c>
      <c r="AF1476">
        <f>IF(AE1476="website",1,0)</f>
        <v>0</v>
      </c>
    </row>
    <row r="1477" spans="1:32">
      <c r="A1477" t="s">
        <v>2126</v>
      </c>
      <c r="B1477" t="s">
        <v>33</v>
      </c>
      <c r="C1477" s="3">
        <f t="shared" si="437"/>
        <v>0</v>
      </c>
      <c r="D1477">
        <f t="shared" si="438"/>
        <v>1</v>
      </c>
      <c r="E1477" t="s">
        <v>191</v>
      </c>
      <c r="F1477" t="s">
        <v>911</v>
      </c>
      <c r="G1477" s="1">
        <v>36685</v>
      </c>
      <c r="H1477" s="2">
        <f t="shared" ca="1" si="439"/>
        <v>26</v>
      </c>
      <c r="I1477" s="2">
        <f t="shared" ca="1" si="440"/>
        <v>1.4285714285714285E-2</v>
      </c>
      <c r="J1477" t="s">
        <v>45</v>
      </c>
      <c r="K1477" t="s">
        <v>37</v>
      </c>
      <c r="L1477">
        <f t="shared" si="441"/>
        <v>1</v>
      </c>
      <c r="M1477">
        <f t="shared" si="442"/>
        <v>0</v>
      </c>
      <c r="N1477">
        <f t="shared" si="443"/>
        <v>0</v>
      </c>
      <c r="O1477" t="s">
        <v>124</v>
      </c>
      <c r="P1477">
        <f t="shared" si="444"/>
        <v>0</v>
      </c>
      <c r="Q1477">
        <f t="shared" si="445"/>
        <v>0</v>
      </c>
      <c r="R1477">
        <f t="shared" si="446"/>
        <v>0</v>
      </c>
      <c r="S1477">
        <f t="shared" si="447"/>
        <v>0</v>
      </c>
      <c r="T1477">
        <f t="shared" si="448"/>
        <v>0</v>
      </c>
      <c r="U1477">
        <f t="shared" si="449"/>
        <v>1</v>
      </c>
      <c r="V1477">
        <f t="shared" si="450"/>
        <v>0</v>
      </c>
      <c r="W1477" t="s">
        <v>39</v>
      </c>
      <c r="X1477">
        <f t="shared" si="451"/>
        <v>1</v>
      </c>
      <c r="Y1477">
        <f t="shared" si="452"/>
        <v>0</v>
      </c>
      <c r="Z1477">
        <v>1</v>
      </c>
      <c r="AA1477">
        <f t="shared" si="453"/>
        <v>0</v>
      </c>
      <c r="AB1477" t="s">
        <v>46</v>
      </c>
      <c r="AC1477">
        <f t="shared" si="454"/>
        <v>1</v>
      </c>
      <c r="AD1477">
        <f t="shared" si="455"/>
        <v>0</v>
      </c>
      <c r="AE1477" t="s">
        <v>50</v>
      </c>
      <c r="AF1477">
        <f>IF(AE1477="website",1,0)</f>
        <v>0</v>
      </c>
    </row>
    <row r="1478" spans="1:32">
      <c r="A1478" t="s">
        <v>2127</v>
      </c>
      <c r="B1478" t="s">
        <v>55</v>
      </c>
      <c r="C1478" s="3">
        <f t="shared" si="437"/>
        <v>1</v>
      </c>
      <c r="D1478">
        <f t="shared" si="438"/>
        <v>0</v>
      </c>
      <c r="E1478" t="s">
        <v>872</v>
      </c>
      <c r="F1478" t="s">
        <v>57</v>
      </c>
      <c r="G1478" s="1">
        <v>24938</v>
      </c>
      <c r="H1478" s="2">
        <f t="shared" ca="1" si="439"/>
        <v>58</v>
      </c>
      <c r="I1478" s="2">
        <f t="shared" ca="1" si="440"/>
        <v>0.47142857142857142</v>
      </c>
      <c r="J1478" t="s">
        <v>36</v>
      </c>
      <c r="K1478" t="s">
        <v>37</v>
      </c>
      <c r="L1478">
        <f t="shared" si="441"/>
        <v>1</v>
      </c>
      <c r="M1478">
        <f t="shared" si="442"/>
        <v>0</v>
      </c>
      <c r="N1478">
        <f t="shared" si="443"/>
        <v>0</v>
      </c>
      <c r="O1478" t="s">
        <v>38</v>
      </c>
      <c r="P1478">
        <f t="shared" si="444"/>
        <v>1</v>
      </c>
      <c r="Q1478">
        <f t="shared" si="445"/>
        <v>0</v>
      </c>
      <c r="R1478">
        <f t="shared" si="446"/>
        <v>0</v>
      </c>
      <c r="S1478">
        <f t="shared" si="447"/>
        <v>0</v>
      </c>
      <c r="T1478">
        <f t="shared" si="448"/>
        <v>0</v>
      </c>
      <c r="U1478">
        <f t="shared" si="449"/>
        <v>0</v>
      </c>
      <c r="V1478">
        <f t="shared" si="450"/>
        <v>0</v>
      </c>
      <c r="W1478" t="s">
        <v>58</v>
      </c>
      <c r="X1478">
        <f t="shared" si="451"/>
        <v>0</v>
      </c>
      <c r="Y1478">
        <f t="shared" si="452"/>
        <v>1</v>
      </c>
      <c r="Z1478">
        <v>1</v>
      </c>
      <c r="AA1478">
        <f t="shared" si="453"/>
        <v>0</v>
      </c>
      <c r="AB1478" t="s">
        <v>46</v>
      </c>
      <c r="AC1478">
        <f t="shared" si="454"/>
        <v>1</v>
      </c>
      <c r="AD1478">
        <f t="shared" si="455"/>
        <v>0</v>
      </c>
      <c r="AE1478" t="s">
        <v>50</v>
      </c>
      <c r="AF1478">
        <f>IF(AE1478="website",1,0)</f>
        <v>0</v>
      </c>
    </row>
    <row r="1479" spans="1:32">
      <c r="A1479" t="s">
        <v>2128</v>
      </c>
      <c r="B1479" t="s">
        <v>33</v>
      </c>
      <c r="C1479" s="3">
        <f t="shared" si="437"/>
        <v>0</v>
      </c>
      <c r="D1479">
        <f t="shared" si="438"/>
        <v>1</v>
      </c>
      <c r="E1479" t="s">
        <v>809</v>
      </c>
      <c r="F1479" t="s">
        <v>885</v>
      </c>
      <c r="G1479" s="1">
        <v>21440</v>
      </c>
      <c r="H1479" s="2">
        <f t="shared" ca="1" si="439"/>
        <v>68</v>
      </c>
      <c r="I1479" s="2">
        <f t="shared" ca="1" si="440"/>
        <v>0.61428571428571432</v>
      </c>
      <c r="J1479" t="s">
        <v>36</v>
      </c>
      <c r="K1479" t="s">
        <v>65</v>
      </c>
      <c r="L1479">
        <f t="shared" si="441"/>
        <v>0</v>
      </c>
      <c r="M1479">
        <f t="shared" si="442"/>
        <v>1</v>
      </c>
      <c r="N1479">
        <f t="shared" si="443"/>
        <v>0</v>
      </c>
      <c r="O1479" t="s">
        <v>642</v>
      </c>
      <c r="P1479">
        <f t="shared" si="444"/>
        <v>0</v>
      </c>
      <c r="Q1479">
        <f t="shared" si="445"/>
        <v>0</v>
      </c>
      <c r="R1479">
        <f t="shared" si="446"/>
        <v>0</v>
      </c>
      <c r="S1479">
        <f t="shared" si="447"/>
        <v>0</v>
      </c>
      <c r="T1479">
        <f t="shared" si="448"/>
        <v>0</v>
      </c>
      <c r="U1479">
        <f t="shared" si="449"/>
        <v>0</v>
      </c>
      <c r="V1479">
        <f t="shared" si="450"/>
        <v>0</v>
      </c>
      <c r="W1479" t="s">
        <v>58</v>
      </c>
      <c r="X1479">
        <f t="shared" si="451"/>
        <v>0</v>
      </c>
      <c r="Y1479">
        <f t="shared" si="452"/>
        <v>1</v>
      </c>
      <c r="Z1479">
        <v>1</v>
      </c>
      <c r="AA1479">
        <f t="shared" si="453"/>
        <v>0</v>
      </c>
      <c r="AB1479" t="s">
        <v>46</v>
      </c>
      <c r="AC1479">
        <f t="shared" si="454"/>
        <v>1</v>
      </c>
      <c r="AD1479">
        <f t="shared" si="455"/>
        <v>0</v>
      </c>
      <c r="AE1479" t="s">
        <v>50</v>
      </c>
      <c r="AF1479">
        <f>IF(AE1479="website",1,0)</f>
        <v>0</v>
      </c>
    </row>
    <row r="1480" spans="1:32">
      <c r="A1480" t="s">
        <v>2129</v>
      </c>
      <c r="B1480" t="s">
        <v>33</v>
      </c>
      <c r="C1480" s="3">
        <f t="shared" si="437"/>
        <v>0</v>
      </c>
      <c r="D1480">
        <f t="shared" si="438"/>
        <v>1</v>
      </c>
      <c r="E1480" t="s">
        <v>792</v>
      </c>
      <c r="F1480" t="s">
        <v>568</v>
      </c>
      <c r="G1480" s="1">
        <v>24923</v>
      </c>
      <c r="H1480" s="2">
        <f t="shared" ca="1" si="439"/>
        <v>58</v>
      </c>
      <c r="I1480" s="2">
        <f t="shared" ca="1" si="440"/>
        <v>0.47142857142857142</v>
      </c>
      <c r="J1480" t="s">
        <v>45</v>
      </c>
      <c r="K1480" t="s">
        <v>37</v>
      </c>
      <c r="L1480">
        <f t="shared" si="441"/>
        <v>1</v>
      </c>
      <c r="M1480">
        <f t="shared" si="442"/>
        <v>0</v>
      </c>
      <c r="N1480">
        <f t="shared" si="443"/>
        <v>0</v>
      </c>
      <c r="O1480" t="s">
        <v>38</v>
      </c>
      <c r="P1480">
        <f t="shared" si="444"/>
        <v>1</v>
      </c>
      <c r="Q1480">
        <f t="shared" si="445"/>
        <v>0</v>
      </c>
      <c r="R1480">
        <f t="shared" si="446"/>
        <v>0</v>
      </c>
      <c r="S1480">
        <f t="shared" si="447"/>
        <v>0</v>
      </c>
      <c r="T1480">
        <f t="shared" si="448"/>
        <v>0</v>
      </c>
      <c r="U1480">
        <f t="shared" si="449"/>
        <v>0</v>
      </c>
      <c r="V1480">
        <f t="shared" si="450"/>
        <v>0</v>
      </c>
      <c r="W1480" t="s">
        <v>58</v>
      </c>
      <c r="X1480">
        <f t="shared" si="451"/>
        <v>0</v>
      </c>
      <c r="Y1480">
        <f t="shared" si="452"/>
        <v>1</v>
      </c>
      <c r="Z1480">
        <v>1</v>
      </c>
      <c r="AA1480">
        <f t="shared" si="453"/>
        <v>0</v>
      </c>
      <c r="AB1480" t="s">
        <v>46</v>
      </c>
      <c r="AC1480">
        <f t="shared" si="454"/>
        <v>0</v>
      </c>
      <c r="AD1480">
        <f t="shared" si="455"/>
        <v>0</v>
      </c>
      <c r="AE1480" t="s">
        <v>41</v>
      </c>
      <c r="AF1480">
        <f>IF(AE1480="website",1,0)</f>
        <v>1</v>
      </c>
    </row>
    <row r="1481" spans="1:32">
      <c r="A1481" t="s">
        <v>2130</v>
      </c>
      <c r="B1481" t="s">
        <v>33</v>
      </c>
      <c r="C1481" s="3">
        <f t="shared" si="437"/>
        <v>0</v>
      </c>
      <c r="D1481">
        <f t="shared" si="438"/>
        <v>1</v>
      </c>
      <c r="E1481" t="s">
        <v>784</v>
      </c>
      <c r="F1481" t="s">
        <v>633</v>
      </c>
      <c r="G1481" s="1">
        <v>31146</v>
      </c>
      <c r="H1481" s="2">
        <f t="shared" ca="1" si="439"/>
        <v>41</v>
      </c>
      <c r="I1481" s="2">
        <f t="shared" ca="1" si="440"/>
        <v>0.22857142857142856</v>
      </c>
      <c r="J1481" t="s">
        <v>36</v>
      </c>
      <c r="K1481" t="s">
        <v>37</v>
      </c>
      <c r="L1481">
        <f t="shared" si="441"/>
        <v>1</v>
      </c>
      <c r="M1481">
        <f t="shared" si="442"/>
        <v>0</v>
      </c>
      <c r="N1481">
        <f t="shared" si="443"/>
        <v>0</v>
      </c>
      <c r="O1481" t="s">
        <v>305</v>
      </c>
      <c r="P1481">
        <f t="shared" si="444"/>
        <v>0</v>
      </c>
      <c r="Q1481">
        <f t="shared" si="445"/>
        <v>0</v>
      </c>
      <c r="R1481">
        <f t="shared" si="446"/>
        <v>0</v>
      </c>
      <c r="S1481">
        <f t="shared" si="447"/>
        <v>0</v>
      </c>
      <c r="T1481">
        <f t="shared" si="448"/>
        <v>0</v>
      </c>
      <c r="U1481">
        <f t="shared" si="449"/>
        <v>0</v>
      </c>
      <c r="V1481">
        <f t="shared" si="450"/>
        <v>0</v>
      </c>
      <c r="W1481" t="s">
        <v>58</v>
      </c>
      <c r="X1481">
        <f t="shared" si="451"/>
        <v>0</v>
      </c>
      <c r="Y1481">
        <f t="shared" si="452"/>
        <v>1</v>
      </c>
      <c r="Z1481">
        <v>3</v>
      </c>
      <c r="AA1481">
        <f t="shared" si="453"/>
        <v>0.5</v>
      </c>
      <c r="AB1481" t="s">
        <v>46</v>
      </c>
      <c r="AC1481">
        <f t="shared" si="454"/>
        <v>0</v>
      </c>
      <c r="AD1481">
        <f t="shared" si="455"/>
        <v>1</v>
      </c>
      <c r="AE1481" t="s">
        <v>90</v>
      </c>
      <c r="AF1481">
        <f>IF(AE1481="website",1,0)</f>
        <v>0</v>
      </c>
    </row>
    <row r="1482" spans="1:32">
      <c r="A1482" t="s">
        <v>2131</v>
      </c>
      <c r="B1482" t="s">
        <v>55</v>
      </c>
      <c r="C1482" s="3">
        <f t="shared" si="437"/>
        <v>1</v>
      </c>
      <c r="D1482">
        <f t="shared" si="438"/>
        <v>0</v>
      </c>
      <c r="E1482" t="s">
        <v>1766</v>
      </c>
      <c r="F1482" t="s">
        <v>57</v>
      </c>
      <c r="G1482" s="1">
        <v>31020</v>
      </c>
      <c r="H1482" s="2">
        <f t="shared" ca="1" si="439"/>
        <v>41</v>
      </c>
      <c r="I1482" s="2">
        <f t="shared" ca="1" si="440"/>
        <v>0.22857142857142856</v>
      </c>
      <c r="J1482" t="s">
        <v>36</v>
      </c>
      <c r="K1482" t="s">
        <v>37</v>
      </c>
      <c r="L1482">
        <f t="shared" si="441"/>
        <v>1</v>
      </c>
      <c r="M1482">
        <f t="shared" si="442"/>
        <v>0</v>
      </c>
      <c r="N1482">
        <f t="shared" si="443"/>
        <v>0</v>
      </c>
      <c r="O1482" t="s">
        <v>97</v>
      </c>
      <c r="P1482">
        <f t="shared" si="444"/>
        <v>0</v>
      </c>
      <c r="Q1482">
        <f t="shared" si="445"/>
        <v>0</v>
      </c>
      <c r="R1482">
        <f t="shared" si="446"/>
        <v>0</v>
      </c>
      <c r="S1482">
        <f t="shared" si="447"/>
        <v>0</v>
      </c>
      <c r="T1482">
        <f t="shared" si="448"/>
        <v>1</v>
      </c>
      <c r="U1482">
        <f t="shared" si="449"/>
        <v>0</v>
      </c>
      <c r="V1482">
        <f t="shared" si="450"/>
        <v>0</v>
      </c>
      <c r="W1482" t="s">
        <v>58</v>
      </c>
      <c r="X1482">
        <f t="shared" si="451"/>
        <v>0</v>
      </c>
      <c r="Y1482">
        <f t="shared" si="452"/>
        <v>1</v>
      </c>
      <c r="Z1482">
        <v>3</v>
      </c>
      <c r="AA1482">
        <f t="shared" si="453"/>
        <v>0.5</v>
      </c>
      <c r="AB1482" t="s">
        <v>46</v>
      </c>
      <c r="AC1482">
        <f t="shared" si="454"/>
        <v>0</v>
      </c>
      <c r="AD1482">
        <f t="shared" si="455"/>
        <v>0</v>
      </c>
      <c r="AE1482" t="s">
        <v>41</v>
      </c>
      <c r="AF1482">
        <f>IF(AE1482="website",1,0)</f>
        <v>1</v>
      </c>
    </row>
    <row r="1483" spans="1:32">
      <c r="A1483" t="s">
        <v>2132</v>
      </c>
      <c r="B1483" t="s">
        <v>33</v>
      </c>
      <c r="C1483" s="3">
        <f t="shared" si="437"/>
        <v>0</v>
      </c>
      <c r="D1483">
        <f t="shared" si="438"/>
        <v>1</v>
      </c>
      <c r="E1483" t="s">
        <v>924</v>
      </c>
      <c r="F1483" t="s">
        <v>764</v>
      </c>
      <c r="G1483" s="1">
        <v>19383</v>
      </c>
      <c r="H1483" s="2">
        <f t="shared" ca="1" si="439"/>
        <v>73</v>
      </c>
      <c r="I1483" s="2">
        <f t="shared" ca="1" si="440"/>
        <v>0.68571428571428572</v>
      </c>
      <c r="J1483" t="s">
        <v>36</v>
      </c>
      <c r="K1483" t="s">
        <v>37</v>
      </c>
      <c r="L1483">
        <f t="shared" si="441"/>
        <v>1</v>
      </c>
      <c r="M1483">
        <f t="shared" si="442"/>
        <v>0</v>
      </c>
      <c r="N1483">
        <f t="shared" si="443"/>
        <v>0</v>
      </c>
      <c r="O1483" t="s">
        <v>76</v>
      </c>
      <c r="P1483">
        <f t="shared" si="444"/>
        <v>0</v>
      </c>
      <c r="Q1483">
        <f t="shared" si="445"/>
        <v>1</v>
      </c>
      <c r="R1483">
        <f t="shared" si="446"/>
        <v>0</v>
      </c>
      <c r="S1483">
        <f t="shared" si="447"/>
        <v>0</v>
      </c>
      <c r="T1483">
        <f t="shared" si="448"/>
        <v>0</v>
      </c>
      <c r="U1483">
        <f t="shared" si="449"/>
        <v>0</v>
      </c>
      <c r="V1483">
        <f t="shared" si="450"/>
        <v>0</v>
      </c>
      <c r="W1483" t="s">
        <v>39</v>
      </c>
      <c r="X1483">
        <f t="shared" si="451"/>
        <v>1</v>
      </c>
      <c r="Y1483">
        <f t="shared" si="452"/>
        <v>0</v>
      </c>
      <c r="Z1483">
        <v>2</v>
      </c>
      <c r="AA1483">
        <f t="shared" si="453"/>
        <v>0.25</v>
      </c>
      <c r="AB1483" t="s">
        <v>40</v>
      </c>
      <c r="AC1483">
        <f t="shared" si="454"/>
        <v>0</v>
      </c>
      <c r="AD1483">
        <f t="shared" si="455"/>
        <v>0</v>
      </c>
      <c r="AE1483" t="s">
        <v>41</v>
      </c>
      <c r="AF1483">
        <f>IF(AE1483="website",1,0)</f>
        <v>1</v>
      </c>
    </row>
    <row r="1484" spans="1:32">
      <c r="A1484" t="s">
        <v>2133</v>
      </c>
      <c r="B1484" t="s">
        <v>33</v>
      </c>
      <c r="C1484" s="3">
        <f t="shared" si="437"/>
        <v>0</v>
      </c>
      <c r="D1484">
        <f t="shared" si="438"/>
        <v>1</v>
      </c>
      <c r="E1484" t="s">
        <v>1073</v>
      </c>
      <c r="F1484" t="s">
        <v>549</v>
      </c>
      <c r="G1484" s="1">
        <v>27546</v>
      </c>
      <c r="H1484" s="2">
        <f t="shared" ca="1" si="439"/>
        <v>51</v>
      </c>
      <c r="I1484" s="2">
        <f t="shared" ca="1" si="440"/>
        <v>0.37142857142857144</v>
      </c>
      <c r="J1484" t="s">
        <v>45</v>
      </c>
      <c r="K1484" t="s">
        <v>37</v>
      </c>
      <c r="L1484">
        <f t="shared" si="441"/>
        <v>1</v>
      </c>
      <c r="M1484">
        <f t="shared" si="442"/>
        <v>0</v>
      </c>
      <c r="N1484">
        <f t="shared" si="443"/>
        <v>0</v>
      </c>
      <c r="O1484" t="s">
        <v>137</v>
      </c>
      <c r="P1484">
        <f t="shared" si="444"/>
        <v>0</v>
      </c>
      <c r="Q1484">
        <f t="shared" si="445"/>
        <v>0</v>
      </c>
      <c r="R1484">
        <f t="shared" si="446"/>
        <v>0</v>
      </c>
      <c r="S1484">
        <f t="shared" si="447"/>
        <v>0</v>
      </c>
      <c r="T1484">
        <f t="shared" si="448"/>
        <v>0</v>
      </c>
      <c r="U1484">
        <f t="shared" si="449"/>
        <v>0</v>
      </c>
      <c r="V1484">
        <f t="shared" si="450"/>
        <v>0</v>
      </c>
      <c r="W1484" t="s">
        <v>39</v>
      </c>
      <c r="X1484">
        <f t="shared" si="451"/>
        <v>1</v>
      </c>
      <c r="Y1484">
        <f t="shared" si="452"/>
        <v>0</v>
      </c>
      <c r="Z1484">
        <v>3</v>
      </c>
      <c r="AA1484">
        <f t="shared" si="453"/>
        <v>0.5</v>
      </c>
      <c r="AB1484" t="s">
        <v>40</v>
      </c>
      <c r="AC1484">
        <f t="shared" si="454"/>
        <v>1</v>
      </c>
      <c r="AD1484">
        <f t="shared" si="455"/>
        <v>0</v>
      </c>
      <c r="AE1484" t="s">
        <v>50</v>
      </c>
      <c r="AF1484">
        <f>IF(AE1484="website",1,0)</f>
        <v>0</v>
      </c>
    </row>
    <row r="1485" spans="1:32">
      <c r="A1485" t="s">
        <v>2134</v>
      </c>
      <c r="B1485" t="s">
        <v>33</v>
      </c>
      <c r="C1485" s="3">
        <f t="shared" si="437"/>
        <v>0</v>
      </c>
      <c r="D1485">
        <f t="shared" si="438"/>
        <v>1</v>
      </c>
      <c r="E1485" t="s">
        <v>1554</v>
      </c>
      <c r="F1485" t="s">
        <v>112</v>
      </c>
      <c r="G1485" s="1">
        <v>26215</v>
      </c>
      <c r="H1485" s="2">
        <f t="shared" ca="1" si="439"/>
        <v>54</v>
      </c>
      <c r="I1485" s="2">
        <f t="shared" ca="1" si="440"/>
        <v>0.41428571428571431</v>
      </c>
      <c r="J1485" t="s">
        <v>36</v>
      </c>
      <c r="K1485" t="s">
        <v>37</v>
      </c>
      <c r="L1485">
        <f t="shared" si="441"/>
        <v>1</v>
      </c>
      <c r="M1485">
        <f t="shared" si="442"/>
        <v>0</v>
      </c>
      <c r="N1485">
        <f t="shared" si="443"/>
        <v>0</v>
      </c>
      <c r="O1485" t="s">
        <v>137</v>
      </c>
      <c r="P1485">
        <f t="shared" si="444"/>
        <v>0</v>
      </c>
      <c r="Q1485">
        <f t="shared" si="445"/>
        <v>0</v>
      </c>
      <c r="R1485">
        <f t="shared" si="446"/>
        <v>0</v>
      </c>
      <c r="S1485">
        <f t="shared" si="447"/>
        <v>0</v>
      </c>
      <c r="T1485">
        <f t="shared" si="448"/>
        <v>0</v>
      </c>
      <c r="U1485">
        <f t="shared" si="449"/>
        <v>0</v>
      </c>
      <c r="V1485">
        <f t="shared" si="450"/>
        <v>0</v>
      </c>
      <c r="W1485" t="s">
        <v>39</v>
      </c>
      <c r="X1485">
        <f t="shared" si="451"/>
        <v>1</v>
      </c>
      <c r="Y1485">
        <f t="shared" si="452"/>
        <v>0</v>
      </c>
      <c r="Z1485">
        <v>3</v>
      </c>
      <c r="AA1485">
        <f t="shared" si="453"/>
        <v>0.5</v>
      </c>
      <c r="AB1485" t="s">
        <v>46</v>
      </c>
      <c r="AC1485">
        <f t="shared" si="454"/>
        <v>0</v>
      </c>
      <c r="AD1485">
        <f t="shared" si="455"/>
        <v>1</v>
      </c>
      <c r="AE1485" t="s">
        <v>90</v>
      </c>
      <c r="AF1485">
        <f>IF(AE1485="website",1,0)</f>
        <v>0</v>
      </c>
    </row>
    <row r="1486" spans="1:32">
      <c r="A1486" t="s">
        <v>2135</v>
      </c>
      <c r="B1486" t="s">
        <v>33</v>
      </c>
      <c r="C1486" s="3">
        <f t="shared" si="437"/>
        <v>0</v>
      </c>
      <c r="D1486">
        <f t="shared" si="438"/>
        <v>1</v>
      </c>
      <c r="E1486" t="s">
        <v>476</v>
      </c>
      <c r="F1486" t="s">
        <v>941</v>
      </c>
      <c r="G1486" s="1">
        <v>30859</v>
      </c>
      <c r="H1486" s="2">
        <f t="shared" ca="1" si="439"/>
        <v>42</v>
      </c>
      <c r="I1486" s="2">
        <f t="shared" ca="1" si="440"/>
        <v>0.24285714285714285</v>
      </c>
      <c r="J1486" t="s">
        <v>36</v>
      </c>
      <c r="K1486" t="s">
        <v>37</v>
      </c>
      <c r="L1486">
        <f t="shared" si="441"/>
        <v>1</v>
      </c>
      <c r="M1486">
        <f t="shared" si="442"/>
        <v>0</v>
      </c>
      <c r="N1486">
        <f t="shared" si="443"/>
        <v>0</v>
      </c>
      <c r="O1486" t="s">
        <v>565</v>
      </c>
      <c r="P1486">
        <f t="shared" si="444"/>
        <v>0</v>
      </c>
      <c r="Q1486">
        <f t="shared" si="445"/>
        <v>0</v>
      </c>
      <c r="R1486">
        <f t="shared" si="446"/>
        <v>0</v>
      </c>
      <c r="S1486">
        <f t="shared" si="447"/>
        <v>0</v>
      </c>
      <c r="T1486">
        <f t="shared" si="448"/>
        <v>0</v>
      </c>
      <c r="U1486">
        <f t="shared" si="449"/>
        <v>0</v>
      </c>
      <c r="V1486">
        <f t="shared" si="450"/>
        <v>0</v>
      </c>
      <c r="W1486" t="s">
        <v>58</v>
      </c>
      <c r="X1486">
        <f t="shared" si="451"/>
        <v>0</v>
      </c>
      <c r="Y1486">
        <f t="shared" si="452"/>
        <v>1</v>
      </c>
      <c r="Z1486">
        <v>4</v>
      </c>
      <c r="AA1486">
        <f t="shared" si="453"/>
        <v>0.75</v>
      </c>
      <c r="AB1486" t="s">
        <v>46</v>
      </c>
      <c r="AC1486">
        <f t="shared" si="454"/>
        <v>0</v>
      </c>
      <c r="AD1486">
        <f t="shared" si="455"/>
        <v>0</v>
      </c>
      <c r="AE1486" t="s">
        <v>41</v>
      </c>
      <c r="AF1486">
        <f>IF(AE1486="website",1,0)</f>
        <v>1</v>
      </c>
    </row>
    <row r="1487" spans="1:32">
      <c r="A1487" t="s">
        <v>2136</v>
      </c>
      <c r="B1487" t="s">
        <v>33</v>
      </c>
      <c r="C1487" s="3">
        <f t="shared" si="437"/>
        <v>0</v>
      </c>
      <c r="D1487">
        <f t="shared" si="438"/>
        <v>1</v>
      </c>
      <c r="E1487" t="s">
        <v>950</v>
      </c>
      <c r="F1487" t="s">
        <v>623</v>
      </c>
      <c r="G1487" s="1">
        <v>35230</v>
      </c>
      <c r="H1487" s="2">
        <f t="shared" ca="1" si="439"/>
        <v>30</v>
      </c>
      <c r="I1487" s="2">
        <f t="shared" ca="1" si="440"/>
        <v>7.1428571428571425E-2</v>
      </c>
      <c r="J1487" t="s">
        <v>36</v>
      </c>
      <c r="K1487" t="s">
        <v>248</v>
      </c>
      <c r="L1487">
        <f t="shared" si="441"/>
        <v>0</v>
      </c>
      <c r="M1487">
        <f t="shared" si="442"/>
        <v>0</v>
      </c>
      <c r="N1487">
        <f t="shared" si="443"/>
        <v>0</v>
      </c>
      <c r="O1487" t="s">
        <v>836</v>
      </c>
      <c r="P1487">
        <f t="shared" si="444"/>
        <v>0</v>
      </c>
      <c r="Q1487">
        <f t="shared" si="445"/>
        <v>0</v>
      </c>
      <c r="R1487">
        <f t="shared" si="446"/>
        <v>0</v>
      </c>
      <c r="S1487">
        <f t="shared" si="447"/>
        <v>0</v>
      </c>
      <c r="T1487">
        <f t="shared" si="448"/>
        <v>0</v>
      </c>
      <c r="U1487">
        <f t="shared" si="449"/>
        <v>0</v>
      </c>
      <c r="V1487">
        <f t="shared" si="450"/>
        <v>0</v>
      </c>
      <c r="W1487" t="s">
        <v>39</v>
      </c>
      <c r="X1487">
        <f t="shared" si="451"/>
        <v>1</v>
      </c>
      <c r="Y1487">
        <f t="shared" si="452"/>
        <v>0</v>
      </c>
      <c r="Z1487">
        <v>5</v>
      </c>
      <c r="AA1487">
        <f t="shared" si="453"/>
        <v>1</v>
      </c>
      <c r="AB1487" t="s">
        <v>40</v>
      </c>
      <c r="AC1487">
        <f t="shared" si="454"/>
        <v>0</v>
      </c>
      <c r="AD1487">
        <f t="shared" si="455"/>
        <v>0</v>
      </c>
      <c r="AE1487" t="s">
        <v>41</v>
      </c>
      <c r="AF1487">
        <f>IF(AE1487="website",1,0)</f>
        <v>1</v>
      </c>
    </row>
    <row r="1488" spans="1:32">
      <c r="A1488" t="s">
        <v>2137</v>
      </c>
      <c r="B1488" t="s">
        <v>33</v>
      </c>
      <c r="C1488" s="3">
        <f t="shared" si="437"/>
        <v>0</v>
      </c>
      <c r="D1488">
        <f t="shared" si="438"/>
        <v>1</v>
      </c>
      <c r="E1488" t="s">
        <v>1370</v>
      </c>
      <c r="F1488" t="s">
        <v>610</v>
      </c>
      <c r="G1488" s="1">
        <v>24086</v>
      </c>
      <c r="H1488" s="2">
        <f t="shared" ca="1" si="439"/>
        <v>60</v>
      </c>
      <c r="I1488" s="2">
        <f t="shared" ca="1" si="440"/>
        <v>0.5</v>
      </c>
      <c r="J1488" t="s">
        <v>36</v>
      </c>
      <c r="K1488" t="s">
        <v>37</v>
      </c>
      <c r="L1488">
        <f t="shared" si="441"/>
        <v>1</v>
      </c>
      <c r="M1488">
        <f t="shared" si="442"/>
        <v>0</v>
      </c>
      <c r="N1488">
        <f t="shared" si="443"/>
        <v>0</v>
      </c>
      <c r="O1488" t="s">
        <v>717</v>
      </c>
      <c r="P1488">
        <f t="shared" si="444"/>
        <v>0</v>
      </c>
      <c r="Q1488">
        <f t="shared" si="445"/>
        <v>0</v>
      </c>
      <c r="R1488">
        <f t="shared" si="446"/>
        <v>0</v>
      </c>
      <c r="S1488">
        <f t="shared" si="447"/>
        <v>0</v>
      </c>
      <c r="T1488">
        <f t="shared" si="448"/>
        <v>0</v>
      </c>
      <c r="U1488">
        <f t="shared" si="449"/>
        <v>0</v>
      </c>
      <c r="V1488">
        <f t="shared" si="450"/>
        <v>0</v>
      </c>
      <c r="W1488" t="s">
        <v>39</v>
      </c>
      <c r="X1488">
        <f t="shared" si="451"/>
        <v>1</v>
      </c>
      <c r="Y1488">
        <f t="shared" si="452"/>
        <v>0</v>
      </c>
      <c r="Z1488">
        <v>3</v>
      </c>
      <c r="AA1488">
        <f t="shared" si="453"/>
        <v>0.5</v>
      </c>
      <c r="AB1488" t="s">
        <v>46</v>
      </c>
      <c r="AC1488">
        <f t="shared" si="454"/>
        <v>1</v>
      </c>
      <c r="AD1488">
        <f t="shared" si="455"/>
        <v>0</v>
      </c>
      <c r="AE1488" t="s">
        <v>50</v>
      </c>
      <c r="AF1488">
        <f>IF(AE1488="website",1,0)</f>
        <v>0</v>
      </c>
    </row>
    <row r="1489" spans="1:32">
      <c r="A1489" t="s">
        <v>2138</v>
      </c>
      <c r="B1489" t="s">
        <v>33</v>
      </c>
      <c r="C1489" s="3">
        <f t="shared" si="437"/>
        <v>0</v>
      </c>
      <c r="D1489">
        <f t="shared" si="438"/>
        <v>1</v>
      </c>
      <c r="E1489" t="s">
        <v>903</v>
      </c>
      <c r="F1489" t="s">
        <v>941</v>
      </c>
      <c r="G1489" s="1">
        <v>27644</v>
      </c>
      <c r="H1489" s="2">
        <f t="shared" ca="1" si="439"/>
        <v>51</v>
      </c>
      <c r="I1489" s="2">
        <f t="shared" ca="1" si="440"/>
        <v>0.37142857142857144</v>
      </c>
      <c r="J1489" t="s">
        <v>45</v>
      </c>
      <c r="K1489" t="s">
        <v>37</v>
      </c>
      <c r="L1489">
        <f t="shared" si="441"/>
        <v>1</v>
      </c>
      <c r="M1489">
        <f t="shared" si="442"/>
        <v>0</v>
      </c>
      <c r="N1489">
        <f t="shared" si="443"/>
        <v>0</v>
      </c>
      <c r="O1489" t="s">
        <v>600</v>
      </c>
      <c r="P1489">
        <f t="shared" si="444"/>
        <v>0</v>
      </c>
      <c r="Q1489">
        <f t="shared" si="445"/>
        <v>0</v>
      </c>
      <c r="R1489">
        <f t="shared" si="446"/>
        <v>0</v>
      </c>
      <c r="S1489">
        <f t="shared" si="447"/>
        <v>0</v>
      </c>
      <c r="T1489">
        <f t="shared" si="448"/>
        <v>0</v>
      </c>
      <c r="U1489">
        <f t="shared" si="449"/>
        <v>0</v>
      </c>
      <c r="V1489">
        <f t="shared" si="450"/>
        <v>0</v>
      </c>
      <c r="W1489" t="s">
        <v>58</v>
      </c>
      <c r="X1489">
        <f t="shared" si="451"/>
        <v>0</v>
      </c>
      <c r="Y1489">
        <f t="shared" si="452"/>
        <v>1</v>
      </c>
      <c r="Z1489">
        <v>2</v>
      </c>
      <c r="AA1489">
        <f t="shared" si="453"/>
        <v>0.25</v>
      </c>
      <c r="AB1489" t="s">
        <v>46</v>
      </c>
      <c r="AC1489">
        <f t="shared" si="454"/>
        <v>0</v>
      </c>
      <c r="AD1489">
        <f t="shared" si="455"/>
        <v>0</v>
      </c>
      <c r="AE1489" t="s">
        <v>41</v>
      </c>
      <c r="AF1489">
        <f>IF(AE1489="website",1,0)</f>
        <v>1</v>
      </c>
    </row>
    <row r="1490" spans="1:32">
      <c r="A1490" t="s">
        <v>2139</v>
      </c>
      <c r="B1490" t="s">
        <v>33</v>
      </c>
      <c r="C1490" s="3">
        <f t="shared" si="437"/>
        <v>0</v>
      </c>
      <c r="D1490">
        <f t="shared" si="438"/>
        <v>1</v>
      </c>
      <c r="E1490" t="s">
        <v>800</v>
      </c>
      <c r="F1490" t="s">
        <v>748</v>
      </c>
      <c r="G1490" s="1">
        <v>18706</v>
      </c>
      <c r="H1490" s="2">
        <f t="shared" ca="1" si="439"/>
        <v>75</v>
      </c>
      <c r="I1490" s="2">
        <f t="shared" ca="1" si="440"/>
        <v>0.7142857142857143</v>
      </c>
      <c r="J1490" t="s">
        <v>36</v>
      </c>
      <c r="K1490" t="s">
        <v>37</v>
      </c>
      <c r="L1490">
        <f t="shared" si="441"/>
        <v>1</v>
      </c>
      <c r="M1490">
        <f t="shared" si="442"/>
        <v>0</v>
      </c>
      <c r="N1490">
        <f t="shared" si="443"/>
        <v>0</v>
      </c>
      <c r="O1490" t="s">
        <v>97</v>
      </c>
      <c r="P1490">
        <f t="shared" si="444"/>
        <v>0</v>
      </c>
      <c r="Q1490">
        <f t="shared" si="445"/>
        <v>0</v>
      </c>
      <c r="R1490">
        <f t="shared" si="446"/>
        <v>0</v>
      </c>
      <c r="S1490">
        <f t="shared" si="447"/>
        <v>0</v>
      </c>
      <c r="T1490">
        <f t="shared" si="448"/>
        <v>1</v>
      </c>
      <c r="U1490">
        <f t="shared" si="449"/>
        <v>0</v>
      </c>
      <c r="V1490">
        <f t="shared" si="450"/>
        <v>0</v>
      </c>
      <c r="W1490" t="s">
        <v>39</v>
      </c>
      <c r="X1490">
        <f t="shared" si="451"/>
        <v>1</v>
      </c>
      <c r="Y1490">
        <f t="shared" si="452"/>
        <v>0</v>
      </c>
      <c r="Z1490">
        <v>5</v>
      </c>
      <c r="AA1490">
        <f t="shared" si="453"/>
        <v>1</v>
      </c>
      <c r="AB1490" t="s">
        <v>46</v>
      </c>
      <c r="AC1490">
        <f t="shared" si="454"/>
        <v>1</v>
      </c>
      <c r="AD1490">
        <f t="shared" si="455"/>
        <v>0</v>
      </c>
      <c r="AE1490" t="s">
        <v>50</v>
      </c>
      <c r="AF1490">
        <f>IF(AE1490="website",1,0)</f>
        <v>0</v>
      </c>
    </row>
    <row r="1491" spans="1:32">
      <c r="A1491" t="s">
        <v>2140</v>
      </c>
      <c r="B1491" t="s">
        <v>33</v>
      </c>
      <c r="C1491" s="3">
        <f t="shared" si="437"/>
        <v>0</v>
      </c>
      <c r="D1491">
        <f t="shared" si="438"/>
        <v>1</v>
      </c>
      <c r="E1491" t="s">
        <v>1105</v>
      </c>
      <c r="F1491" t="s">
        <v>549</v>
      </c>
      <c r="G1491" s="1">
        <v>34644</v>
      </c>
      <c r="H1491" s="2">
        <f t="shared" ca="1" si="439"/>
        <v>31</v>
      </c>
      <c r="I1491" s="2">
        <f t="shared" ca="1" si="440"/>
        <v>8.5714285714285715E-2</v>
      </c>
      <c r="J1491" t="s">
        <v>45</v>
      </c>
      <c r="K1491" t="s">
        <v>248</v>
      </c>
      <c r="L1491">
        <f t="shared" si="441"/>
        <v>0</v>
      </c>
      <c r="M1491">
        <f t="shared" si="442"/>
        <v>0</v>
      </c>
      <c r="N1491">
        <f t="shared" si="443"/>
        <v>0</v>
      </c>
      <c r="O1491" t="s">
        <v>836</v>
      </c>
      <c r="P1491">
        <f t="shared" si="444"/>
        <v>0</v>
      </c>
      <c r="Q1491">
        <f t="shared" si="445"/>
        <v>0</v>
      </c>
      <c r="R1491">
        <f t="shared" si="446"/>
        <v>0</v>
      </c>
      <c r="S1491">
        <f t="shared" si="447"/>
        <v>0</v>
      </c>
      <c r="T1491">
        <f t="shared" si="448"/>
        <v>0</v>
      </c>
      <c r="U1491">
        <f t="shared" si="449"/>
        <v>0</v>
      </c>
      <c r="V1491">
        <f t="shared" si="450"/>
        <v>0</v>
      </c>
      <c r="W1491" t="s">
        <v>58</v>
      </c>
      <c r="X1491">
        <f t="shared" si="451"/>
        <v>0</v>
      </c>
      <c r="Y1491">
        <f t="shared" si="452"/>
        <v>1</v>
      </c>
      <c r="Z1491">
        <v>5</v>
      </c>
      <c r="AA1491">
        <f t="shared" si="453"/>
        <v>1</v>
      </c>
      <c r="AB1491" t="s">
        <v>40</v>
      </c>
      <c r="AC1491">
        <f t="shared" si="454"/>
        <v>0</v>
      </c>
      <c r="AD1491">
        <f t="shared" si="455"/>
        <v>1</v>
      </c>
      <c r="AE1491" t="s">
        <v>90</v>
      </c>
      <c r="AF1491">
        <f>IF(AE1491="website",1,0)</f>
        <v>0</v>
      </c>
    </row>
    <row r="1492" spans="1:32">
      <c r="A1492" t="s">
        <v>2141</v>
      </c>
      <c r="B1492" t="s">
        <v>33</v>
      </c>
      <c r="C1492" s="3">
        <f t="shared" si="437"/>
        <v>0</v>
      </c>
      <c r="D1492">
        <f t="shared" si="438"/>
        <v>1</v>
      </c>
      <c r="E1492" t="s">
        <v>768</v>
      </c>
      <c r="F1492" t="s">
        <v>667</v>
      </c>
      <c r="G1492" s="1">
        <v>35621</v>
      </c>
      <c r="H1492" s="2">
        <f t="shared" ca="1" si="439"/>
        <v>29</v>
      </c>
      <c r="I1492" s="2">
        <f t="shared" ca="1" si="440"/>
        <v>5.7142857142857141E-2</v>
      </c>
      <c r="J1492" t="s">
        <v>36</v>
      </c>
      <c r="K1492" t="s">
        <v>37</v>
      </c>
      <c r="L1492">
        <f t="shared" si="441"/>
        <v>1</v>
      </c>
      <c r="M1492">
        <f t="shared" si="442"/>
        <v>0</v>
      </c>
      <c r="N1492">
        <f t="shared" si="443"/>
        <v>0</v>
      </c>
      <c r="O1492" t="s">
        <v>785</v>
      </c>
      <c r="P1492">
        <f t="shared" si="444"/>
        <v>0</v>
      </c>
      <c r="Q1492">
        <f t="shared" si="445"/>
        <v>0</v>
      </c>
      <c r="R1492">
        <f t="shared" si="446"/>
        <v>0</v>
      </c>
      <c r="S1492">
        <f t="shared" si="447"/>
        <v>0</v>
      </c>
      <c r="T1492">
        <f t="shared" si="448"/>
        <v>0</v>
      </c>
      <c r="U1492">
        <f t="shared" si="449"/>
        <v>0</v>
      </c>
      <c r="V1492">
        <f t="shared" si="450"/>
        <v>0</v>
      </c>
      <c r="W1492" t="s">
        <v>39</v>
      </c>
      <c r="X1492">
        <f t="shared" si="451"/>
        <v>1</v>
      </c>
      <c r="Y1492">
        <f t="shared" si="452"/>
        <v>0</v>
      </c>
      <c r="Z1492">
        <v>4</v>
      </c>
      <c r="AA1492">
        <f t="shared" si="453"/>
        <v>0.75</v>
      </c>
      <c r="AB1492" t="s">
        <v>46</v>
      </c>
      <c r="AC1492">
        <f t="shared" si="454"/>
        <v>1</v>
      </c>
      <c r="AD1492">
        <f t="shared" si="455"/>
        <v>0</v>
      </c>
      <c r="AE1492" t="s">
        <v>50</v>
      </c>
      <c r="AF1492">
        <f>IF(AE1492="website",1,0)</f>
        <v>0</v>
      </c>
    </row>
    <row r="1493" spans="1:32">
      <c r="A1493" t="s">
        <v>2142</v>
      </c>
      <c r="B1493" t="s">
        <v>33</v>
      </c>
      <c r="C1493" s="3">
        <f t="shared" si="437"/>
        <v>0</v>
      </c>
      <c r="D1493">
        <f t="shared" si="438"/>
        <v>1</v>
      </c>
      <c r="E1493" t="s">
        <v>548</v>
      </c>
      <c r="F1493" t="s">
        <v>117</v>
      </c>
      <c r="G1493" s="1">
        <v>31034</v>
      </c>
      <c r="H1493" s="2">
        <f t="shared" ca="1" si="439"/>
        <v>41</v>
      </c>
      <c r="I1493" s="2">
        <f t="shared" ca="1" si="440"/>
        <v>0.22857142857142856</v>
      </c>
      <c r="J1493" t="s">
        <v>36</v>
      </c>
      <c r="K1493" t="s">
        <v>113</v>
      </c>
      <c r="L1493">
        <f t="shared" si="441"/>
        <v>0</v>
      </c>
      <c r="M1493">
        <f t="shared" si="442"/>
        <v>0</v>
      </c>
      <c r="N1493">
        <f t="shared" si="443"/>
        <v>1</v>
      </c>
      <c r="O1493" t="s">
        <v>1137</v>
      </c>
      <c r="P1493">
        <f t="shared" si="444"/>
        <v>0</v>
      </c>
      <c r="Q1493">
        <f t="shared" si="445"/>
        <v>0</v>
      </c>
      <c r="R1493">
        <f t="shared" si="446"/>
        <v>0</v>
      </c>
      <c r="S1493">
        <f t="shared" si="447"/>
        <v>0</v>
      </c>
      <c r="T1493">
        <f t="shared" si="448"/>
        <v>0</v>
      </c>
      <c r="U1493">
        <f t="shared" si="449"/>
        <v>0</v>
      </c>
      <c r="V1493">
        <f t="shared" si="450"/>
        <v>0</v>
      </c>
      <c r="W1493" t="s">
        <v>39</v>
      </c>
      <c r="X1493">
        <f t="shared" si="451"/>
        <v>1</v>
      </c>
      <c r="Y1493">
        <f t="shared" si="452"/>
        <v>0</v>
      </c>
      <c r="Z1493">
        <v>2</v>
      </c>
      <c r="AA1493">
        <f t="shared" si="453"/>
        <v>0.25</v>
      </c>
      <c r="AB1493" t="s">
        <v>46</v>
      </c>
      <c r="AC1493">
        <f t="shared" si="454"/>
        <v>1</v>
      </c>
      <c r="AD1493">
        <f t="shared" si="455"/>
        <v>0</v>
      </c>
      <c r="AE1493" t="s">
        <v>50</v>
      </c>
      <c r="AF1493">
        <f>IF(AE1493="website",1,0)</f>
        <v>0</v>
      </c>
    </row>
    <row r="1494" spans="1:32">
      <c r="A1494" t="s">
        <v>2143</v>
      </c>
      <c r="B1494" t="s">
        <v>33</v>
      </c>
      <c r="C1494" s="3">
        <f t="shared" si="437"/>
        <v>0</v>
      </c>
      <c r="D1494">
        <f t="shared" si="438"/>
        <v>1</v>
      </c>
      <c r="E1494" t="s">
        <v>1041</v>
      </c>
      <c r="F1494" t="s">
        <v>378</v>
      </c>
      <c r="G1494" s="1">
        <v>33679</v>
      </c>
      <c r="H1494" s="2">
        <f t="shared" ca="1" si="439"/>
        <v>34</v>
      </c>
      <c r="I1494" s="2">
        <f t="shared" ca="1" si="440"/>
        <v>0.12857142857142856</v>
      </c>
      <c r="J1494" t="s">
        <v>45</v>
      </c>
      <c r="K1494" t="s">
        <v>37</v>
      </c>
      <c r="L1494">
        <f t="shared" si="441"/>
        <v>1</v>
      </c>
      <c r="M1494">
        <f t="shared" si="442"/>
        <v>0</v>
      </c>
      <c r="N1494">
        <f t="shared" si="443"/>
        <v>0</v>
      </c>
      <c r="O1494" t="s">
        <v>565</v>
      </c>
      <c r="P1494">
        <f t="shared" si="444"/>
        <v>0</v>
      </c>
      <c r="Q1494">
        <f t="shared" si="445"/>
        <v>0</v>
      </c>
      <c r="R1494">
        <f t="shared" si="446"/>
        <v>0</v>
      </c>
      <c r="S1494">
        <f t="shared" si="447"/>
        <v>0</v>
      </c>
      <c r="T1494">
        <f t="shared" si="448"/>
        <v>0</v>
      </c>
      <c r="U1494">
        <f t="shared" si="449"/>
        <v>0</v>
      </c>
      <c r="V1494">
        <f t="shared" si="450"/>
        <v>0</v>
      </c>
      <c r="W1494" t="s">
        <v>39</v>
      </c>
      <c r="X1494">
        <f t="shared" si="451"/>
        <v>1</v>
      </c>
      <c r="Y1494">
        <f t="shared" si="452"/>
        <v>0</v>
      </c>
      <c r="Z1494">
        <v>4</v>
      </c>
      <c r="AA1494">
        <f t="shared" si="453"/>
        <v>0.75</v>
      </c>
      <c r="AB1494" t="s">
        <v>40</v>
      </c>
      <c r="AC1494">
        <f t="shared" si="454"/>
        <v>1</v>
      </c>
      <c r="AD1494">
        <f t="shared" si="455"/>
        <v>0</v>
      </c>
      <c r="AE1494" t="s">
        <v>50</v>
      </c>
      <c r="AF1494">
        <f>IF(AE1494="website",1,0)</f>
        <v>0</v>
      </c>
    </row>
    <row r="1495" spans="1:32">
      <c r="A1495" t="s">
        <v>2144</v>
      </c>
      <c r="B1495" t="s">
        <v>33</v>
      </c>
      <c r="C1495" s="3">
        <f t="shared" si="437"/>
        <v>0</v>
      </c>
      <c r="D1495">
        <f t="shared" si="438"/>
        <v>1</v>
      </c>
      <c r="E1495" t="s">
        <v>596</v>
      </c>
      <c r="F1495" t="s">
        <v>861</v>
      </c>
      <c r="G1495" s="1">
        <v>35164</v>
      </c>
      <c r="H1495" s="2">
        <f t="shared" ca="1" si="439"/>
        <v>30</v>
      </c>
      <c r="I1495" s="2">
        <f t="shared" ca="1" si="440"/>
        <v>7.1428571428571425E-2</v>
      </c>
      <c r="J1495" t="s">
        <v>45</v>
      </c>
      <c r="K1495" t="s">
        <v>37</v>
      </c>
      <c r="L1495">
        <f t="shared" si="441"/>
        <v>1</v>
      </c>
      <c r="M1495">
        <f t="shared" si="442"/>
        <v>0</v>
      </c>
      <c r="N1495">
        <f t="shared" si="443"/>
        <v>0</v>
      </c>
      <c r="O1495" t="s">
        <v>717</v>
      </c>
      <c r="P1495">
        <f t="shared" si="444"/>
        <v>0</v>
      </c>
      <c r="Q1495">
        <f t="shared" si="445"/>
        <v>0</v>
      </c>
      <c r="R1495">
        <f t="shared" si="446"/>
        <v>0</v>
      </c>
      <c r="S1495">
        <f t="shared" si="447"/>
        <v>0</v>
      </c>
      <c r="T1495">
        <f t="shared" si="448"/>
        <v>0</v>
      </c>
      <c r="U1495">
        <f t="shared" si="449"/>
        <v>0</v>
      </c>
      <c r="V1495">
        <f t="shared" si="450"/>
        <v>0</v>
      </c>
      <c r="W1495" t="s">
        <v>39</v>
      </c>
      <c r="X1495">
        <f t="shared" si="451"/>
        <v>1</v>
      </c>
      <c r="Y1495">
        <f t="shared" si="452"/>
        <v>0</v>
      </c>
      <c r="Z1495">
        <v>1</v>
      </c>
      <c r="AA1495">
        <f t="shared" si="453"/>
        <v>0</v>
      </c>
      <c r="AB1495" t="s">
        <v>46</v>
      </c>
      <c r="AC1495">
        <f t="shared" si="454"/>
        <v>0</v>
      </c>
      <c r="AD1495">
        <f t="shared" si="455"/>
        <v>1</v>
      </c>
      <c r="AE1495" t="s">
        <v>90</v>
      </c>
      <c r="AF1495">
        <f>IF(AE1495="website",1,0)</f>
        <v>0</v>
      </c>
    </row>
    <row r="1496" spans="1:32">
      <c r="A1496" t="s">
        <v>2145</v>
      </c>
      <c r="B1496" t="s">
        <v>33</v>
      </c>
      <c r="C1496" s="3">
        <f t="shared" si="437"/>
        <v>0</v>
      </c>
      <c r="D1496">
        <f t="shared" si="438"/>
        <v>1</v>
      </c>
      <c r="E1496" t="s">
        <v>671</v>
      </c>
      <c r="F1496" t="s">
        <v>716</v>
      </c>
      <c r="G1496" s="1">
        <v>33551</v>
      </c>
      <c r="H1496" s="2">
        <f t="shared" ca="1" si="439"/>
        <v>34</v>
      </c>
      <c r="I1496" s="2">
        <f t="shared" ca="1" si="440"/>
        <v>0.12857142857142856</v>
      </c>
      <c r="J1496" t="s">
        <v>45</v>
      </c>
      <c r="K1496" t="s">
        <v>276</v>
      </c>
      <c r="L1496">
        <f t="shared" si="441"/>
        <v>0</v>
      </c>
      <c r="M1496">
        <f t="shared" si="442"/>
        <v>0</v>
      </c>
      <c r="N1496">
        <f t="shared" si="443"/>
        <v>0</v>
      </c>
      <c r="O1496" t="s">
        <v>277</v>
      </c>
      <c r="P1496">
        <f t="shared" si="444"/>
        <v>0</v>
      </c>
      <c r="Q1496">
        <f t="shared" si="445"/>
        <v>0</v>
      </c>
      <c r="R1496">
        <f t="shared" si="446"/>
        <v>0</v>
      </c>
      <c r="S1496">
        <f t="shared" si="447"/>
        <v>0</v>
      </c>
      <c r="T1496">
        <f t="shared" si="448"/>
        <v>0</v>
      </c>
      <c r="U1496">
        <f t="shared" si="449"/>
        <v>0</v>
      </c>
      <c r="V1496">
        <f t="shared" si="450"/>
        <v>0</v>
      </c>
      <c r="W1496" t="s">
        <v>39</v>
      </c>
      <c r="X1496">
        <f t="shared" si="451"/>
        <v>1</v>
      </c>
      <c r="Y1496">
        <f t="shared" si="452"/>
        <v>0</v>
      </c>
      <c r="Z1496">
        <v>1</v>
      </c>
      <c r="AA1496">
        <f t="shared" si="453"/>
        <v>0</v>
      </c>
      <c r="AB1496" t="s">
        <v>46</v>
      </c>
      <c r="AC1496">
        <f t="shared" si="454"/>
        <v>0</v>
      </c>
      <c r="AD1496">
        <f t="shared" si="455"/>
        <v>0</v>
      </c>
      <c r="AE1496" t="s">
        <v>41</v>
      </c>
      <c r="AF1496">
        <f>IF(AE1496="website",1,0)</f>
        <v>1</v>
      </c>
    </row>
    <row r="1497" spans="1:32">
      <c r="A1497" t="s">
        <v>2146</v>
      </c>
      <c r="B1497" t="s">
        <v>33</v>
      </c>
      <c r="C1497" s="3">
        <f t="shared" si="437"/>
        <v>0</v>
      </c>
      <c r="D1497">
        <f t="shared" si="438"/>
        <v>1</v>
      </c>
      <c r="E1497" t="s">
        <v>1147</v>
      </c>
      <c r="F1497" t="s">
        <v>726</v>
      </c>
      <c r="G1497" s="1">
        <v>31731</v>
      </c>
      <c r="H1497" s="2">
        <f t="shared" ca="1" si="439"/>
        <v>39</v>
      </c>
      <c r="I1497" s="2">
        <f t="shared" ca="1" si="440"/>
        <v>0.2</v>
      </c>
      <c r="J1497" t="s">
        <v>45</v>
      </c>
      <c r="K1497" t="s">
        <v>37</v>
      </c>
      <c r="L1497">
        <f t="shared" si="441"/>
        <v>1</v>
      </c>
      <c r="M1497">
        <f t="shared" si="442"/>
        <v>0</v>
      </c>
      <c r="N1497">
        <f t="shared" si="443"/>
        <v>0</v>
      </c>
      <c r="O1497" t="s">
        <v>600</v>
      </c>
      <c r="P1497">
        <f t="shared" si="444"/>
        <v>0</v>
      </c>
      <c r="Q1497">
        <f t="shared" si="445"/>
        <v>0</v>
      </c>
      <c r="R1497">
        <f t="shared" si="446"/>
        <v>0</v>
      </c>
      <c r="S1497">
        <f t="shared" si="447"/>
        <v>0</v>
      </c>
      <c r="T1497">
        <f t="shared" si="448"/>
        <v>0</v>
      </c>
      <c r="U1497">
        <f t="shared" si="449"/>
        <v>0</v>
      </c>
      <c r="V1497">
        <f t="shared" si="450"/>
        <v>0</v>
      </c>
      <c r="W1497" t="s">
        <v>39</v>
      </c>
      <c r="X1497">
        <f t="shared" si="451"/>
        <v>1</v>
      </c>
      <c r="Y1497">
        <f t="shared" si="452"/>
        <v>0</v>
      </c>
      <c r="Z1497">
        <v>5</v>
      </c>
      <c r="AA1497">
        <f t="shared" si="453"/>
        <v>1</v>
      </c>
      <c r="AB1497" t="s">
        <v>46</v>
      </c>
      <c r="AC1497">
        <f t="shared" si="454"/>
        <v>1</v>
      </c>
      <c r="AD1497">
        <f t="shared" si="455"/>
        <v>0</v>
      </c>
      <c r="AE1497" t="s">
        <v>50</v>
      </c>
      <c r="AF1497">
        <f>IF(AE1497="website",1,0)</f>
        <v>0</v>
      </c>
    </row>
    <row r="1498" spans="1:32">
      <c r="A1498" t="s">
        <v>2147</v>
      </c>
      <c r="B1498" t="s">
        <v>33</v>
      </c>
      <c r="C1498" s="3">
        <f t="shared" si="437"/>
        <v>0</v>
      </c>
      <c r="D1498">
        <f t="shared" si="438"/>
        <v>1</v>
      </c>
      <c r="E1498" t="s">
        <v>852</v>
      </c>
      <c r="F1498" t="s">
        <v>538</v>
      </c>
      <c r="G1498" s="1">
        <v>14623</v>
      </c>
      <c r="H1498" s="2">
        <f t="shared" ca="1" si="439"/>
        <v>86</v>
      </c>
      <c r="I1498" s="2">
        <f t="shared" ca="1" si="440"/>
        <v>0.87142857142857144</v>
      </c>
      <c r="J1498" t="s">
        <v>45</v>
      </c>
      <c r="K1498" t="s">
        <v>37</v>
      </c>
      <c r="L1498">
        <f t="shared" si="441"/>
        <v>1</v>
      </c>
      <c r="M1498">
        <f t="shared" si="442"/>
        <v>0</v>
      </c>
      <c r="N1498">
        <f t="shared" si="443"/>
        <v>0</v>
      </c>
      <c r="O1498" t="s">
        <v>38</v>
      </c>
      <c r="P1498">
        <f t="shared" si="444"/>
        <v>1</v>
      </c>
      <c r="Q1498">
        <f t="shared" si="445"/>
        <v>0</v>
      </c>
      <c r="R1498">
        <f t="shared" si="446"/>
        <v>0</v>
      </c>
      <c r="S1498">
        <f t="shared" si="447"/>
        <v>0</v>
      </c>
      <c r="T1498">
        <f t="shared" si="448"/>
        <v>0</v>
      </c>
      <c r="U1498">
        <f t="shared" si="449"/>
        <v>0</v>
      </c>
      <c r="V1498">
        <f t="shared" si="450"/>
        <v>0</v>
      </c>
      <c r="W1498" t="s">
        <v>58</v>
      </c>
      <c r="X1498">
        <f t="shared" si="451"/>
        <v>0</v>
      </c>
      <c r="Y1498">
        <f t="shared" si="452"/>
        <v>1</v>
      </c>
      <c r="Z1498">
        <v>4</v>
      </c>
      <c r="AA1498">
        <f t="shared" si="453"/>
        <v>0.75</v>
      </c>
      <c r="AB1498" t="s">
        <v>46</v>
      </c>
      <c r="AC1498">
        <f t="shared" si="454"/>
        <v>1</v>
      </c>
      <c r="AD1498">
        <f t="shared" si="455"/>
        <v>0</v>
      </c>
      <c r="AE1498" t="s">
        <v>50</v>
      </c>
      <c r="AF1498">
        <f>IF(AE1498="website",1,0)</f>
        <v>0</v>
      </c>
    </row>
    <row r="1499" spans="1:32">
      <c r="A1499" t="s">
        <v>2148</v>
      </c>
      <c r="B1499" t="s">
        <v>33</v>
      </c>
      <c r="C1499" s="3">
        <f t="shared" si="437"/>
        <v>0</v>
      </c>
      <c r="D1499">
        <f t="shared" si="438"/>
        <v>1</v>
      </c>
      <c r="E1499" t="s">
        <v>976</v>
      </c>
      <c r="F1499" t="s">
        <v>568</v>
      </c>
      <c r="G1499" s="1">
        <v>24506</v>
      </c>
      <c r="H1499" s="2">
        <f t="shared" ca="1" si="439"/>
        <v>59</v>
      </c>
      <c r="I1499" s="2">
        <f t="shared" ca="1" si="440"/>
        <v>0.48571428571428571</v>
      </c>
      <c r="J1499" t="s">
        <v>36</v>
      </c>
      <c r="K1499" t="s">
        <v>158</v>
      </c>
      <c r="L1499">
        <f t="shared" si="441"/>
        <v>0</v>
      </c>
      <c r="M1499">
        <f t="shared" si="442"/>
        <v>0</v>
      </c>
      <c r="N1499">
        <f t="shared" si="443"/>
        <v>0</v>
      </c>
      <c r="O1499" t="s">
        <v>650</v>
      </c>
      <c r="P1499">
        <f t="shared" si="444"/>
        <v>0</v>
      </c>
      <c r="Q1499">
        <f t="shared" si="445"/>
        <v>0</v>
      </c>
      <c r="R1499">
        <f t="shared" si="446"/>
        <v>0</v>
      </c>
      <c r="S1499">
        <f t="shared" si="447"/>
        <v>0</v>
      </c>
      <c r="T1499">
        <f t="shared" si="448"/>
        <v>0</v>
      </c>
      <c r="U1499">
        <f t="shared" si="449"/>
        <v>0</v>
      </c>
      <c r="V1499">
        <f t="shared" si="450"/>
        <v>0</v>
      </c>
      <c r="W1499" t="s">
        <v>58</v>
      </c>
      <c r="X1499">
        <f t="shared" si="451"/>
        <v>0</v>
      </c>
      <c r="Y1499">
        <f t="shared" si="452"/>
        <v>1</v>
      </c>
      <c r="Z1499">
        <v>5</v>
      </c>
      <c r="AA1499">
        <f t="shared" si="453"/>
        <v>1</v>
      </c>
      <c r="AB1499" t="s">
        <v>46</v>
      </c>
      <c r="AC1499">
        <f t="shared" si="454"/>
        <v>0</v>
      </c>
      <c r="AD1499">
        <f t="shared" si="455"/>
        <v>0</v>
      </c>
      <c r="AE1499" t="s">
        <v>41</v>
      </c>
      <c r="AF1499">
        <f>IF(AE1499="website",1,0)</f>
        <v>1</v>
      </c>
    </row>
    <row r="1500" spans="1:32">
      <c r="A1500" t="s">
        <v>2149</v>
      </c>
      <c r="B1500" t="s">
        <v>33</v>
      </c>
      <c r="C1500" s="3">
        <f t="shared" si="437"/>
        <v>0</v>
      </c>
      <c r="D1500">
        <f t="shared" si="438"/>
        <v>1</v>
      </c>
      <c r="E1500" t="s">
        <v>639</v>
      </c>
      <c r="F1500" t="s">
        <v>656</v>
      </c>
      <c r="G1500" s="1">
        <v>35738</v>
      </c>
      <c r="H1500" s="2">
        <f t="shared" ca="1" si="439"/>
        <v>28</v>
      </c>
      <c r="I1500" s="2">
        <f t="shared" ca="1" si="440"/>
        <v>4.2857142857142858E-2</v>
      </c>
      <c r="J1500" t="s">
        <v>36</v>
      </c>
      <c r="K1500" t="s">
        <v>172</v>
      </c>
      <c r="L1500">
        <f t="shared" si="441"/>
        <v>0</v>
      </c>
      <c r="M1500">
        <f t="shared" si="442"/>
        <v>0</v>
      </c>
      <c r="N1500">
        <f t="shared" si="443"/>
        <v>0</v>
      </c>
      <c r="O1500" t="s">
        <v>355</v>
      </c>
      <c r="P1500">
        <f t="shared" si="444"/>
        <v>0</v>
      </c>
      <c r="Q1500">
        <f t="shared" si="445"/>
        <v>0</v>
      </c>
      <c r="R1500">
        <f t="shared" si="446"/>
        <v>0</v>
      </c>
      <c r="S1500">
        <f t="shared" si="447"/>
        <v>0</v>
      </c>
      <c r="T1500">
        <f t="shared" si="448"/>
        <v>0</v>
      </c>
      <c r="U1500">
        <f t="shared" si="449"/>
        <v>0</v>
      </c>
      <c r="V1500">
        <f t="shared" si="450"/>
        <v>0</v>
      </c>
      <c r="W1500" t="s">
        <v>39</v>
      </c>
      <c r="X1500">
        <f t="shared" si="451"/>
        <v>1</v>
      </c>
      <c r="Y1500">
        <f t="shared" si="452"/>
        <v>0</v>
      </c>
      <c r="Z1500">
        <v>3</v>
      </c>
      <c r="AA1500">
        <f t="shared" si="453"/>
        <v>0.5</v>
      </c>
      <c r="AB1500" t="s">
        <v>40</v>
      </c>
      <c r="AC1500">
        <f t="shared" si="454"/>
        <v>1</v>
      </c>
      <c r="AD1500">
        <f t="shared" si="455"/>
        <v>0</v>
      </c>
      <c r="AE1500" t="s">
        <v>50</v>
      </c>
      <c r="AF1500">
        <f>IF(AE1500="website",1,0)</f>
        <v>0</v>
      </c>
    </row>
    <row r="1501" spans="1:32">
      <c r="A1501" t="s">
        <v>2150</v>
      </c>
      <c r="B1501" t="s">
        <v>33</v>
      </c>
      <c r="C1501" s="3">
        <f t="shared" si="437"/>
        <v>0</v>
      </c>
      <c r="D1501">
        <f t="shared" si="438"/>
        <v>1</v>
      </c>
      <c r="E1501" t="s">
        <v>681</v>
      </c>
      <c r="F1501" t="s">
        <v>887</v>
      </c>
      <c r="G1501" s="1">
        <v>34703</v>
      </c>
      <c r="H1501" s="2">
        <f t="shared" ca="1" si="439"/>
        <v>31</v>
      </c>
      <c r="I1501" s="2">
        <f t="shared" ca="1" si="440"/>
        <v>8.5714285714285715E-2</v>
      </c>
      <c r="J1501" t="s">
        <v>36</v>
      </c>
      <c r="K1501" t="s">
        <v>819</v>
      </c>
      <c r="L1501">
        <f t="shared" si="441"/>
        <v>0</v>
      </c>
      <c r="M1501">
        <f t="shared" si="442"/>
        <v>0</v>
      </c>
      <c r="N1501">
        <f t="shared" si="443"/>
        <v>0</v>
      </c>
      <c r="O1501" t="s">
        <v>1061</v>
      </c>
      <c r="P1501">
        <f t="shared" si="444"/>
        <v>0</v>
      </c>
      <c r="Q1501">
        <f t="shared" si="445"/>
        <v>0</v>
      </c>
      <c r="R1501">
        <f t="shared" si="446"/>
        <v>0</v>
      </c>
      <c r="S1501">
        <f t="shared" si="447"/>
        <v>0</v>
      </c>
      <c r="T1501">
        <f t="shared" si="448"/>
        <v>0</v>
      </c>
      <c r="U1501">
        <f t="shared" si="449"/>
        <v>0</v>
      </c>
      <c r="V1501">
        <f t="shared" si="450"/>
        <v>0</v>
      </c>
      <c r="W1501" t="s">
        <v>39</v>
      </c>
      <c r="X1501">
        <f t="shared" si="451"/>
        <v>1</v>
      </c>
      <c r="Y1501">
        <f t="shared" si="452"/>
        <v>0</v>
      </c>
      <c r="Z1501">
        <v>2</v>
      </c>
      <c r="AA1501">
        <f t="shared" si="453"/>
        <v>0.25</v>
      </c>
      <c r="AB1501" t="s">
        <v>46</v>
      </c>
      <c r="AC1501">
        <f t="shared" si="454"/>
        <v>1</v>
      </c>
      <c r="AD1501">
        <f t="shared" si="455"/>
        <v>0</v>
      </c>
      <c r="AE1501" t="s">
        <v>50</v>
      </c>
      <c r="AF1501">
        <f>IF(AE1501="website",1,0)</f>
        <v>0</v>
      </c>
    </row>
    <row r="1502" spans="1:32">
      <c r="A1502" t="s">
        <v>2151</v>
      </c>
      <c r="B1502" t="s">
        <v>33</v>
      </c>
      <c r="C1502" s="3">
        <f t="shared" si="437"/>
        <v>0</v>
      </c>
      <c r="D1502">
        <f t="shared" si="438"/>
        <v>1</v>
      </c>
      <c r="E1502" t="s">
        <v>988</v>
      </c>
      <c r="F1502" t="s">
        <v>633</v>
      </c>
      <c r="G1502" s="1">
        <v>18978</v>
      </c>
      <c r="H1502" s="2">
        <f t="shared" ca="1" si="439"/>
        <v>74</v>
      </c>
      <c r="I1502" s="2">
        <f t="shared" ca="1" si="440"/>
        <v>0.7</v>
      </c>
      <c r="J1502" t="s">
        <v>36</v>
      </c>
      <c r="K1502" t="s">
        <v>37</v>
      </c>
      <c r="L1502">
        <f t="shared" si="441"/>
        <v>1</v>
      </c>
      <c r="M1502">
        <f t="shared" si="442"/>
        <v>0</v>
      </c>
      <c r="N1502">
        <f t="shared" si="443"/>
        <v>0</v>
      </c>
      <c r="O1502" t="s">
        <v>76</v>
      </c>
      <c r="P1502">
        <f t="shared" si="444"/>
        <v>0</v>
      </c>
      <c r="Q1502">
        <f t="shared" si="445"/>
        <v>1</v>
      </c>
      <c r="R1502">
        <f t="shared" si="446"/>
        <v>0</v>
      </c>
      <c r="S1502">
        <f t="shared" si="447"/>
        <v>0</v>
      </c>
      <c r="T1502">
        <f t="shared" si="448"/>
        <v>0</v>
      </c>
      <c r="U1502">
        <f t="shared" si="449"/>
        <v>0</v>
      </c>
      <c r="V1502">
        <f t="shared" si="450"/>
        <v>0</v>
      </c>
      <c r="W1502" t="s">
        <v>58</v>
      </c>
      <c r="X1502">
        <f t="shared" si="451"/>
        <v>0</v>
      </c>
      <c r="Y1502">
        <f t="shared" si="452"/>
        <v>1</v>
      </c>
      <c r="Z1502">
        <v>4</v>
      </c>
      <c r="AA1502">
        <f t="shared" si="453"/>
        <v>0.75</v>
      </c>
      <c r="AB1502" t="s">
        <v>46</v>
      </c>
      <c r="AC1502">
        <f t="shared" si="454"/>
        <v>1</v>
      </c>
      <c r="AD1502">
        <f t="shared" si="455"/>
        <v>0</v>
      </c>
      <c r="AE1502" t="s">
        <v>50</v>
      </c>
      <c r="AF1502">
        <f>IF(AE1502="website",1,0)</f>
        <v>0</v>
      </c>
    </row>
    <row r="1503" spans="1:32">
      <c r="A1503" t="s">
        <v>2152</v>
      </c>
      <c r="B1503" t="s">
        <v>33</v>
      </c>
      <c r="C1503" s="3">
        <f t="shared" si="437"/>
        <v>0</v>
      </c>
      <c r="D1503">
        <f t="shared" si="438"/>
        <v>1</v>
      </c>
      <c r="E1503" t="s">
        <v>753</v>
      </c>
      <c r="F1503" t="s">
        <v>552</v>
      </c>
      <c r="G1503" s="1">
        <v>34634</v>
      </c>
      <c r="H1503" s="2">
        <f t="shared" ca="1" si="439"/>
        <v>31</v>
      </c>
      <c r="I1503" s="2">
        <f t="shared" ca="1" si="440"/>
        <v>8.5714285714285715E-2</v>
      </c>
      <c r="J1503" t="s">
        <v>36</v>
      </c>
      <c r="K1503" t="s">
        <v>248</v>
      </c>
      <c r="L1503">
        <f t="shared" si="441"/>
        <v>0</v>
      </c>
      <c r="M1503">
        <f t="shared" si="442"/>
        <v>0</v>
      </c>
      <c r="N1503">
        <f t="shared" si="443"/>
        <v>0</v>
      </c>
      <c r="O1503" t="s">
        <v>836</v>
      </c>
      <c r="P1503">
        <f t="shared" si="444"/>
        <v>0</v>
      </c>
      <c r="Q1503">
        <f t="shared" si="445"/>
        <v>0</v>
      </c>
      <c r="R1503">
        <f t="shared" si="446"/>
        <v>0</v>
      </c>
      <c r="S1503">
        <f t="shared" si="447"/>
        <v>0</v>
      </c>
      <c r="T1503">
        <f t="shared" si="448"/>
        <v>0</v>
      </c>
      <c r="U1503">
        <f t="shared" si="449"/>
        <v>0</v>
      </c>
      <c r="V1503">
        <f t="shared" si="450"/>
        <v>0</v>
      </c>
      <c r="W1503" t="s">
        <v>39</v>
      </c>
      <c r="X1503">
        <f t="shared" si="451"/>
        <v>1</v>
      </c>
      <c r="Y1503">
        <f t="shared" si="452"/>
        <v>0</v>
      </c>
      <c r="Z1503">
        <v>5</v>
      </c>
      <c r="AA1503">
        <f t="shared" si="453"/>
        <v>1</v>
      </c>
      <c r="AB1503" t="s">
        <v>40</v>
      </c>
      <c r="AC1503">
        <f t="shared" si="454"/>
        <v>0</v>
      </c>
      <c r="AD1503">
        <f t="shared" si="455"/>
        <v>0</v>
      </c>
      <c r="AE1503" t="s">
        <v>41</v>
      </c>
      <c r="AF1503">
        <f>IF(AE1503="website",1,0)</f>
        <v>1</v>
      </c>
    </row>
    <row r="1504" spans="1:32">
      <c r="A1504" t="s">
        <v>2153</v>
      </c>
      <c r="B1504" t="s">
        <v>55</v>
      </c>
      <c r="C1504" s="3">
        <f t="shared" si="437"/>
        <v>1</v>
      </c>
      <c r="D1504">
        <f t="shared" si="438"/>
        <v>0</v>
      </c>
      <c r="E1504" t="s">
        <v>1905</v>
      </c>
      <c r="F1504" t="s">
        <v>57</v>
      </c>
      <c r="G1504" s="1">
        <v>31645</v>
      </c>
      <c r="H1504" s="2">
        <f t="shared" ca="1" si="439"/>
        <v>40</v>
      </c>
      <c r="I1504" s="2">
        <f t="shared" ca="1" si="440"/>
        <v>0.21428571428571427</v>
      </c>
      <c r="J1504" t="s">
        <v>45</v>
      </c>
      <c r="K1504" t="s">
        <v>37</v>
      </c>
      <c r="L1504">
        <f t="shared" si="441"/>
        <v>1</v>
      </c>
      <c r="M1504">
        <f t="shared" si="442"/>
        <v>0</v>
      </c>
      <c r="N1504">
        <f t="shared" si="443"/>
        <v>0</v>
      </c>
      <c r="O1504" t="s">
        <v>97</v>
      </c>
      <c r="P1504">
        <f t="shared" si="444"/>
        <v>0</v>
      </c>
      <c r="Q1504">
        <f t="shared" si="445"/>
        <v>0</v>
      </c>
      <c r="R1504">
        <f t="shared" si="446"/>
        <v>0</v>
      </c>
      <c r="S1504">
        <f t="shared" si="447"/>
        <v>0</v>
      </c>
      <c r="T1504">
        <f t="shared" si="448"/>
        <v>1</v>
      </c>
      <c r="U1504">
        <f t="shared" si="449"/>
        <v>0</v>
      </c>
      <c r="V1504">
        <f t="shared" si="450"/>
        <v>0</v>
      </c>
      <c r="W1504" t="s">
        <v>58</v>
      </c>
      <c r="X1504">
        <f t="shared" si="451"/>
        <v>0</v>
      </c>
      <c r="Y1504">
        <f t="shared" si="452"/>
        <v>1</v>
      </c>
      <c r="Z1504">
        <v>5</v>
      </c>
      <c r="AA1504">
        <f t="shared" si="453"/>
        <v>1</v>
      </c>
      <c r="AB1504" t="s">
        <v>46</v>
      </c>
      <c r="AC1504">
        <f t="shared" si="454"/>
        <v>0</v>
      </c>
      <c r="AD1504">
        <f t="shared" si="455"/>
        <v>0</v>
      </c>
      <c r="AE1504" t="s">
        <v>41</v>
      </c>
      <c r="AF1504">
        <f>IF(AE1504="website",1,0)</f>
        <v>1</v>
      </c>
    </row>
    <row r="1505" spans="1:32">
      <c r="A1505" t="s">
        <v>2154</v>
      </c>
      <c r="B1505" t="s">
        <v>33</v>
      </c>
      <c r="C1505" s="3">
        <f t="shared" si="437"/>
        <v>0</v>
      </c>
      <c r="D1505">
        <f t="shared" si="438"/>
        <v>1</v>
      </c>
      <c r="E1505" t="s">
        <v>152</v>
      </c>
      <c r="F1505" t="s">
        <v>716</v>
      </c>
      <c r="G1505" s="1">
        <v>17033</v>
      </c>
      <c r="H1505" s="2">
        <f t="shared" ca="1" si="439"/>
        <v>80</v>
      </c>
      <c r="I1505" s="2">
        <f t="shared" ca="1" si="440"/>
        <v>0.7857142857142857</v>
      </c>
      <c r="J1505" t="s">
        <v>45</v>
      </c>
      <c r="K1505" t="s">
        <v>37</v>
      </c>
      <c r="L1505">
        <f t="shared" si="441"/>
        <v>1</v>
      </c>
      <c r="M1505">
        <f t="shared" si="442"/>
        <v>0</v>
      </c>
      <c r="N1505">
        <f t="shared" si="443"/>
        <v>0</v>
      </c>
      <c r="O1505" t="s">
        <v>38</v>
      </c>
      <c r="P1505">
        <f t="shared" si="444"/>
        <v>1</v>
      </c>
      <c r="Q1505">
        <f t="shared" si="445"/>
        <v>0</v>
      </c>
      <c r="R1505">
        <f t="shared" si="446"/>
        <v>0</v>
      </c>
      <c r="S1505">
        <f t="shared" si="447"/>
        <v>0</v>
      </c>
      <c r="T1505">
        <f t="shared" si="448"/>
        <v>0</v>
      </c>
      <c r="U1505">
        <f t="shared" si="449"/>
        <v>0</v>
      </c>
      <c r="V1505">
        <f t="shared" si="450"/>
        <v>0</v>
      </c>
      <c r="W1505" t="s">
        <v>39</v>
      </c>
      <c r="X1505">
        <f t="shared" si="451"/>
        <v>1</v>
      </c>
      <c r="Y1505">
        <f t="shared" si="452"/>
        <v>0</v>
      </c>
      <c r="Z1505">
        <v>4</v>
      </c>
      <c r="AA1505">
        <f t="shared" si="453"/>
        <v>0.75</v>
      </c>
      <c r="AB1505" t="s">
        <v>46</v>
      </c>
      <c r="AC1505">
        <f t="shared" si="454"/>
        <v>0</v>
      </c>
      <c r="AD1505">
        <f t="shared" si="455"/>
        <v>0</v>
      </c>
      <c r="AE1505" t="s">
        <v>41</v>
      </c>
      <c r="AF1505">
        <f>IF(AE1505="website",1,0)</f>
        <v>1</v>
      </c>
    </row>
    <row r="1506" spans="1:32">
      <c r="A1506" t="s">
        <v>2155</v>
      </c>
      <c r="B1506" t="s">
        <v>33</v>
      </c>
      <c r="C1506" s="3">
        <f t="shared" si="437"/>
        <v>0</v>
      </c>
      <c r="D1506">
        <f t="shared" si="438"/>
        <v>1</v>
      </c>
      <c r="E1506" t="s">
        <v>683</v>
      </c>
      <c r="F1506" t="s">
        <v>876</v>
      </c>
      <c r="G1506" s="1">
        <v>34468</v>
      </c>
      <c r="H1506" s="2">
        <f t="shared" ca="1" si="439"/>
        <v>32</v>
      </c>
      <c r="I1506" s="2">
        <f t="shared" ca="1" si="440"/>
        <v>0.1</v>
      </c>
      <c r="J1506" t="s">
        <v>45</v>
      </c>
      <c r="K1506" t="s">
        <v>37</v>
      </c>
      <c r="L1506">
        <f t="shared" si="441"/>
        <v>1</v>
      </c>
      <c r="M1506">
        <f t="shared" si="442"/>
        <v>0</v>
      </c>
      <c r="N1506">
        <f t="shared" si="443"/>
        <v>0</v>
      </c>
      <c r="O1506" t="s">
        <v>305</v>
      </c>
      <c r="P1506">
        <f t="shared" si="444"/>
        <v>0</v>
      </c>
      <c r="Q1506">
        <f t="shared" si="445"/>
        <v>0</v>
      </c>
      <c r="R1506">
        <f t="shared" si="446"/>
        <v>0</v>
      </c>
      <c r="S1506">
        <f t="shared" si="447"/>
        <v>0</v>
      </c>
      <c r="T1506">
        <f t="shared" si="448"/>
        <v>0</v>
      </c>
      <c r="U1506">
        <f t="shared" si="449"/>
        <v>0</v>
      </c>
      <c r="V1506">
        <f t="shared" si="450"/>
        <v>0</v>
      </c>
      <c r="W1506" t="s">
        <v>39</v>
      </c>
      <c r="X1506">
        <f t="shared" si="451"/>
        <v>1</v>
      </c>
      <c r="Y1506">
        <f t="shared" si="452"/>
        <v>0</v>
      </c>
      <c r="Z1506">
        <v>3</v>
      </c>
      <c r="AA1506">
        <f t="shared" si="453"/>
        <v>0.5</v>
      </c>
      <c r="AB1506" t="s">
        <v>46</v>
      </c>
      <c r="AC1506">
        <f t="shared" si="454"/>
        <v>1</v>
      </c>
      <c r="AD1506">
        <f t="shared" si="455"/>
        <v>0</v>
      </c>
      <c r="AE1506" t="s">
        <v>50</v>
      </c>
      <c r="AF1506">
        <f>IF(AE1506="website",1,0)</f>
        <v>0</v>
      </c>
    </row>
    <row r="1507" spans="1:32">
      <c r="A1507" t="s">
        <v>2156</v>
      </c>
      <c r="B1507" t="s">
        <v>33</v>
      </c>
      <c r="C1507" s="3">
        <f t="shared" si="437"/>
        <v>0</v>
      </c>
      <c r="D1507">
        <f t="shared" si="438"/>
        <v>1</v>
      </c>
      <c r="E1507" t="s">
        <v>544</v>
      </c>
      <c r="F1507" t="s">
        <v>664</v>
      </c>
      <c r="G1507" s="1">
        <v>18274</v>
      </c>
      <c r="H1507" s="2">
        <f t="shared" ca="1" si="439"/>
        <v>76</v>
      </c>
      <c r="I1507" s="2">
        <f t="shared" ca="1" si="440"/>
        <v>0.72857142857142854</v>
      </c>
      <c r="J1507" t="s">
        <v>45</v>
      </c>
      <c r="K1507" t="s">
        <v>37</v>
      </c>
      <c r="L1507">
        <f t="shared" si="441"/>
        <v>1</v>
      </c>
      <c r="M1507">
        <f t="shared" si="442"/>
        <v>0</v>
      </c>
      <c r="N1507">
        <f t="shared" si="443"/>
        <v>0</v>
      </c>
      <c r="O1507" t="s">
        <v>183</v>
      </c>
      <c r="P1507">
        <f t="shared" si="444"/>
        <v>0</v>
      </c>
      <c r="Q1507">
        <f t="shared" si="445"/>
        <v>0</v>
      </c>
      <c r="R1507">
        <f t="shared" si="446"/>
        <v>0</v>
      </c>
      <c r="S1507">
        <f t="shared" si="447"/>
        <v>0</v>
      </c>
      <c r="T1507">
        <f t="shared" si="448"/>
        <v>0</v>
      </c>
      <c r="U1507">
        <f t="shared" si="449"/>
        <v>0</v>
      </c>
      <c r="V1507">
        <f t="shared" si="450"/>
        <v>0</v>
      </c>
      <c r="W1507" t="s">
        <v>58</v>
      </c>
      <c r="X1507">
        <f t="shared" si="451"/>
        <v>0</v>
      </c>
      <c r="Y1507">
        <f t="shared" si="452"/>
        <v>1</v>
      </c>
      <c r="Z1507">
        <v>3</v>
      </c>
      <c r="AA1507">
        <f t="shared" si="453"/>
        <v>0.5</v>
      </c>
      <c r="AB1507" t="s">
        <v>46</v>
      </c>
      <c r="AC1507">
        <f t="shared" si="454"/>
        <v>0</v>
      </c>
      <c r="AD1507">
        <f t="shared" si="455"/>
        <v>0</v>
      </c>
      <c r="AE1507" t="s">
        <v>41</v>
      </c>
      <c r="AF1507">
        <f>IF(AE1507="website",1,0)</f>
        <v>1</v>
      </c>
    </row>
    <row r="1508" spans="1:32">
      <c r="A1508" t="s">
        <v>2157</v>
      </c>
      <c r="B1508" t="s">
        <v>33</v>
      </c>
      <c r="C1508" s="3">
        <f t="shared" si="437"/>
        <v>0</v>
      </c>
      <c r="D1508">
        <f t="shared" si="438"/>
        <v>1</v>
      </c>
      <c r="E1508" t="s">
        <v>647</v>
      </c>
      <c r="F1508" t="s">
        <v>861</v>
      </c>
      <c r="G1508" s="1">
        <v>18715</v>
      </c>
      <c r="H1508" s="2">
        <f t="shared" ca="1" si="439"/>
        <v>75</v>
      </c>
      <c r="I1508" s="2">
        <f t="shared" ca="1" si="440"/>
        <v>0.7142857142857143</v>
      </c>
      <c r="J1508" t="s">
        <v>36</v>
      </c>
      <c r="K1508" t="s">
        <v>37</v>
      </c>
      <c r="L1508">
        <f t="shared" si="441"/>
        <v>1</v>
      </c>
      <c r="M1508">
        <f t="shared" si="442"/>
        <v>0</v>
      </c>
      <c r="N1508">
        <f t="shared" si="443"/>
        <v>0</v>
      </c>
      <c r="O1508" t="s">
        <v>600</v>
      </c>
      <c r="P1508">
        <f t="shared" si="444"/>
        <v>0</v>
      </c>
      <c r="Q1508">
        <f t="shared" si="445"/>
        <v>0</v>
      </c>
      <c r="R1508">
        <f t="shared" si="446"/>
        <v>0</v>
      </c>
      <c r="S1508">
        <f t="shared" si="447"/>
        <v>0</v>
      </c>
      <c r="T1508">
        <f t="shared" si="448"/>
        <v>0</v>
      </c>
      <c r="U1508">
        <f t="shared" si="449"/>
        <v>0</v>
      </c>
      <c r="V1508">
        <f t="shared" si="450"/>
        <v>0</v>
      </c>
      <c r="W1508" t="s">
        <v>39</v>
      </c>
      <c r="X1508">
        <f t="shared" si="451"/>
        <v>1</v>
      </c>
      <c r="Y1508">
        <f t="shared" si="452"/>
        <v>0</v>
      </c>
      <c r="Z1508">
        <v>3</v>
      </c>
      <c r="AA1508">
        <f t="shared" si="453"/>
        <v>0.5</v>
      </c>
      <c r="AB1508" t="s">
        <v>46</v>
      </c>
      <c r="AC1508">
        <f t="shared" si="454"/>
        <v>1</v>
      </c>
      <c r="AD1508">
        <f t="shared" si="455"/>
        <v>0</v>
      </c>
      <c r="AE1508" t="s">
        <v>50</v>
      </c>
      <c r="AF1508">
        <f>IF(AE1508="website",1,0)</f>
        <v>0</v>
      </c>
    </row>
    <row r="1509" spans="1:32">
      <c r="A1509" t="s">
        <v>2158</v>
      </c>
      <c r="B1509" t="s">
        <v>33</v>
      </c>
      <c r="C1509" s="3">
        <f t="shared" si="437"/>
        <v>0</v>
      </c>
      <c r="D1509">
        <f t="shared" si="438"/>
        <v>1</v>
      </c>
      <c r="E1509" t="s">
        <v>1140</v>
      </c>
      <c r="F1509" t="s">
        <v>742</v>
      </c>
      <c r="G1509" s="1">
        <v>34671</v>
      </c>
      <c r="H1509" s="2">
        <f t="shared" ca="1" si="439"/>
        <v>31</v>
      </c>
      <c r="I1509" s="2">
        <f t="shared" ca="1" si="440"/>
        <v>8.5714285714285715E-2</v>
      </c>
      <c r="J1509" t="s">
        <v>45</v>
      </c>
      <c r="K1509" t="s">
        <v>248</v>
      </c>
      <c r="L1509">
        <f t="shared" si="441"/>
        <v>0</v>
      </c>
      <c r="M1509">
        <f t="shared" si="442"/>
        <v>0</v>
      </c>
      <c r="N1509">
        <f t="shared" si="443"/>
        <v>0</v>
      </c>
      <c r="O1509" t="s">
        <v>411</v>
      </c>
      <c r="P1509">
        <f t="shared" si="444"/>
        <v>0</v>
      </c>
      <c r="Q1509">
        <f t="shared" si="445"/>
        <v>0</v>
      </c>
      <c r="R1509">
        <f t="shared" si="446"/>
        <v>0</v>
      </c>
      <c r="S1509">
        <f t="shared" si="447"/>
        <v>0</v>
      </c>
      <c r="T1509">
        <f t="shared" si="448"/>
        <v>0</v>
      </c>
      <c r="U1509">
        <f t="shared" si="449"/>
        <v>0</v>
      </c>
      <c r="V1509">
        <f t="shared" si="450"/>
        <v>0</v>
      </c>
      <c r="W1509" t="s">
        <v>39</v>
      </c>
      <c r="X1509">
        <f t="shared" si="451"/>
        <v>1</v>
      </c>
      <c r="Y1509">
        <f t="shared" si="452"/>
        <v>0</v>
      </c>
      <c r="Z1509">
        <v>3</v>
      </c>
      <c r="AA1509">
        <f t="shared" si="453"/>
        <v>0.5</v>
      </c>
      <c r="AB1509" t="s">
        <v>46</v>
      </c>
      <c r="AC1509">
        <f t="shared" si="454"/>
        <v>1</v>
      </c>
      <c r="AD1509">
        <f t="shared" si="455"/>
        <v>0</v>
      </c>
      <c r="AE1509" t="s">
        <v>50</v>
      </c>
      <c r="AF1509">
        <f>IF(AE1509="website",1,0)</f>
        <v>0</v>
      </c>
    </row>
    <row r="1510" spans="1:32">
      <c r="A1510" t="s">
        <v>2159</v>
      </c>
      <c r="B1510" t="s">
        <v>33</v>
      </c>
      <c r="C1510" s="3">
        <f t="shared" si="437"/>
        <v>0</v>
      </c>
      <c r="D1510">
        <f t="shared" si="438"/>
        <v>1</v>
      </c>
      <c r="E1510" t="s">
        <v>768</v>
      </c>
      <c r="F1510" t="s">
        <v>623</v>
      </c>
      <c r="G1510" s="1">
        <v>17152</v>
      </c>
      <c r="H1510" s="2">
        <f t="shared" ca="1" si="439"/>
        <v>79</v>
      </c>
      <c r="I1510" s="2">
        <f t="shared" ca="1" si="440"/>
        <v>0.77142857142857146</v>
      </c>
      <c r="J1510" t="s">
        <v>36</v>
      </c>
      <c r="K1510" t="s">
        <v>37</v>
      </c>
      <c r="L1510">
        <f t="shared" si="441"/>
        <v>1</v>
      </c>
      <c r="M1510">
        <f t="shared" si="442"/>
        <v>0</v>
      </c>
      <c r="N1510">
        <f t="shared" si="443"/>
        <v>0</v>
      </c>
      <c r="O1510" t="s">
        <v>38</v>
      </c>
      <c r="P1510">
        <f t="shared" si="444"/>
        <v>1</v>
      </c>
      <c r="Q1510">
        <f t="shared" si="445"/>
        <v>0</v>
      </c>
      <c r="R1510">
        <f t="shared" si="446"/>
        <v>0</v>
      </c>
      <c r="S1510">
        <f t="shared" si="447"/>
        <v>0</v>
      </c>
      <c r="T1510">
        <f t="shared" si="448"/>
        <v>0</v>
      </c>
      <c r="U1510">
        <f t="shared" si="449"/>
        <v>0</v>
      </c>
      <c r="V1510">
        <f t="shared" si="450"/>
        <v>0</v>
      </c>
      <c r="W1510" t="s">
        <v>39</v>
      </c>
      <c r="X1510">
        <f t="shared" si="451"/>
        <v>1</v>
      </c>
      <c r="Y1510">
        <f t="shared" si="452"/>
        <v>0</v>
      </c>
      <c r="Z1510">
        <v>3</v>
      </c>
      <c r="AA1510">
        <f t="shared" si="453"/>
        <v>0.5</v>
      </c>
      <c r="AB1510" t="s">
        <v>46</v>
      </c>
      <c r="AC1510">
        <f t="shared" si="454"/>
        <v>0</v>
      </c>
      <c r="AD1510">
        <f t="shared" si="455"/>
        <v>0</v>
      </c>
      <c r="AE1510" t="s">
        <v>41</v>
      </c>
      <c r="AF1510">
        <f>IF(AE1510="website",1,0)</f>
        <v>1</v>
      </c>
    </row>
    <row r="1511" spans="1:32">
      <c r="A1511" t="s">
        <v>2160</v>
      </c>
      <c r="B1511" t="s">
        <v>55</v>
      </c>
      <c r="C1511" s="3">
        <f t="shared" si="437"/>
        <v>1</v>
      </c>
      <c r="D1511">
        <f t="shared" si="438"/>
        <v>0</v>
      </c>
      <c r="E1511" t="s">
        <v>1051</v>
      </c>
      <c r="F1511" t="s">
        <v>57</v>
      </c>
      <c r="G1511" s="1">
        <v>22981</v>
      </c>
      <c r="H1511" s="2">
        <f t="shared" ca="1" si="439"/>
        <v>63</v>
      </c>
      <c r="I1511" s="2">
        <f t="shared" ca="1" si="440"/>
        <v>0.54285714285714282</v>
      </c>
      <c r="J1511" t="s">
        <v>45</v>
      </c>
      <c r="K1511" t="s">
        <v>37</v>
      </c>
      <c r="L1511">
        <f t="shared" si="441"/>
        <v>1</v>
      </c>
      <c r="M1511">
        <f t="shared" si="442"/>
        <v>0</v>
      </c>
      <c r="N1511">
        <f t="shared" si="443"/>
        <v>0</v>
      </c>
      <c r="O1511" t="s">
        <v>38</v>
      </c>
      <c r="P1511">
        <f t="shared" si="444"/>
        <v>1</v>
      </c>
      <c r="Q1511">
        <f t="shared" si="445"/>
        <v>0</v>
      </c>
      <c r="R1511">
        <f t="shared" si="446"/>
        <v>0</v>
      </c>
      <c r="S1511">
        <f t="shared" si="447"/>
        <v>0</v>
      </c>
      <c r="T1511">
        <f t="shared" si="448"/>
        <v>0</v>
      </c>
      <c r="U1511">
        <f t="shared" si="449"/>
        <v>0</v>
      </c>
      <c r="V1511">
        <f t="shared" si="450"/>
        <v>0</v>
      </c>
      <c r="W1511" t="s">
        <v>39</v>
      </c>
      <c r="X1511">
        <f t="shared" si="451"/>
        <v>1</v>
      </c>
      <c r="Y1511">
        <f t="shared" si="452"/>
        <v>0</v>
      </c>
      <c r="Z1511">
        <v>5</v>
      </c>
      <c r="AA1511">
        <f t="shared" si="453"/>
        <v>1</v>
      </c>
      <c r="AB1511" t="s">
        <v>46</v>
      </c>
      <c r="AC1511">
        <f t="shared" si="454"/>
        <v>1</v>
      </c>
      <c r="AD1511">
        <f t="shared" si="455"/>
        <v>0</v>
      </c>
      <c r="AE1511" t="s">
        <v>50</v>
      </c>
      <c r="AF1511">
        <f>IF(AE1511="website",1,0)</f>
        <v>0</v>
      </c>
    </row>
    <row r="1512" spans="1:32">
      <c r="A1512" t="s">
        <v>2161</v>
      </c>
      <c r="B1512" t="s">
        <v>33</v>
      </c>
      <c r="C1512" s="3">
        <f t="shared" si="437"/>
        <v>0</v>
      </c>
      <c r="D1512">
        <f t="shared" si="438"/>
        <v>1</v>
      </c>
      <c r="E1512" t="s">
        <v>894</v>
      </c>
      <c r="F1512" t="s">
        <v>513</v>
      </c>
      <c r="G1512" s="1">
        <v>32709</v>
      </c>
      <c r="H1512" s="2">
        <f t="shared" ca="1" si="439"/>
        <v>37</v>
      </c>
      <c r="I1512" s="2">
        <f t="shared" ca="1" si="440"/>
        <v>0.17142857142857143</v>
      </c>
      <c r="J1512" t="s">
        <v>36</v>
      </c>
      <c r="K1512" t="s">
        <v>626</v>
      </c>
      <c r="L1512">
        <f t="shared" si="441"/>
        <v>0</v>
      </c>
      <c r="M1512">
        <f t="shared" si="442"/>
        <v>0</v>
      </c>
      <c r="N1512">
        <f t="shared" si="443"/>
        <v>0</v>
      </c>
      <c r="O1512" t="s">
        <v>660</v>
      </c>
      <c r="P1512">
        <f t="shared" si="444"/>
        <v>0</v>
      </c>
      <c r="Q1512">
        <f t="shared" si="445"/>
        <v>0</v>
      </c>
      <c r="R1512">
        <f t="shared" si="446"/>
        <v>0</v>
      </c>
      <c r="S1512">
        <f t="shared" si="447"/>
        <v>0</v>
      </c>
      <c r="T1512">
        <f t="shared" si="448"/>
        <v>0</v>
      </c>
      <c r="U1512">
        <f t="shared" si="449"/>
        <v>0</v>
      </c>
      <c r="V1512">
        <f t="shared" si="450"/>
        <v>0</v>
      </c>
      <c r="W1512" t="s">
        <v>39</v>
      </c>
      <c r="X1512">
        <f t="shared" si="451"/>
        <v>1</v>
      </c>
      <c r="Y1512">
        <f t="shared" si="452"/>
        <v>0</v>
      </c>
      <c r="Z1512">
        <v>2</v>
      </c>
      <c r="AA1512">
        <f t="shared" si="453"/>
        <v>0.25</v>
      </c>
      <c r="AB1512" t="s">
        <v>40</v>
      </c>
      <c r="AC1512">
        <f t="shared" si="454"/>
        <v>0</v>
      </c>
      <c r="AD1512">
        <f t="shared" si="455"/>
        <v>0</v>
      </c>
      <c r="AE1512" t="s">
        <v>41</v>
      </c>
      <c r="AF1512">
        <f>IF(AE1512="website",1,0)</f>
        <v>1</v>
      </c>
    </row>
    <row r="1513" spans="1:32">
      <c r="A1513" t="s">
        <v>2162</v>
      </c>
      <c r="B1513" t="s">
        <v>33</v>
      </c>
      <c r="C1513" s="3">
        <f t="shared" si="437"/>
        <v>0</v>
      </c>
      <c r="D1513">
        <f t="shared" si="438"/>
        <v>1</v>
      </c>
      <c r="E1513" t="s">
        <v>612</v>
      </c>
      <c r="F1513" t="s">
        <v>796</v>
      </c>
      <c r="G1513" s="1">
        <v>20258</v>
      </c>
      <c r="H1513" s="2">
        <f t="shared" ca="1" si="439"/>
        <v>71</v>
      </c>
      <c r="I1513" s="2">
        <f t="shared" ca="1" si="440"/>
        <v>0.65714285714285714</v>
      </c>
      <c r="J1513" t="s">
        <v>36</v>
      </c>
      <c r="K1513" t="s">
        <v>37</v>
      </c>
      <c r="L1513">
        <f t="shared" si="441"/>
        <v>1</v>
      </c>
      <c r="M1513">
        <f t="shared" si="442"/>
        <v>0</v>
      </c>
      <c r="N1513">
        <f t="shared" si="443"/>
        <v>0</v>
      </c>
      <c r="O1513" t="s">
        <v>124</v>
      </c>
      <c r="P1513">
        <f t="shared" si="444"/>
        <v>0</v>
      </c>
      <c r="Q1513">
        <f t="shared" si="445"/>
        <v>0</v>
      </c>
      <c r="R1513">
        <f t="shared" si="446"/>
        <v>0</v>
      </c>
      <c r="S1513">
        <f t="shared" si="447"/>
        <v>0</v>
      </c>
      <c r="T1513">
        <f t="shared" si="448"/>
        <v>0</v>
      </c>
      <c r="U1513">
        <f t="shared" si="449"/>
        <v>1</v>
      </c>
      <c r="V1513">
        <f t="shared" si="450"/>
        <v>0</v>
      </c>
      <c r="W1513" t="s">
        <v>39</v>
      </c>
      <c r="X1513">
        <f t="shared" si="451"/>
        <v>1</v>
      </c>
      <c r="Y1513">
        <f t="shared" si="452"/>
        <v>0</v>
      </c>
      <c r="Z1513">
        <v>4</v>
      </c>
      <c r="AA1513">
        <f t="shared" si="453"/>
        <v>0.75</v>
      </c>
      <c r="AB1513" t="s">
        <v>40</v>
      </c>
      <c r="AC1513">
        <f t="shared" si="454"/>
        <v>0</v>
      </c>
      <c r="AD1513">
        <f t="shared" si="455"/>
        <v>1</v>
      </c>
      <c r="AE1513" t="s">
        <v>90</v>
      </c>
      <c r="AF1513">
        <f>IF(AE1513="website",1,0)</f>
        <v>0</v>
      </c>
    </row>
    <row r="1514" spans="1:32">
      <c r="A1514" t="s">
        <v>2163</v>
      </c>
      <c r="B1514" t="s">
        <v>33</v>
      </c>
      <c r="C1514" s="3">
        <f t="shared" si="437"/>
        <v>0</v>
      </c>
      <c r="D1514">
        <f t="shared" si="438"/>
        <v>1</v>
      </c>
      <c r="E1514" t="s">
        <v>784</v>
      </c>
      <c r="F1514" t="s">
        <v>730</v>
      </c>
      <c r="G1514" s="1">
        <v>34858</v>
      </c>
      <c r="H1514" s="2">
        <f t="shared" ca="1" si="439"/>
        <v>31</v>
      </c>
      <c r="I1514" s="2">
        <f t="shared" ca="1" si="440"/>
        <v>8.5714285714285715E-2</v>
      </c>
      <c r="J1514" t="s">
        <v>36</v>
      </c>
      <c r="K1514" t="s">
        <v>37</v>
      </c>
      <c r="L1514">
        <f t="shared" si="441"/>
        <v>1</v>
      </c>
      <c r="M1514">
        <f t="shared" si="442"/>
        <v>0</v>
      </c>
      <c r="N1514">
        <f t="shared" si="443"/>
        <v>0</v>
      </c>
      <c r="O1514" t="s">
        <v>600</v>
      </c>
      <c r="P1514">
        <f t="shared" si="444"/>
        <v>0</v>
      </c>
      <c r="Q1514">
        <f t="shared" si="445"/>
        <v>0</v>
      </c>
      <c r="R1514">
        <f t="shared" si="446"/>
        <v>0</v>
      </c>
      <c r="S1514">
        <f t="shared" si="447"/>
        <v>0</v>
      </c>
      <c r="T1514">
        <f t="shared" si="448"/>
        <v>0</v>
      </c>
      <c r="U1514">
        <f t="shared" si="449"/>
        <v>0</v>
      </c>
      <c r="V1514">
        <f t="shared" si="450"/>
        <v>0</v>
      </c>
      <c r="W1514" t="s">
        <v>39</v>
      </c>
      <c r="X1514">
        <f t="shared" si="451"/>
        <v>1</v>
      </c>
      <c r="Y1514">
        <f t="shared" si="452"/>
        <v>0</v>
      </c>
      <c r="Z1514">
        <v>2</v>
      </c>
      <c r="AA1514">
        <f t="shared" si="453"/>
        <v>0.25</v>
      </c>
      <c r="AB1514" t="s">
        <v>46</v>
      </c>
      <c r="AC1514">
        <f t="shared" si="454"/>
        <v>0</v>
      </c>
      <c r="AD1514">
        <f t="shared" si="455"/>
        <v>0</v>
      </c>
      <c r="AE1514" t="s">
        <v>41</v>
      </c>
      <c r="AF1514">
        <f>IF(AE1514="website",1,0)</f>
        <v>1</v>
      </c>
    </row>
    <row r="1515" spans="1:32">
      <c r="A1515" t="s">
        <v>2164</v>
      </c>
      <c r="B1515" t="s">
        <v>33</v>
      </c>
      <c r="C1515" s="3">
        <f t="shared" si="437"/>
        <v>0</v>
      </c>
      <c r="D1515">
        <f t="shared" si="438"/>
        <v>1</v>
      </c>
      <c r="E1515" t="s">
        <v>637</v>
      </c>
      <c r="F1515" t="s">
        <v>773</v>
      </c>
      <c r="G1515" s="1">
        <v>31754</v>
      </c>
      <c r="H1515" s="2">
        <f t="shared" ca="1" si="439"/>
        <v>39</v>
      </c>
      <c r="I1515" s="2">
        <f t="shared" ca="1" si="440"/>
        <v>0.2</v>
      </c>
      <c r="J1515" t="s">
        <v>36</v>
      </c>
      <c r="K1515" t="s">
        <v>37</v>
      </c>
      <c r="L1515">
        <f t="shared" si="441"/>
        <v>1</v>
      </c>
      <c r="M1515">
        <f t="shared" si="442"/>
        <v>0</v>
      </c>
      <c r="N1515">
        <f t="shared" si="443"/>
        <v>0</v>
      </c>
      <c r="O1515" t="s">
        <v>717</v>
      </c>
      <c r="P1515">
        <f t="shared" si="444"/>
        <v>0</v>
      </c>
      <c r="Q1515">
        <f t="shared" si="445"/>
        <v>0</v>
      </c>
      <c r="R1515">
        <f t="shared" si="446"/>
        <v>0</v>
      </c>
      <c r="S1515">
        <f t="shared" si="447"/>
        <v>0</v>
      </c>
      <c r="T1515">
        <f t="shared" si="448"/>
        <v>0</v>
      </c>
      <c r="U1515">
        <f t="shared" si="449"/>
        <v>0</v>
      </c>
      <c r="V1515">
        <f t="shared" si="450"/>
        <v>0</v>
      </c>
      <c r="W1515" t="s">
        <v>39</v>
      </c>
      <c r="X1515">
        <f t="shared" si="451"/>
        <v>1</v>
      </c>
      <c r="Y1515">
        <f t="shared" si="452"/>
        <v>0</v>
      </c>
      <c r="Z1515">
        <v>4</v>
      </c>
      <c r="AA1515">
        <f t="shared" si="453"/>
        <v>0.75</v>
      </c>
      <c r="AB1515" t="s">
        <v>46</v>
      </c>
      <c r="AC1515">
        <f t="shared" si="454"/>
        <v>0</v>
      </c>
      <c r="AD1515">
        <f t="shared" si="455"/>
        <v>0</v>
      </c>
      <c r="AE1515" t="s">
        <v>41</v>
      </c>
      <c r="AF1515">
        <f>IF(AE1515="website",1,0)</f>
        <v>1</v>
      </c>
    </row>
    <row r="1516" spans="1:32">
      <c r="A1516" t="s">
        <v>2165</v>
      </c>
      <c r="B1516" t="s">
        <v>33</v>
      </c>
      <c r="C1516" s="3">
        <f t="shared" si="437"/>
        <v>0</v>
      </c>
      <c r="D1516">
        <f t="shared" si="438"/>
        <v>1</v>
      </c>
      <c r="E1516" t="s">
        <v>1695</v>
      </c>
      <c r="F1516" t="s">
        <v>579</v>
      </c>
      <c r="G1516" s="1">
        <v>17091</v>
      </c>
      <c r="H1516" s="2">
        <f t="shared" ca="1" si="439"/>
        <v>79</v>
      </c>
      <c r="I1516" s="2">
        <f t="shared" ca="1" si="440"/>
        <v>0.77142857142857146</v>
      </c>
      <c r="J1516" t="s">
        <v>36</v>
      </c>
      <c r="K1516" t="s">
        <v>37</v>
      </c>
      <c r="L1516">
        <f t="shared" si="441"/>
        <v>1</v>
      </c>
      <c r="M1516">
        <f t="shared" si="442"/>
        <v>0</v>
      </c>
      <c r="N1516">
        <f t="shared" si="443"/>
        <v>0</v>
      </c>
      <c r="O1516" t="s">
        <v>124</v>
      </c>
      <c r="P1516">
        <f t="shared" si="444"/>
        <v>0</v>
      </c>
      <c r="Q1516">
        <f t="shared" si="445"/>
        <v>0</v>
      </c>
      <c r="R1516">
        <f t="shared" si="446"/>
        <v>0</v>
      </c>
      <c r="S1516">
        <f t="shared" si="447"/>
        <v>0</v>
      </c>
      <c r="T1516">
        <f t="shared" si="448"/>
        <v>0</v>
      </c>
      <c r="U1516">
        <f t="shared" si="449"/>
        <v>1</v>
      </c>
      <c r="V1516">
        <f t="shared" si="450"/>
        <v>0</v>
      </c>
      <c r="W1516" t="s">
        <v>58</v>
      </c>
      <c r="X1516">
        <f t="shared" si="451"/>
        <v>0</v>
      </c>
      <c r="Y1516">
        <f t="shared" si="452"/>
        <v>1</v>
      </c>
      <c r="Z1516">
        <v>5</v>
      </c>
      <c r="AA1516">
        <f t="shared" si="453"/>
        <v>1</v>
      </c>
      <c r="AB1516" t="s">
        <v>46</v>
      </c>
      <c r="AC1516">
        <f t="shared" si="454"/>
        <v>0</v>
      </c>
      <c r="AD1516">
        <f t="shared" si="455"/>
        <v>0</v>
      </c>
      <c r="AE1516" t="s">
        <v>41</v>
      </c>
      <c r="AF1516">
        <f>IF(AE1516="website",1,0)</f>
        <v>1</v>
      </c>
    </row>
    <row r="1517" spans="1:32">
      <c r="A1517" t="s">
        <v>2166</v>
      </c>
      <c r="B1517" t="s">
        <v>33</v>
      </c>
      <c r="C1517" s="3">
        <f t="shared" si="437"/>
        <v>0</v>
      </c>
      <c r="D1517">
        <f t="shared" si="438"/>
        <v>1</v>
      </c>
      <c r="E1517" t="s">
        <v>317</v>
      </c>
      <c r="F1517" t="s">
        <v>669</v>
      </c>
      <c r="G1517" s="1">
        <v>19502</v>
      </c>
      <c r="H1517" s="2">
        <f t="shared" ca="1" si="439"/>
        <v>73</v>
      </c>
      <c r="I1517" s="2">
        <f t="shared" ca="1" si="440"/>
        <v>0.68571428571428572</v>
      </c>
      <c r="J1517" t="s">
        <v>36</v>
      </c>
      <c r="K1517" t="s">
        <v>37</v>
      </c>
      <c r="L1517">
        <f t="shared" si="441"/>
        <v>1</v>
      </c>
      <c r="M1517">
        <f t="shared" si="442"/>
        <v>0</v>
      </c>
      <c r="N1517">
        <f t="shared" si="443"/>
        <v>0</v>
      </c>
      <c r="O1517" t="s">
        <v>592</v>
      </c>
      <c r="P1517">
        <f t="shared" si="444"/>
        <v>0</v>
      </c>
      <c r="Q1517">
        <f t="shared" si="445"/>
        <v>0</v>
      </c>
      <c r="R1517">
        <f t="shared" si="446"/>
        <v>0</v>
      </c>
      <c r="S1517">
        <f t="shared" si="447"/>
        <v>0</v>
      </c>
      <c r="T1517">
        <f t="shared" si="448"/>
        <v>0</v>
      </c>
      <c r="U1517">
        <f t="shared" si="449"/>
        <v>0</v>
      </c>
      <c r="V1517">
        <f t="shared" si="450"/>
        <v>0</v>
      </c>
      <c r="W1517" t="s">
        <v>39</v>
      </c>
      <c r="X1517">
        <f t="shared" si="451"/>
        <v>1</v>
      </c>
      <c r="Y1517">
        <f t="shared" si="452"/>
        <v>0</v>
      </c>
      <c r="Z1517">
        <v>4</v>
      </c>
      <c r="AA1517">
        <f t="shared" si="453"/>
        <v>0.75</v>
      </c>
      <c r="AB1517" t="s">
        <v>46</v>
      </c>
      <c r="AC1517">
        <f t="shared" si="454"/>
        <v>0</v>
      </c>
      <c r="AD1517">
        <f t="shared" si="455"/>
        <v>0</v>
      </c>
      <c r="AE1517" t="s">
        <v>41</v>
      </c>
      <c r="AF1517">
        <f>IF(AE1517="website",1,0)</f>
        <v>1</v>
      </c>
    </row>
    <row r="1518" spans="1:32">
      <c r="A1518" t="s">
        <v>2167</v>
      </c>
      <c r="B1518" t="s">
        <v>33</v>
      </c>
      <c r="C1518" s="3">
        <f t="shared" si="437"/>
        <v>0</v>
      </c>
      <c r="D1518">
        <f t="shared" si="438"/>
        <v>1</v>
      </c>
      <c r="E1518" t="s">
        <v>1140</v>
      </c>
      <c r="F1518" t="s">
        <v>585</v>
      </c>
      <c r="G1518" s="1">
        <v>28544</v>
      </c>
      <c r="H1518" s="2">
        <f t="shared" ca="1" si="439"/>
        <v>48</v>
      </c>
      <c r="I1518" s="2">
        <f t="shared" ca="1" si="440"/>
        <v>0.32857142857142857</v>
      </c>
      <c r="J1518" t="s">
        <v>45</v>
      </c>
      <c r="K1518" t="s">
        <v>37</v>
      </c>
      <c r="L1518">
        <f t="shared" si="441"/>
        <v>1</v>
      </c>
      <c r="M1518">
        <f t="shared" si="442"/>
        <v>0</v>
      </c>
      <c r="N1518">
        <f t="shared" si="443"/>
        <v>0</v>
      </c>
      <c r="O1518" t="s">
        <v>38</v>
      </c>
      <c r="P1518">
        <f t="shared" si="444"/>
        <v>1</v>
      </c>
      <c r="Q1518">
        <f t="shared" si="445"/>
        <v>0</v>
      </c>
      <c r="R1518">
        <f t="shared" si="446"/>
        <v>0</v>
      </c>
      <c r="S1518">
        <f t="shared" si="447"/>
        <v>0</v>
      </c>
      <c r="T1518">
        <f t="shared" si="448"/>
        <v>0</v>
      </c>
      <c r="U1518">
        <f t="shared" si="449"/>
        <v>0</v>
      </c>
      <c r="V1518">
        <f t="shared" si="450"/>
        <v>0</v>
      </c>
      <c r="W1518" t="s">
        <v>58</v>
      </c>
      <c r="X1518">
        <f t="shared" si="451"/>
        <v>0</v>
      </c>
      <c r="Y1518">
        <f t="shared" si="452"/>
        <v>1</v>
      </c>
      <c r="Z1518">
        <v>2</v>
      </c>
      <c r="AA1518">
        <f t="shared" si="453"/>
        <v>0.25</v>
      </c>
      <c r="AB1518" t="s">
        <v>46</v>
      </c>
      <c r="AC1518">
        <f t="shared" si="454"/>
        <v>1</v>
      </c>
      <c r="AD1518">
        <f t="shared" si="455"/>
        <v>0</v>
      </c>
      <c r="AE1518" t="s">
        <v>50</v>
      </c>
      <c r="AF1518">
        <f>IF(AE1518="website",1,0)</f>
        <v>0</v>
      </c>
    </row>
    <row r="1519" spans="1:32">
      <c r="A1519" t="s">
        <v>2168</v>
      </c>
      <c r="B1519" t="s">
        <v>33</v>
      </c>
      <c r="C1519" s="3">
        <f t="shared" si="437"/>
        <v>0</v>
      </c>
      <c r="D1519">
        <f t="shared" si="438"/>
        <v>1</v>
      </c>
      <c r="E1519" t="s">
        <v>947</v>
      </c>
      <c r="F1519" t="s">
        <v>709</v>
      </c>
      <c r="G1519" s="1">
        <v>34615</v>
      </c>
      <c r="H1519" s="2">
        <f t="shared" ca="1" si="439"/>
        <v>31</v>
      </c>
      <c r="I1519" s="2">
        <f t="shared" ca="1" si="440"/>
        <v>8.5714285714285715E-2</v>
      </c>
      <c r="J1519" t="s">
        <v>36</v>
      </c>
      <c r="K1519" t="s">
        <v>819</v>
      </c>
      <c r="L1519">
        <f t="shared" si="441"/>
        <v>0</v>
      </c>
      <c r="M1519">
        <f t="shared" si="442"/>
        <v>0</v>
      </c>
      <c r="N1519">
        <f t="shared" si="443"/>
        <v>0</v>
      </c>
      <c r="O1519" t="s">
        <v>1061</v>
      </c>
      <c r="P1519">
        <f t="shared" si="444"/>
        <v>0</v>
      </c>
      <c r="Q1519">
        <f t="shared" si="445"/>
        <v>0</v>
      </c>
      <c r="R1519">
        <f t="shared" si="446"/>
        <v>0</v>
      </c>
      <c r="S1519">
        <f t="shared" si="447"/>
        <v>0</v>
      </c>
      <c r="T1519">
        <f t="shared" si="448"/>
        <v>0</v>
      </c>
      <c r="U1519">
        <f t="shared" si="449"/>
        <v>0</v>
      </c>
      <c r="V1519">
        <f t="shared" si="450"/>
        <v>0</v>
      </c>
      <c r="W1519" t="s">
        <v>39</v>
      </c>
      <c r="X1519">
        <f t="shared" si="451"/>
        <v>1</v>
      </c>
      <c r="Y1519">
        <f t="shared" si="452"/>
        <v>0</v>
      </c>
      <c r="Z1519">
        <v>5</v>
      </c>
      <c r="AA1519">
        <f t="shared" si="453"/>
        <v>1</v>
      </c>
      <c r="AB1519" t="s">
        <v>40</v>
      </c>
      <c r="AC1519">
        <f t="shared" si="454"/>
        <v>1</v>
      </c>
      <c r="AD1519">
        <f t="shared" si="455"/>
        <v>0</v>
      </c>
      <c r="AE1519" t="s">
        <v>50</v>
      </c>
      <c r="AF1519">
        <f>IF(AE1519="website",1,0)</f>
        <v>0</v>
      </c>
    </row>
    <row r="1520" spans="1:32">
      <c r="A1520" t="s">
        <v>2169</v>
      </c>
      <c r="B1520" t="s">
        <v>33</v>
      </c>
      <c r="C1520" s="3">
        <f t="shared" si="437"/>
        <v>0</v>
      </c>
      <c r="D1520">
        <f t="shared" si="438"/>
        <v>1</v>
      </c>
      <c r="E1520" t="s">
        <v>655</v>
      </c>
      <c r="F1520" t="s">
        <v>757</v>
      </c>
      <c r="G1520" s="1">
        <v>26530</v>
      </c>
      <c r="H1520" s="2">
        <f t="shared" ca="1" si="439"/>
        <v>54</v>
      </c>
      <c r="I1520" s="2">
        <f t="shared" ca="1" si="440"/>
        <v>0.41428571428571431</v>
      </c>
      <c r="J1520" t="s">
        <v>45</v>
      </c>
      <c r="K1520" t="s">
        <v>37</v>
      </c>
      <c r="L1520">
        <f t="shared" si="441"/>
        <v>1</v>
      </c>
      <c r="M1520">
        <f t="shared" si="442"/>
        <v>0</v>
      </c>
      <c r="N1520">
        <f t="shared" si="443"/>
        <v>0</v>
      </c>
      <c r="O1520" t="s">
        <v>38</v>
      </c>
      <c r="P1520">
        <f t="shared" si="444"/>
        <v>1</v>
      </c>
      <c r="Q1520">
        <f t="shared" si="445"/>
        <v>0</v>
      </c>
      <c r="R1520">
        <f t="shared" si="446"/>
        <v>0</v>
      </c>
      <c r="S1520">
        <f t="shared" si="447"/>
        <v>0</v>
      </c>
      <c r="T1520">
        <f t="shared" si="448"/>
        <v>0</v>
      </c>
      <c r="U1520">
        <f t="shared" si="449"/>
        <v>0</v>
      </c>
      <c r="V1520">
        <f t="shared" si="450"/>
        <v>0</v>
      </c>
      <c r="W1520" t="s">
        <v>39</v>
      </c>
      <c r="X1520">
        <f t="shared" si="451"/>
        <v>1</v>
      </c>
      <c r="Y1520">
        <f t="shared" si="452"/>
        <v>0</v>
      </c>
      <c r="Z1520">
        <v>1</v>
      </c>
      <c r="AA1520">
        <f t="shared" si="453"/>
        <v>0</v>
      </c>
      <c r="AB1520" t="s">
        <v>46</v>
      </c>
      <c r="AC1520">
        <f t="shared" si="454"/>
        <v>1</v>
      </c>
      <c r="AD1520">
        <f t="shared" si="455"/>
        <v>0</v>
      </c>
      <c r="AE1520" t="s">
        <v>50</v>
      </c>
      <c r="AF1520">
        <f>IF(AE1520="website",1,0)</f>
        <v>0</v>
      </c>
    </row>
    <row r="1521" spans="1:32">
      <c r="A1521" t="s">
        <v>2170</v>
      </c>
      <c r="B1521" t="s">
        <v>33</v>
      </c>
      <c r="C1521" s="3">
        <f t="shared" si="437"/>
        <v>0</v>
      </c>
      <c r="D1521">
        <f t="shared" si="438"/>
        <v>1</v>
      </c>
      <c r="E1521" t="s">
        <v>152</v>
      </c>
      <c r="F1521" t="s">
        <v>928</v>
      </c>
      <c r="G1521" s="1">
        <v>16776</v>
      </c>
      <c r="H1521" s="2">
        <f t="shared" ca="1" si="439"/>
        <v>80</v>
      </c>
      <c r="I1521" s="2">
        <f t="shared" ca="1" si="440"/>
        <v>0.7857142857142857</v>
      </c>
      <c r="J1521" t="s">
        <v>45</v>
      </c>
      <c r="K1521" t="s">
        <v>37</v>
      </c>
      <c r="L1521">
        <f t="shared" si="441"/>
        <v>1</v>
      </c>
      <c r="M1521">
        <f t="shared" si="442"/>
        <v>0</v>
      </c>
      <c r="N1521">
        <f t="shared" si="443"/>
        <v>0</v>
      </c>
      <c r="O1521" t="s">
        <v>183</v>
      </c>
      <c r="P1521">
        <f t="shared" si="444"/>
        <v>0</v>
      </c>
      <c r="Q1521">
        <f t="shared" si="445"/>
        <v>0</v>
      </c>
      <c r="R1521">
        <f t="shared" si="446"/>
        <v>0</v>
      </c>
      <c r="S1521">
        <f t="shared" si="447"/>
        <v>0</v>
      </c>
      <c r="T1521">
        <f t="shared" si="448"/>
        <v>0</v>
      </c>
      <c r="U1521">
        <f t="shared" si="449"/>
        <v>0</v>
      </c>
      <c r="V1521">
        <f t="shared" si="450"/>
        <v>0</v>
      </c>
      <c r="W1521" t="s">
        <v>39</v>
      </c>
      <c r="X1521">
        <f t="shared" si="451"/>
        <v>1</v>
      </c>
      <c r="Y1521">
        <f t="shared" si="452"/>
        <v>0</v>
      </c>
      <c r="Z1521">
        <v>1</v>
      </c>
      <c r="AA1521">
        <f t="shared" si="453"/>
        <v>0</v>
      </c>
      <c r="AB1521" t="s">
        <v>46</v>
      </c>
      <c r="AC1521">
        <f t="shared" si="454"/>
        <v>0</v>
      </c>
      <c r="AD1521">
        <f t="shared" si="455"/>
        <v>0</v>
      </c>
      <c r="AE1521" t="s">
        <v>41</v>
      </c>
      <c r="AF1521">
        <f>IF(AE1521="website",1,0)</f>
        <v>1</v>
      </c>
    </row>
    <row r="1522" spans="1:32">
      <c r="A1522" t="s">
        <v>2171</v>
      </c>
      <c r="B1522" t="s">
        <v>33</v>
      </c>
      <c r="C1522" s="3">
        <f t="shared" si="437"/>
        <v>0</v>
      </c>
      <c r="D1522">
        <f t="shared" si="438"/>
        <v>1</v>
      </c>
      <c r="E1522" t="s">
        <v>1147</v>
      </c>
      <c r="F1522" t="s">
        <v>674</v>
      </c>
      <c r="G1522" s="1">
        <v>27023</v>
      </c>
      <c r="H1522" s="2">
        <f t="shared" ca="1" si="439"/>
        <v>52</v>
      </c>
      <c r="I1522" s="2">
        <f t="shared" ca="1" si="440"/>
        <v>0.38571428571428573</v>
      </c>
      <c r="J1522" t="s">
        <v>45</v>
      </c>
      <c r="K1522" t="s">
        <v>37</v>
      </c>
      <c r="L1522">
        <f t="shared" si="441"/>
        <v>1</v>
      </c>
      <c r="M1522">
        <f t="shared" si="442"/>
        <v>0</v>
      </c>
      <c r="N1522">
        <f t="shared" si="443"/>
        <v>0</v>
      </c>
      <c r="O1522" t="s">
        <v>124</v>
      </c>
      <c r="P1522">
        <f t="shared" si="444"/>
        <v>0</v>
      </c>
      <c r="Q1522">
        <f t="shared" si="445"/>
        <v>0</v>
      </c>
      <c r="R1522">
        <f t="shared" si="446"/>
        <v>0</v>
      </c>
      <c r="S1522">
        <f t="shared" si="447"/>
        <v>0</v>
      </c>
      <c r="T1522">
        <f t="shared" si="448"/>
        <v>0</v>
      </c>
      <c r="U1522">
        <f t="shared" si="449"/>
        <v>1</v>
      </c>
      <c r="V1522">
        <f t="shared" si="450"/>
        <v>0</v>
      </c>
      <c r="W1522" t="s">
        <v>39</v>
      </c>
      <c r="X1522">
        <f t="shared" si="451"/>
        <v>1</v>
      </c>
      <c r="Y1522">
        <f t="shared" si="452"/>
        <v>0</v>
      </c>
      <c r="Z1522">
        <v>4</v>
      </c>
      <c r="AA1522">
        <f t="shared" si="453"/>
        <v>0.75</v>
      </c>
      <c r="AB1522" t="s">
        <v>46</v>
      </c>
      <c r="AC1522">
        <f t="shared" si="454"/>
        <v>1</v>
      </c>
      <c r="AD1522">
        <f t="shared" si="455"/>
        <v>0</v>
      </c>
      <c r="AE1522" t="s">
        <v>50</v>
      </c>
      <c r="AF1522">
        <f>IF(AE1522="website",1,0)</f>
        <v>0</v>
      </c>
    </row>
    <row r="1523" spans="1:32">
      <c r="A1523" t="s">
        <v>2172</v>
      </c>
      <c r="B1523" t="s">
        <v>33</v>
      </c>
      <c r="C1523" s="3">
        <f t="shared" si="437"/>
        <v>0</v>
      </c>
      <c r="D1523">
        <f t="shared" si="438"/>
        <v>1</v>
      </c>
      <c r="E1523" t="s">
        <v>1010</v>
      </c>
      <c r="F1523" t="s">
        <v>1270</v>
      </c>
      <c r="G1523" s="1">
        <v>23634</v>
      </c>
      <c r="H1523" s="2">
        <f t="shared" ca="1" si="439"/>
        <v>62</v>
      </c>
      <c r="I1523" s="2">
        <f t="shared" ca="1" si="440"/>
        <v>0.52857142857142858</v>
      </c>
      <c r="J1523" t="s">
        <v>36</v>
      </c>
      <c r="K1523" t="s">
        <v>37</v>
      </c>
      <c r="L1523">
        <f t="shared" si="441"/>
        <v>1</v>
      </c>
      <c r="M1523">
        <f t="shared" si="442"/>
        <v>0</v>
      </c>
      <c r="N1523">
        <f t="shared" si="443"/>
        <v>0</v>
      </c>
      <c r="O1523" t="s">
        <v>565</v>
      </c>
      <c r="P1523">
        <f t="shared" si="444"/>
        <v>0</v>
      </c>
      <c r="Q1523">
        <f t="shared" si="445"/>
        <v>0</v>
      </c>
      <c r="R1523">
        <f t="shared" si="446"/>
        <v>0</v>
      </c>
      <c r="S1523">
        <f t="shared" si="447"/>
        <v>0</v>
      </c>
      <c r="T1523">
        <f t="shared" si="448"/>
        <v>0</v>
      </c>
      <c r="U1523">
        <f t="shared" si="449"/>
        <v>0</v>
      </c>
      <c r="V1523">
        <f t="shared" si="450"/>
        <v>0</v>
      </c>
      <c r="W1523" t="s">
        <v>39</v>
      </c>
      <c r="X1523">
        <f t="shared" si="451"/>
        <v>1</v>
      </c>
      <c r="Y1523">
        <f t="shared" si="452"/>
        <v>0</v>
      </c>
      <c r="Z1523">
        <v>5</v>
      </c>
      <c r="AA1523">
        <f t="shared" si="453"/>
        <v>1</v>
      </c>
      <c r="AB1523" t="s">
        <v>46</v>
      </c>
      <c r="AC1523">
        <f t="shared" si="454"/>
        <v>0</v>
      </c>
      <c r="AD1523">
        <f t="shared" si="455"/>
        <v>0</v>
      </c>
      <c r="AE1523" t="s">
        <v>41</v>
      </c>
      <c r="AF1523">
        <f>IF(AE1523="website",1,0)</f>
        <v>1</v>
      </c>
    </row>
    <row r="1524" spans="1:32">
      <c r="A1524" t="s">
        <v>2173</v>
      </c>
      <c r="B1524" t="s">
        <v>55</v>
      </c>
      <c r="C1524" s="3">
        <f t="shared" si="437"/>
        <v>1</v>
      </c>
      <c r="D1524">
        <f t="shared" si="438"/>
        <v>0</v>
      </c>
      <c r="E1524" t="s">
        <v>992</v>
      </c>
      <c r="F1524" t="s">
        <v>57</v>
      </c>
      <c r="G1524" s="1">
        <v>29789</v>
      </c>
      <c r="H1524" s="2">
        <f t="shared" ca="1" si="439"/>
        <v>45</v>
      </c>
      <c r="I1524" s="2">
        <f t="shared" ca="1" si="440"/>
        <v>0.2857142857142857</v>
      </c>
      <c r="J1524" t="s">
        <v>45</v>
      </c>
      <c r="K1524" t="s">
        <v>819</v>
      </c>
      <c r="L1524">
        <f t="shared" si="441"/>
        <v>0</v>
      </c>
      <c r="M1524">
        <f t="shared" si="442"/>
        <v>0</v>
      </c>
      <c r="N1524">
        <f t="shared" si="443"/>
        <v>0</v>
      </c>
      <c r="O1524" t="s">
        <v>1061</v>
      </c>
      <c r="P1524">
        <f t="shared" si="444"/>
        <v>0</v>
      </c>
      <c r="Q1524">
        <f t="shared" si="445"/>
        <v>0</v>
      </c>
      <c r="R1524">
        <f t="shared" si="446"/>
        <v>0</v>
      </c>
      <c r="S1524">
        <f t="shared" si="447"/>
        <v>0</v>
      </c>
      <c r="T1524">
        <f t="shared" si="448"/>
        <v>0</v>
      </c>
      <c r="U1524">
        <f t="shared" si="449"/>
        <v>0</v>
      </c>
      <c r="V1524">
        <f t="shared" si="450"/>
        <v>0</v>
      </c>
      <c r="W1524" t="s">
        <v>58</v>
      </c>
      <c r="X1524">
        <f t="shared" si="451"/>
        <v>0</v>
      </c>
      <c r="Y1524">
        <f t="shared" si="452"/>
        <v>1</v>
      </c>
      <c r="Z1524">
        <v>3</v>
      </c>
      <c r="AA1524">
        <f t="shared" si="453"/>
        <v>0.5</v>
      </c>
      <c r="AB1524" t="s">
        <v>46</v>
      </c>
      <c r="AC1524">
        <f t="shared" si="454"/>
        <v>0</v>
      </c>
      <c r="AD1524">
        <f t="shared" si="455"/>
        <v>0</v>
      </c>
      <c r="AE1524" t="s">
        <v>41</v>
      </c>
      <c r="AF1524">
        <f>IF(AE1524="website",1,0)</f>
        <v>1</v>
      </c>
    </row>
    <row r="1525" spans="1:32">
      <c r="A1525" t="s">
        <v>2174</v>
      </c>
      <c r="B1525" t="s">
        <v>33</v>
      </c>
      <c r="C1525" s="3">
        <f t="shared" si="437"/>
        <v>0</v>
      </c>
      <c r="D1525">
        <f t="shared" si="438"/>
        <v>1</v>
      </c>
      <c r="E1525" t="s">
        <v>700</v>
      </c>
      <c r="F1525" t="s">
        <v>571</v>
      </c>
      <c r="G1525" s="1">
        <v>24677</v>
      </c>
      <c r="H1525" s="2">
        <f t="shared" ca="1" si="439"/>
        <v>59</v>
      </c>
      <c r="I1525" s="2">
        <f t="shared" ca="1" si="440"/>
        <v>0.48571428571428571</v>
      </c>
      <c r="J1525" t="s">
        <v>45</v>
      </c>
      <c r="K1525" t="s">
        <v>37</v>
      </c>
      <c r="L1525">
        <f t="shared" si="441"/>
        <v>1</v>
      </c>
      <c r="M1525">
        <f t="shared" si="442"/>
        <v>0</v>
      </c>
      <c r="N1525">
        <f t="shared" si="443"/>
        <v>0</v>
      </c>
      <c r="O1525" t="s">
        <v>305</v>
      </c>
      <c r="P1525">
        <f t="shared" si="444"/>
        <v>0</v>
      </c>
      <c r="Q1525">
        <f t="shared" si="445"/>
        <v>0</v>
      </c>
      <c r="R1525">
        <f t="shared" si="446"/>
        <v>0</v>
      </c>
      <c r="S1525">
        <f t="shared" si="447"/>
        <v>0</v>
      </c>
      <c r="T1525">
        <f t="shared" si="448"/>
        <v>0</v>
      </c>
      <c r="U1525">
        <f t="shared" si="449"/>
        <v>0</v>
      </c>
      <c r="V1525">
        <f t="shared" si="450"/>
        <v>0</v>
      </c>
      <c r="W1525" t="s">
        <v>39</v>
      </c>
      <c r="X1525">
        <f t="shared" si="451"/>
        <v>1</v>
      </c>
      <c r="Y1525">
        <f t="shared" si="452"/>
        <v>0</v>
      </c>
      <c r="Z1525">
        <v>2</v>
      </c>
      <c r="AA1525">
        <f t="shared" si="453"/>
        <v>0.25</v>
      </c>
      <c r="AB1525" t="s">
        <v>46</v>
      </c>
      <c r="AC1525">
        <f t="shared" si="454"/>
        <v>0</v>
      </c>
      <c r="AD1525">
        <f t="shared" si="455"/>
        <v>1</v>
      </c>
      <c r="AE1525" t="s">
        <v>90</v>
      </c>
      <c r="AF1525">
        <f>IF(AE1525="website",1,0)</f>
        <v>0</v>
      </c>
    </row>
    <row r="1526" spans="1:32">
      <c r="A1526" t="s">
        <v>2175</v>
      </c>
      <c r="B1526" t="s">
        <v>33</v>
      </c>
      <c r="C1526" s="3">
        <f t="shared" si="437"/>
        <v>0</v>
      </c>
      <c r="D1526">
        <f t="shared" si="438"/>
        <v>1</v>
      </c>
      <c r="E1526" t="s">
        <v>997</v>
      </c>
      <c r="F1526" t="s">
        <v>247</v>
      </c>
      <c r="G1526" s="1">
        <v>21786</v>
      </c>
      <c r="H1526" s="2">
        <f t="shared" ca="1" si="439"/>
        <v>67</v>
      </c>
      <c r="I1526" s="2">
        <f t="shared" ca="1" si="440"/>
        <v>0.6</v>
      </c>
      <c r="J1526" t="s">
        <v>45</v>
      </c>
      <c r="K1526" t="s">
        <v>37</v>
      </c>
      <c r="L1526">
        <f t="shared" si="441"/>
        <v>1</v>
      </c>
      <c r="M1526">
        <f t="shared" si="442"/>
        <v>0</v>
      </c>
      <c r="N1526">
        <f t="shared" si="443"/>
        <v>0</v>
      </c>
      <c r="O1526" t="s">
        <v>38</v>
      </c>
      <c r="P1526">
        <f t="shared" si="444"/>
        <v>1</v>
      </c>
      <c r="Q1526">
        <f t="shared" si="445"/>
        <v>0</v>
      </c>
      <c r="R1526">
        <f t="shared" si="446"/>
        <v>0</v>
      </c>
      <c r="S1526">
        <f t="shared" si="447"/>
        <v>0</v>
      </c>
      <c r="T1526">
        <f t="shared" si="448"/>
        <v>0</v>
      </c>
      <c r="U1526">
        <f t="shared" si="449"/>
        <v>0</v>
      </c>
      <c r="V1526">
        <f t="shared" si="450"/>
        <v>0</v>
      </c>
      <c r="W1526" t="s">
        <v>39</v>
      </c>
      <c r="X1526">
        <f t="shared" si="451"/>
        <v>1</v>
      </c>
      <c r="Y1526">
        <f t="shared" si="452"/>
        <v>0</v>
      </c>
      <c r="Z1526">
        <v>1</v>
      </c>
      <c r="AA1526">
        <f t="shared" si="453"/>
        <v>0</v>
      </c>
      <c r="AB1526" t="s">
        <v>46</v>
      </c>
      <c r="AC1526">
        <f t="shared" si="454"/>
        <v>1</v>
      </c>
      <c r="AD1526">
        <f t="shared" si="455"/>
        <v>0</v>
      </c>
      <c r="AE1526" t="s">
        <v>50</v>
      </c>
      <c r="AF1526">
        <f>IF(AE1526="website",1,0)</f>
        <v>0</v>
      </c>
    </row>
    <row r="1527" spans="1:32">
      <c r="A1527" t="s">
        <v>2176</v>
      </c>
      <c r="B1527" t="s">
        <v>33</v>
      </c>
      <c r="C1527" s="3">
        <f t="shared" si="437"/>
        <v>0</v>
      </c>
      <c r="D1527">
        <f t="shared" si="438"/>
        <v>1</v>
      </c>
      <c r="E1527" t="s">
        <v>1061</v>
      </c>
      <c r="F1527" t="s">
        <v>339</v>
      </c>
      <c r="G1527" s="1">
        <v>20672</v>
      </c>
      <c r="H1527" s="2">
        <f t="shared" ca="1" si="439"/>
        <v>70</v>
      </c>
      <c r="I1527" s="2">
        <f t="shared" ca="1" si="440"/>
        <v>0.6428571428571429</v>
      </c>
      <c r="J1527" t="s">
        <v>36</v>
      </c>
      <c r="K1527" t="s">
        <v>37</v>
      </c>
      <c r="L1527">
        <f t="shared" si="441"/>
        <v>1</v>
      </c>
      <c r="M1527">
        <f t="shared" si="442"/>
        <v>0</v>
      </c>
      <c r="N1527">
        <f t="shared" si="443"/>
        <v>0</v>
      </c>
      <c r="O1527" t="s">
        <v>38</v>
      </c>
      <c r="P1527">
        <f t="shared" si="444"/>
        <v>1</v>
      </c>
      <c r="Q1527">
        <f t="shared" si="445"/>
        <v>0</v>
      </c>
      <c r="R1527">
        <f t="shared" si="446"/>
        <v>0</v>
      </c>
      <c r="S1527">
        <f t="shared" si="447"/>
        <v>0</v>
      </c>
      <c r="T1527">
        <f t="shared" si="448"/>
        <v>0</v>
      </c>
      <c r="U1527">
        <f t="shared" si="449"/>
        <v>0</v>
      </c>
      <c r="V1527">
        <f t="shared" si="450"/>
        <v>0</v>
      </c>
      <c r="W1527" t="s">
        <v>39</v>
      </c>
      <c r="X1527">
        <f t="shared" si="451"/>
        <v>1</v>
      </c>
      <c r="Y1527">
        <f t="shared" si="452"/>
        <v>0</v>
      </c>
      <c r="Z1527">
        <v>3</v>
      </c>
      <c r="AA1527">
        <f t="shared" si="453"/>
        <v>0.5</v>
      </c>
      <c r="AB1527" t="s">
        <v>46</v>
      </c>
      <c r="AC1527">
        <f t="shared" si="454"/>
        <v>0</v>
      </c>
      <c r="AD1527">
        <f t="shared" si="455"/>
        <v>0</v>
      </c>
      <c r="AE1527" t="s">
        <v>41</v>
      </c>
      <c r="AF1527">
        <f>IF(AE1527="website",1,0)</f>
        <v>1</v>
      </c>
    </row>
    <row r="1528" spans="1:32">
      <c r="A1528" t="s">
        <v>2177</v>
      </c>
      <c r="B1528" t="s">
        <v>33</v>
      </c>
      <c r="C1528" s="3">
        <f t="shared" si="437"/>
        <v>0</v>
      </c>
      <c r="D1528">
        <f t="shared" si="438"/>
        <v>1</v>
      </c>
      <c r="E1528" t="s">
        <v>1346</v>
      </c>
      <c r="F1528" t="s">
        <v>1041</v>
      </c>
      <c r="G1528" s="1">
        <v>32641</v>
      </c>
      <c r="H1528" s="2">
        <f t="shared" ca="1" si="439"/>
        <v>37</v>
      </c>
      <c r="I1528" s="2">
        <f t="shared" ca="1" si="440"/>
        <v>0.17142857142857143</v>
      </c>
      <c r="J1528" t="s">
        <v>36</v>
      </c>
      <c r="K1528" t="s">
        <v>37</v>
      </c>
      <c r="L1528">
        <f t="shared" si="441"/>
        <v>1</v>
      </c>
      <c r="M1528">
        <f t="shared" si="442"/>
        <v>0</v>
      </c>
      <c r="N1528">
        <f t="shared" si="443"/>
        <v>0</v>
      </c>
      <c r="O1528" t="s">
        <v>38</v>
      </c>
      <c r="P1528">
        <f t="shared" si="444"/>
        <v>1</v>
      </c>
      <c r="Q1528">
        <f t="shared" si="445"/>
        <v>0</v>
      </c>
      <c r="R1528">
        <f t="shared" si="446"/>
        <v>0</v>
      </c>
      <c r="S1528">
        <f t="shared" si="447"/>
        <v>0</v>
      </c>
      <c r="T1528">
        <f t="shared" si="448"/>
        <v>0</v>
      </c>
      <c r="U1528">
        <f t="shared" si="449"/>
        <v>0</v>
      </c>
      <c r="V1528">
        <f t="shared" si="450"/>
        <v>0</v>
      </c>
      <c r="W1528" t="s">
        <v>39</v>
      </c>
      <c r="X1528">
        <f t="shared" si="451"/>
        <v>1</v>
      </c>
      <c r="Y1528">
        <f t="shared" si="452"/>
        <v>0</v>
      </c>
      <c r="Z1528">
        <v>1</v>
      </c>
      <c r="AA1528">
        <f t="shared" si="453"/>
        <v>0</v>
      </c>
      <c r="AB1528" t="s">
        <v>46</v>
      </c>
      <c r="AC1528">
        <f t="shared" si="454"/>
        <v>1</v>
      </c>
      <c r="AD1528">
        <f t="shared" si="455"/>
        <v>0</v>
      </c>
      <c r="AE1528" t="s">
        <v>50</v>
      </c>
      <c r="AF1528">
        <f>IF(AE1528="website",1,0)</f>
        <v>0</v>
      </c>
    </row>
    <row r="1529" spans="1:32">
      <c r="A1529" t="s">
        <v>2178</v>
      </c>
      <c r="B1529" t="s">
        <v>33</v>
      </c>
      <c r="C1529" s="3">
        <f t="shared" si="437"/>
        <v>0</v>
      </c>
      <c r="D1529">
        <f t="shared" si="438"/>
        <v>1</v>
      </c>
      <c r="E1529" t="s">
        <v>982</v>
      </c>
      <c r="F1529" t="s">
        <v>552</v>
      </c>
      <c r="G1529" s="1">
        <v>35675</v>
      </c>
      <c r="H1529" s="2">
        <f t="shared" ca="1" si="439"/>
        <v>29</v>
      </c>
      <c r="I1529" s="2">
        <f t="shared" ca="1" si="440"/>
        <v>5.7142857142857141E-2</v>
      </c>
      <c r="J1529" t="s">
        <v>36</v>
      </c>
      <c r="K1529" t="s">
        <v>113</v>
      </c>
      <c r="L1529">
        <f t="shared" si="441"/>
        <v>0</v>
      </c>
      <c r="M1529">
        <f t="shared" si="442"/>
        <v>0</v>
      </c>
      <c r="N1529">
        <f t="shared" si="443"/>
        <v>1</v>
      </c>
      <c r="O1529" t="s">
        <v>675</v>
      </c>
      <c r="P1529">
        <f t="shared" si="444"/>
        <v>0</v>
      </c>
      <c r="Q1529">
        <f t="shared" si="445"/>
        <v>0</v>
      </c>
      <c r="R1529">
        <f t="shared" si="446"/>
        <v>0</v>
      </c>
      <c r="S1529">
        <f t="shared" si="447"/>
        <v>0</v>
      </c>
      <c r="T1529">
        <f t="shared" si="448"/>
        <v>0</v>
      </c>
      <c r="U1529">
        <f t="shared" si="449"/>
        <v>0</v>
      </c>
      <c r="V1529">
        <f t="shared" si="450"/>
        <v>0</v>
      </c>
      <c r="W1529" t="s">
        <v>39</v>
      </c>
      <c r="X1529">
        <f t="shared" si="451"/>
        <v>1</v>
      </c>
      <c r="Y1529">
        <f t="shared" si="452"/>
        <v>0</v>
      </c>
      <c r="Z1529">
        <v>1</v>
      </c>
      <c r="AA1529">
        <f t="shared" si="453"/>
        <v>0</v>
      </c>
      <c r="AB1529" t="s">
        <v>40</v>
      </c>
      <c r="AC1529">
        <f t="shared" si="454"/>
        <v>0</v>
      </c>
      <c r="AD1529">
        <f t="shared" si="455"/>
        <v>0</v>
      </c>
      <c r="AE1529" t="s">
        <v>41</v>
      </c>
      <c r="AF1529">
        <f>IF(AE1529="website",1,0)</f>
        <v>1</v>
      </c>
    </row>
    <row r="1530" spans="1:32">
      <c r="A1530" t="s">
        <v>2179</v>
      </c>
      <c r="B1530" t="s">
        <v>55</v>
      </c>
      <c r="C1530" s="3">
        <f t="shared" si="437"/>
        <v>1</v>
      </c>
      <c r="D1530">
        <f t="shared" si="438"/>
        <v>0</v>
      </c>
      <c r="E1530" t="s">
        <v>1305</v>
      </c>
      <c r="F1530" t="s">
        <v>57</v>
      </c>
      <c r="G1530" s="1">
        <v>32617</v>
      </c>
      <c r="H1530" s="2">
        <f t="shared" ca="1" si="439"/>
        <v>37</v>
      </c>
      <c r="I1530" s="2">
        <f t="shared" ca="1" si="440"/>
        <v>0.17142857142857143</v>
      </c>
      <c r="J1530" t="s">
        <v>45</v>
      </c>
      <c r="K1530" t="s">
        <v>37</v>
      </c>
      <c r="L1530">
        <f t="shared" si="441"/>
        <v>1</v>
      </c>
      <c r="M1530">
        <f t="shared" si="442"/>
        <v>0</v>
      </c>
      <c r="N1530">
        <f t="shared" si="443"/>
        <v>0</v>
      </c>
      <c r="O1530" t="s">
        <v>38</v>
      </c>
      <c r="P1530">
        <f t="shared" si="444"/>
        <v>1</v>
      </c>
      <c r="Q1530">
        <f t="shared" si="445"/>
        <v>0</v>
      </c>
      <c r="R1530">
        <f t="shared" si="446"/>
        <v>0</v>
      </c>
      <c r="S1530">
        <f t="shared" si="447"/>
        <v>0</v>
      </c>
      <c r="T1530">
        <f t="shared" si="448"/>
        <v>0</v>
      </c>
      <c r="U1530">
        <f t="shared" si="449"/>
        <v>0</v>
      </c>
      <c r="V1530">
        <f t="shared" si="450"/>
        <v>0</v>
      </c>
      <c r="W1530" t="s">
        <v>39</v>
      </c>
      <c r="X1530">
        <f t="shared" si="451"/>
        <v>1</v>
      </c>
      <c r="Y1530">
        <f t="shared" si="452"/>
        <v>0</v>
      </c>
      <c r="Z1530">
        <v>4</v>
      </c>
      <c r="AA1530">
        <f t="shared" si="453"/>
        <v>0.75</v>
      </c>
      <c r="AB1530" t="s">
        <v>46</v>
      </c>
      <c r="AC1530">
        <f t="shared" si="454"/>
        <v>0</v>
      </c>
      <c r="AD1530">
        <f t="shared" si="455"/>
        <v>0</v>
      </c>
      <c r="AE1530" t="s">
        <v>41</v>
      </c>
      <c r="AF1530">
        <f>IF(AE1530="website",1,0)</f>
        <v>1</v>
      </c>
    </row>
    <row r="1531" spans="1:32">
      <c r="A1531" t="s">
        <v>2180</v>
      </c>
      <c r="B1531" t="s">
        <v>33</v>
      </c>
      <c r="C1531" s="3">
        <f t="shared" si="437"/>
        <v>0</v>
      </c>
      <c r="D1531">
        <f t="shared" si="438"/>
        <v>1</v>
      </c>
      <c r="E1531" t="s">
        <v>581</v>
      </c>
      <c r="F1531" t="s">
        <v>61</v>
      </c>
      <c r="G1531" s="1">
        <v>32467</v>
      </c>
      <c r="H1531" s="2">
        <f t="shared" ca="1" si="439"/>
        <v>37</v>
      </c>
      <c r="I1531" s="2">
        <f t="shared" ca="1" si="440"/>
        <v>0.17142857142857143</v>
      </c>
      <c r="J1531" t="s">
        <v>36</v>
      </c>
      <c r="K1531" t="s">
        <v>37</v>
      </c>
      <c r="L1531">
        <f t="shared" si="441"/>
        <v>1</v>
      </c>
      <c r="M1531">
        <f t="shared" si="442"/>
        <v>0</v>
      </c>
      <c r="N1531">
        <f t="shared" si="443"/>
        <v>0</v>
      </c>
      <c r="O1531" t="s">
        <v>38</v>
      </c>
      <c r="P1531">
        <f t="shared" si="444"/>
        <v>1</v>
      </c>
      <c r="Q1531">
        <f t="shared" si="445"/>
        <v>0</v>
      </c>
      <c r="R1531">
        <f t="shared" si="446"/>
        <v>0</v>
      </c>
      <c r="S1531">
        <f t="shared" si="447"/>
        <v>0</v>
      </c>
      <c r="T1531">
        <f t="shared" si="448"/>
        <v>0</v>
      </c>
      <c r="U1531">
        <f t="shared" si="449"/>
        <v>0</v>
      </c>
      <c r="V1531">
        <f t="shared" si="450"/>
        <v>0</v>
      </c>
      <c r="W1531" t="s">
        <v>39</v>
      </c>
      <c r="X1531">
        <f t="shared" si="451"/>
        <v>1</v>
      </c>
      <c r="Y1531">
        <f t="shared" si="452"/>
        <v>0</v>
      </c>
      <c r="Z1531">
        <v>2</v>
      </c>
      <c r="AA1531">
        <f t="shared" si="453"/>
        <v>0.25</v>
      </c>
      <c r="AB1531" t="s">
        <v>46</v>
      </c>
      <c r="AC1531">
        <f t="shared" si="454"/>
        <v>0</v>
      </c>
      <c r="AD1531">
        <f t="shared" si="455"/>
        <v>0</v>
      </c>
      <c r="AE1531" t="s">
        <v>41</v>
      </c>
      <c r="AF1531">
        <f>IF(AE1531="website",1,0)</f>
        <v>1</v>
      </c>
    </row>
    <row r="1532" spans="1:32">
      <c r="A1532" t="s">
        <v>2181</v>
      </c>
      <c r="B1532" t="s">
        <v>33</v>
      </c>
      <c r="C1532" s="3">
        <f t="shared" si="437"/>
        <v>0</v>
      </c>
      <c r="D1532">
        <f t="shared" si="438"/>
        <v>1</v>
      </c>
      <c r="E1532" t="s">
        <v>1147</v>
      </c>
      <c r="F1532" t="s">
        <v>856</v>
      </c>
      <c r="G1532" s="1">
        <v>23451</v>
      </c>
      <c r="H1532" s="2">
        <f t="shared" ca="1" si="439"/>
        <v>62</v>
      </c>
      <c r="I1532" s="2">
        <f t="shared" ca="1" si="440"/>
        <v>0.52857142857142858</v>
      </c>
      <c r="J1532" t="s">
        <v>45</v>
      </c>
      <c r="K1532" t="s">
        <v>626</v>
      </c>
      <c r="L1532">
        <f t="shared" si="441"/>
        <v>0</v>
      </c>
      <c r="M1532">
        <f t="shared" si="442"/>
        <v>0</v>
      </c>
      <c r="N1532">
        <f t="shared" si="443"/>
        <v>0</v>
      </c>
      <c r="O1532" t="s">
        <v>1117</v>
      </c>
      <c r="P1532">
        <f t="shared" si="444"/>
        <v>0</v>
      </c>
      <c r="Q1532">
        <f t="shared" si="445"/>
        <v>0</v>
      </c>
      <c r="R1532">
        <f t="shared" si="446"/>
        <v>0</v>
      </c>
      <c r="S1532">
        <f t="shared" si="447"/>
        <v>0</v>
      </c>
      <c r="T1532">
        <f t="shared" si="448"/>
        <v>0</v>
      </c>
      <c r="U1532">
        <f t="shared" si="449"/>
        <v>0</v>
      </c>
      <c r="V1532">
        <f t="shared" si="450"/>
        <v>0</v>
      </c>
      <c r="W1532" t="s">
        <v>58</v>
      </c>
      <c r="X1532">
        <f t="shared" si="451"/>
        <v>0</v>
      </c>
      <c r="Y1532">
        <f t="shared" si="452"/>
        <v>1</v>
      </c>
      <c r="Z1532">
        <v>2</v>
      </c>
      <c r="AA1532">
        <f t="shared" si="453"/>
        <v>0.25</v>
      </c>
      <c r="AB1532" t="s">
        <v>46</v>
      </c>
      <c r="AC1532">
        <f t="shared" si="454"/>
        <v>0</v>
      </c>
      <c r="AD1532">
        <f t="shared" si="455"/>
        <v>0</v>
      </c>
      <c r="AE1532" t="s">
        <v>41</v>
      </c>
      <c r="AF1532">
        <f>IF(AE1532="website",1,0)</f>
        <v>1</v>
      </c>
    </row>
    <row r="1533" spans="1:32">
      <c r="A1533" t="s">
        <v>2182</v>
      </c>
      <c r="B1533" t="s">
        <v>33</v>
      </c>
      <c r="C1533" s="3">
        <f t="shared" si="437"/>
        <v>0</v>
      </c>
      <c r="D1533">
        <f t="shared" si="438"/>
        <v>1</v>
      </c>
      <c r="E1533" t="s">
        <v>637</v>
      </c>
      <c r="F1533" t="s">
        <v>757</v>
      </c>
      <c r="G1533" s="1">
        <v>36064</v>
      </c>
      <c r="H1533" s="2">
        <f t="shared" ca="1" si="439"/>
        <v>28</v>
      </c>
      <c r="I1533" s="2">
        <f t="shared" ca="1" si="440"/>
        <v>4.2857142857142858E-2</v>
      </c>
      <c r="J1533" t="s">
        <v>36</v>
      </c>
      <c r="K1533" t="s">
        <v>37</v>
      </c>
      <c r="L1533">
        <f t="shared" si="441"/>
        <v>1</v>
      </c>
      <c r="M1533">
        <f t="shared" si="442"/>
        <v>0</v>
      </c>
      <c r="N1533">
        <f t="shared" si="443"/>
        <v>0</v>
      </c>
      <c r="O1533" t="s">
        <v>592</v>
      </c>
      <c r="P1533">
        <f t="shared" si="444"/>
        <v>0</v>
      </c>
      <c r="Q1533">
        <f t="shared" si="445"/>
        <v>0</v>
      </c>
      <c r="R1533">
        <f t="shared" si="446"/>
        <v>0</v>
      </c>
      <c r="S1533">
        <f t="shared" si="447"/>
        <v>0</v>
      </c>
      <c r="T1533">
        <f t="shared" si="448"/>
        <v>0</v>
      </c>
      <c r="U1533">
        <f t="shared" si="449"/>
        <v>0</v>
      </c>
      <c r="V1533">
        <f t="shared" si="450"/>
        <v>0</v>
      </c>
      <c r="W1533" t="s">
        <v>39</v>
      </c>
      <c r="X1533">
        <f t="shared" si="451"/>
        <v>1</v>
      </c>
      <c r="Y1533">
        <f t="shared" si="452"/>
        <v>0</v>
      </c>
      <c r="Z1533">
        <v>3</v>
      </c>
      <c r="AA1533">
        <f t="shared" si="453"/>
        <v>0.5</v>
      </c>
      <c r="AB1533" t="s">
        <v>40</v>
      </c>
      <c r="AC1533">
        <f t="shared" si="454"/>
        <v>0</v>
      </c>
      <c r="AD1533">
        <f t="shared" si="455"/>
        <v>0</v>
      </c>
      <c r="AE1533" t="s">
        <v>41</v>
      </c>
      <c r="AF1533">
        <f>IF(AE1533="website",1,0)</f>
        <v>1</v>
      </c>
    </row>
    <row r="1534" spans="1:32">
      <c r="A1534" t="s">
        <v>2183</v>
      </c>
      <c r="B1534" t="s">
        <v>33</v>
      </c>
      <c r="C1534" s="3">
        <f t="shared" si="437"/>
        <v>0</v>
      </c>
      <c r="D1534">
        <f t="shared" si="438"/>
        <v>1</v>
      </c>
      <c r="E1534" t="s">
        <v>761</v>
      </c>
      <c r="F1534" t="s">
        <v>773</v>
      </c>
      <c r="G1534" s="1">
        <v>32421</v>
      </c>
      <c r="H1534" s="2">
        <f t="shared" ca="1" si="439"/>
        <v>38</v>
      </c>
      <c r="I1534" s="2">
        <f t="shared" ca="1" si="440"/>
        <v>0.18571428571428572</v>
      </c>
      <c r="J1534" t="s">
        <v>45</v>
      </c>
      <c r="K1534" t="s">
        <v>65</v>
      </c>
      <c r="L1534">
        <f t="shared" si="441"/>
        <v>0</v>
      </c>
      <c r="M1534">
        <f t="shared" si="442"/>
        <v>1</v>
      </c>
      <c r="N1534">
        <f t="shared" si="443"/>
        <v>0</v>
      </c>
      <c r="O1534" t="s">
        <v>642</v>
      </c>
      <c r="P1534">
        <f t="shared" si="444"/>
        <v>0</v>
      </c>
      <c r="Q1534">
        <f t="shared" si="445"/>
        <v>0</v>
      </c>
      <c r="R1534">
        <f t="shared" si="446"/>
        <v>0</v>
      </c>
      <c r="S1534">
        <f t="shared" si="447"/>
        <v>0</v>
      </c>
      <c r="T1534">
        <f t="shared" si="448"/>
        <v>0</v>
      </c>
      <c r="U1534">
        <f t="shared" si="449"/>
        <v>0</v>
      </c>
      <c r="V1534">
        <f t="shared" si="450"/>
        <v>0</v>
      </c>
      <c r="W1534" t="s">
        <v>39</v>
      </c>
      <c r="X1534">
        <f t="shared" si="451"/>
        <v>1</v>
      </c>
      <c r="Y1534">
        <f t="shared" si="452"/>
        <v>0</v>
      </c>
      <c r="Z1534">
        <v>4</v>
      </c>
      <c r="AA1534">
        <f t="shared" si="453"/>
        <v>0.75</v>
      </c>
      <c r="AB1534" t="s">
        <v>46</v>
      </c>
      <c r="AC1534">
        <f t="shared" si="454"/>
        <v>1</v>
      </c>
      <c r="AD1534">
        <f t="shared" si="455"/>
        <v>0</v>
      </c>
      <c r="AE1534" t="s">
        <v>50</v>
      </c>
      <c r="AF1534">
        <f>IF(AE1534="website",1,0)</f>
        <v>0</v>
      </c>
    </row>
    <row r="1535" spans="1:32">
      <c r="A1535" t="s">
        <v>2184</v>
      </c>
      <c r="B1535" t="s">
        <v>33</v>
      </c>
      <c r="C1535" s="3">
        <f t="shared" si="437"/>
        <v>0</v>
      </c>
      <c r="D1535">
        <f t="shared" si="438"/>
        <v>1</v>
      </c>
      <c r="E1535" t="s">
        <v>1370</v>
      </c>
      <c r="F1535" t="s">
        <v>599</v>
      </c>
      <c r="G1535" s="1">
        <v>35224</v>
      </c>
      <c r="H1535" s="2">
        <f t="shared" ca="1" si="439"/>
        <v>30</v>
      </c>
      <c r="I1535" s="2">
        <f t="shared" ca="1" si="440"/>
        <v>7.1428571428571425E-2</v>
      </c>
      <c r="J1535" t="s">
        <v>36</v>
      </c>
      <c r="K1535" t="s">
        <v>37</v>
      </c>
      <c r="L1535">
        <f t="shared" si="441"/>
        <v>1</v>
      </c>
      <c r="M1535">
        <f t="shared" si="442"/>
        <v>0</v>
      </c>
      <c r="N1535">
        <f t="shared" si="443"/>
        <v>0</v>
      </c>
      <c r="O1535" t="s">
        <v>38</v>
      </c>
      <c r="P1535">
        <f t="shared" si="444"/>
        <v>1</v>
      </c>
      <c r="Q1535">
        <f t="shared" si="445"/>
        <v>0</v>
      </c>
      <c r="R1535">
        <f t="shared" si="446"/>
        <v>0</v>
      </c>
      <c r="S1535">
        <f t="shared" si="447"/>
        <v>0</v>
      </c>
      <c r="T1535">
        <f t="shared" si="448"/>
        <v>0</v>
      </c>
      <c r="U1535">
        <f t="shared" si="449"/>
        <v>0</v>
      </c>
      <c r="V1535">
        <f t="shared" si="450"/>
        <v>0</v>
      </c>
      <c r="W1535" t="s">
        <v>39</v>
      </c>
      <c r="X1535">
        <f t="shared" si="451"/>
        <v>1</v>
      </c>
      <c r="Y1535">
        <f t="shared" si="452"/>
        <v>0</v>
      </c>
      <c r="Z1535">
        <v>4</v>
      </c>
      <c r="AA1535">
        <f t="shared" si="453"/>
        <v>0.75</v>
      </c>
      <c r="AB1535" t="s">
        <v>40</v>
      </c>
      <c r="AC1535">
        <f t="shared" si="454"/>
        <v>0</v>
      </c>
      <c r="AD1535">
        <f t="shared" si="455"/>
        <v>0</v>
      </c>
      <c r="AE1535" t="s">
        <v>41</v>
      </c>
      <c r="AF1535">
        <f>IF(AE1535="website",1,0)</f>
        <v>1</v>
      </c>
    </row>
    <row r="1536" spans="1:32">
      <c r="A1536" t="s">
        <v>2185</v>
      </c>
      <c r="B1536" t="s">
        <v>33</v>
      </c>
      <c r="C1536" s="3">
        <f t="shared" si="437"/>
        <v>0</v>
      </c>
      <c r="D1536">
        <f t="shared" si="438"/>
        <v>1</v>
      </c>
      <c r="E1536" t="s">
        <v>2186</v>
      </c>
      <c r="F1536" t="s">
        <v>691</v>
      </c>
      <c r="G1536" s="1">
        <v>34580</v>
      </c>
      <c r="H1536" s="2">
        <f t="shared" ca="1" si="439"/>
        <v>32</v>
      </c>
      <c r="I1536" s="2">
        <f t="shared" ca="1" si="440"/>
        <v>0.1</v>
      </c>
      <c r="J1536" t="s">
        <v>45</v>
      </c>
      <c r="K1536" t="s">
        <v>248</v>
      </c>
      <c r="L1536">
        <f t="shared" si="441"/>
        <v>0</v>
      </c>
      <c r="M1536">
        <f t="shared" si="442"/>
        <v>0</v>
      </c>
      <c r="N1536">
        <f t="shared" si="443"/>
        <v>0</v>
      </c>
      <c r="O1536" t="s">
        <v>582</v>
      </c>
      <c r="P1536">
        <f t="shared" si="444"/>
        <v>0</v>
      </c>
      <c r="Q1536">
        <f t="shared" si="445"/>
        <v>0</v>
      </c>
      <c r="R1536">
        <f t="shared" si="446"/>
        <v>0</v>
      </c>
      <c r="S1536">
        <f t="shared" si="447"/>
        <v>0</v>
      </c>
      <c r="T1536">
        <f t="shared" si="448"/>
        <v>0</v>
      </c>
      <c r="U1536">
        <f t="shared" si="449"/>
        <v>0</v>
      </c>
      <c r="V1536">
        <f t="shared" si="450"/>
        <v>0</v>
      </c>
      <c r="W1536" t="s">
        <v>58</v>
      </c>
      <c r="X1536">
        <f t="shared" si="451"/>
        <v>0</v>
      </c>
      <c r="Y1536">
        <f t="shared" si="452"/>
        <v>1</v>
      </c>
      <c r="Z1536">
        <v>3</v>
      </c>
      <c r="AA1536">
        <f t="shared" si="453"/>
        <v>0.5</v>
      </c>
      <c r="AB1536" t="s">
        <v>46</v>
      </c>
      <c r="AC1536">
        <f t="shared" si="454"/>
        <v>1</v>
      </c>
      <c r="AD1536">
        <f t="shared" si="455"/>
        <v>0</v>
      </c>
      <c r="AE1536" t="s">
        <v>50</v>
      </c>
      <c r="AF1536">
        <f>IF(AE1536="website",1,0)</f>
        <v>0</v>
      </c>
    </row>
    <row r="1537" spans="1:32">
      <c r="A1537" t="s">
        <v>2187</v>
      </c>
      <c r="B1537" t="s">
        <v>33</v>
      </c>
      <c r="C1537" s="3">
        <f t="shared" si="437"/>
        <v>0</v>
      </c>
      <c r="D1537">
        <f t="shared" si="438"/>
        <v>1</v>
      </c>
      <c r="E1537" t="s">
        <v>759</v>
      </c>
      <c r="F1537" t="s">
        <v>728</v>
      </c>
      <c r="G1537" s="1">
        <v>30107</v>
      </c>
      <c r="H1537" s="2">
        <f t="shared" ca="1" si="439"/>
        <v>44</v>
      </c>
      <c r="I1537" s="2">
        <f t="shared" ca="1" si="440"/>
        <v>0.27142857142857141</v>
      </c>
      <c r="J1537" t="s">
        <v>36</v>
      </c>
      <c r="K1537" t="s">
        <v>37</v>
      </c>
      <c r="L1537">
        <f t="shared" si="441"/>
        <v>1</v>
      </c>
      <c r="M1537">
        <f t="shared" si="442"/>
        <v>0</v>
      </c>
      <c r="N1537">
        <f t="shared" si="443"/>
        <v>0</v>
      </c>
      <c r="O1537" t="s">
        <v>565</v>
      </c>
      <c r="P1537">
        <f t="shared" si="444"/>
        <v>0</v>
      </c>
      <c r="Q1537">
        <f t="shared" si="445"/>
        <v>0</v>
      </c>
      <c r="R1537">
        <f t="shared" si="446"/>
        <v>0</v>
      </c>
      <c r="S1537">
        <f t="shared" si="447"/>
        <v>0</v>
      </c>
      <c r="T1537">
        <f t="shared" si="448"/>
        <v>0</v>
      </c>
      <c r="U1537">
        <f t="shared" si="449"/>
        <v>0</v>
      </c>
      <c r="V1537">
        <f t="shared" si="450"/>
        <v>0</v>
      </c>
      <c r="W1537" t="s">
        <v>39</v>
      </c>
      <c r="X1537">
        <f t="shared" si="451"/>
        <v>1</v>
      </c>
      <c r="Y1537">
        <f t="shared" si="452"/>
        <v>0</v>
      </c>
      <c r="Z1537">
        <v>3</v>
      </c>
      <c r="AA1537">
        <f t="shared" si="453"/>
        <v>0.5</v>
      </c>
      <c r="AB1537" t="s">
        <v>46</v>
      </c>
      <c r="AC1537">
        <f t="shared" si="454"/>
        <v>0</v>
      </c>
      <c r="AD1537">
        <f t="shared" si="455"/>
        <v>0</v>
      </c>
      <c r="AE1537" t="s">
        <v>41</v>
      </c>
      <c r="AF1537">
        <f>IF(AE1537="website",1,0)</f>
        <v>1</v>
      </c>
    </row>
    <row r="1538" spans="1:32">
      <c r="A1538" t="s">
        <v>2188</v>
      </c>
      <c r="B1538" t="s">
        <v>33</v>
      </c>
      <c r="C1538" s="3">
        <f t="shared" ref="C1538:C1601" si="456">IF(B1538="company",1,0)</f>
        <v>0</v>
      </c>
      <c r="D1538">
        <f t="shared" ref="D1538:D1601" si="457">IF(B1538="individual",1,0)</f>
        <v>1</v>
      </c>
      <c r="E1538" t="s">
        <v>845</v>
      </c>
      <c r="F1538" t="s">
        <v>674</v>
      </c>
      <c r="G1538" s="1">
        <v>36376</v>
      </c>
      <c r="H1538" s="2">
        <f t="shared" ref="H1538:H1601" ca="1" si="458">DATEDIF(G1538,TODAY(),"Y")</f>
        <v>27</v>
      </c>
      <c r="I1538" s="2">
        <f t="shared" ref="I1538:I1601" ca="1" si="459">(H1538-MIN(H:H))/(MAX(H:H)-MIN(H:H))</f>
        <v>2.8571428571428571E-2</v>
      </c>
      <c r="J1538" t="s">
        <v>36</v>
      </c>
      <c r="K1538" t="s">
        <v>37</v>
      </c>
      <c r="L1538">
        <f t="shared" ref="L1538:L1601" si="460">IF(K1538="usa",1,0)</f>
        <v>1</v>
      </c>
      <c r="M1538">
        <f t="shared" ref="M1538:M1601" si="461">IF(K1538="canada",1,0)</f>
        <v>0</v>
      </c>
      <c r="N1538">
        <f t="shared" ref="N1538:N1601" si="462">IF(K1538="germany",1,0)</f>
        <v>0</v>
      </c>
      <c r="O1538" t="s">
        <v>97</v>
      </c>
      <c r="P1538">
        <f t="shared" ref="P1538:P1601" si="463">IF(O1538="california",1,0)</f>
        <v>0</v>
      </c>
      <c r="Q1538">
        <f t="shared" ref="Q1538:Q1601" si="464">IF(O1538="oregon",1,0)</f>
        <v>0</v>
      </c>
      <c r="R1538">
        <f t="shared" ref="R1538:R1601" si="465">IF(O1538="quebec",1,0)</f>
        <v>0</v>
      </c>
      <c r="S1538">
        <f t="shared" ref="S1538:S1601" si="466">IF(O1538="berlin",1,0)</f>
        <v>0</v>
      </c>
      <c r="T1538">
        <f t="shared" ref="T1538:T1601" si="467">IF(O1538="arizona",1,0)</f>
        <v>1</v>
      </c>
      <c r="U1538">
        <f t="shared" ref="U1538:U1601" si="468">IF(O1538="nevada",1,0)</f>
        <v>0</v>
      </c>
      <c r="V1538">
        <f t="shared" ref="V1538:V1601" si="469">IF(O1538="colardo",1,0)</f>
        <v>0</v>
      </c>
      <c r="W1538" t="s">
        <v>39</v>
      </c>
      <c r="X1538">
        <f t="shared" ref="X1538:X1601" si="470">IF(W1538="home",1,0)</f>
        <v>1</v>
      </c>
      <c r="Y1538">
        <f t="shared" ref="Y1538:Y1601" si="471">IF(W1538="investment",1,0)</f>
        <v>0</v>
      </c>
      <c r="Z1538">
        <v>5</v>
      </c>
      <c r="AA1538">
        <f t="shared" ref="AA1538:AA1601" si="472">(Z1538-1)/4</f>
        <v>1</v>
      </c>
      <c r="AB1538" t="s">
        <v>46</v>
      </c>
      <c r="AC1538">
        <f t="shared" ref="AC1538:AC1601" si="473">IF(AE1538="agency",1,0)</f>
        <v>0</v>
      </c>
      <c r="AD1538">
        <f t="shared" ref="AD1538:AD1601" si="474">IF(AE1538="client",1,0)</f>
        <v>0</v>
      </c>
      <c r="AE1538" t="s">
        <v>41</v>
      </c>
      <c r="AF1538">
        <f>IF(AE1538="website",1,0)</f>
        <v>1</v>
      </c>
    </row>
    <row r="1539" spans="1:32">
      <c r="A1539" t="s">
        <v>2189</v>
      </c>
      <c r="B1539" t="s">
        <v>33</v>
      </c>
      <c r="C1539" s="3">
        <f t="shared" si="456"/>
        <v>0</v>
      </c>
      <c r="D1539">
        <f t="shared" si="457"/>
        <v>1</v>
      </c>
      <c r="E1539" t="s">
        <v>968</v>
      </c>
      <c r="F1539" t="s">
        <v>607</v>
      </c>
      <c r="G1539" s="1">
        <v>17174</v>
      </c>
      <c r="H1539" s="2">
        <f t="shared" ca="1" si="458"/>
        <v>79</v>
      </c>
      <c r="I1539" s="2">
        <f t="shared" ca="1" si="459"/>
        <v>0.77142857142857146</v>
      </c>
      <c r="J1539" t="s">
        <v>36</v>
      </c>
      <c r="K1539" t="s">
        <v>37</v>
      </c>
      <c r="L1539">
        <f t="shared" si="460"/>
        <v>1</v>
      </c>
      <c r="M1539">
        <f t="shared" si="461"/>
        <v>0</v>
      </c>
      <c r="N1539">
        <f t="shared" si="462"/>
        <v>0</v>
      </c>
      <c r="O1539" t="s">
        <v>38</v>
      </c>
      <c r="P1539">
        <f t="shared" si="463"/>
        <v>1</v>
      </c>
      <c r="Q1539">
        <f t="shared" si="464"/>
        <v>0</v>
      </c>
      <c r="R1539">
        <f t="shared" si="465"/>
        <v>0</v>
      </c>
      <c r="S1539">
        <f t="shared" si="466"/>
        <v>0</v>
      </c>
      <c r="T1539">
        <f t="shared" si="467"/>
        <v>0</v>
      </c>
      <c r="U1539">
        <f t="shared" si="468"/>
        <v>0</v>
      </c>
      <c r="V1539">
        <f t="shared" si="469"/>
        <v>0</v>
      </c>
      <c r="W1539" t="s">
        <v>58</v>
      </c>
      <c r="X1539">
        <f t="shared" si="470"/>
        <v>0</v>
      </c>
      <c r="Y1539">
        <f t="shared" si="471"/>
        <v>1</v>
      </c>
      <c r="Z1539">
        <v>5</v>
      </c>
      <c r="AA1539">
        <f t="shared" si="472"/>
        <v>1</v>
      </c>
      <c r="AB1539" t="s">
        <v>46</v>
      </c>
      <c r="AC1539">
        <f t="shared" si="473"/>
        <v>0</v>
      </c>
      <c r="AD1539">
        <f t="shared" si="474"/>
        <v>0</v>
      </c>
      <c r="AE1539" t="s">
        <v>41</v>
      </c>
      <c r="AF1539">
        <f>IF(AE1539="website",1,0)</f>
        <v>1</v>
      </c>
    </row>
    <row r="1540" spans="1:32">
      <c r="A1540" t="s">
        <v>2190</v>
      </c>
      <c r="B1540" t="s">
        <v>33</v>
      </c>
      <c r="C1540" s="3">
        <f t="shared" si="456"/>
        <v>0</v>
      </c>
      <c r="D1540">
        <f t="shared" si="457"/>
        <v>1</v>
      </c>
      <c r="E1540" t="s">
        <v>329</v>
      </c>
      <c r="F1540" t="s">
        <v>247</v>
      </c>
      <c r="G1540" s="1">
        <v>35563</v>
      </c>
      <c r="H1540" s="2">
        <f t="shared" ca="1" si="458"/>
        <v>29</v>
      </c>
      <c r="I1540" s="2">
        <f t="shared" ca="1" si="459"/>
        <v>5.7142857142857141E-2</v>
      </c>
      <c r="J1540" t="s">
        <v>45</v>
      </c>
      <c r="K1540" t="s">
        <v>37</v>
      </c>
      <c r="L1540">
        <f t="shared" si="460"/>
        <v>1</v>
      </c>
      <c r="M1540">
        <f t="shared" si="461"/>
        <v>0</v>
      </c>
      <c r="N1540">
        <f t="shared" si="462"/>
        <v>0</v>
      </c>
      <c r="O1540" t="s">
        <v>124</v>
      </c>
      <c r="P1540">
        <f t="shared" si="463"/>
        <v>0</v>
      </c>
      <c r="Q1540">
        <f t="shared" si="464"/>
        <v>0</v>
      </c>
      <c r="R1540">
        <f t="shared" si="465"/>
        <v>0</v>
      </c>
      <c r="S1540">
        <f t="shared" si="466"/>
        <v>0</v>
      </c>
      <c r="T1540">
        <f t="shared" si="467"/>
        <v>0</v>
      </c>
      <c r="U1540">
        <f t="shared" si="468"/>
        <v>1</v>
      </c>
      <c r="V1540">
        <f t="shared" si="469"/>
        <v>0</v>
      </c>
      <c r="W1540" t="s">
        <v>39</v>
      </c>
      <c r="X1540">
        <f t="shared" si="470"/>
        <v>1</v>
      </c>
      <c r="Y1540">
        <f t="shared" si="471"/>
        <v>0</v>
      </c>
      <c r="Z1540">
        <v>1</v>
      </c>
      <c r="AA1540">
        <f t="shared" si="472"/>
        <v>0</v>
      </c>
      <c r="AB1540" t="s">
        <v>46</v>
      </c>
      <c r="AC1540">
        <f t="shared" si="473"/>
        <v>1</v>
      </c>
      <c r="AD1540">
        <f t="shared" si="474"/>
        <v>0</v>
      </c>
      <c r="AE1540" t="s">
        <v>50</v>
      </c>
      <c r="AF1540">
        <f>IF(AE1540="website",1,0)</f>
        <v>0</v>
      </c>
    </row>
    <row r="1541" spans="1:32">
      <c r="A1541" t="s">
        <v>2191</v>
      </c>
      <c r="B1541" t="s">
        <v>33</v>
      </c>
      <c r="C1541" s="3">
        <f t="shared" si="456"/>
        <v>0</v>
      </c>
      <c r="D1541">
        <f t="shared" si="457"/>
        <v>1</v>
      </c>
      <c r="E1541" t="s">
        <v>832</v>
      </c>
      <c r="F1541" t="s">
        <v>856</v>
      </c>
      <c r="G1541" s="1">
        <v>21156</v>
      </c>
      <c r="H1541" s="2">
        <f t="shared" ca="1" si="458"/>
        <v>68</v>
      </c>
      <c r="I1541" s="2">
        <f t="shared" ca="1" si="459"/>
        <v>0.61428571428571432</v>
      </c>
      <c r="J1541" t="s">
        <v>45</v>
      </c>
      <c r="K1541" t="s">
        <v>37</v>
      </c>
      <c r="L1541">
        <f t="shared" si="460"/>
        <v>1</v>
      </c>
      <c r="M1541">
        <f t="shared" si="461"/>
        <v>0</v>
      </c>
      <c r="N1541">
        <f t="shared" si="462"/>
        <v>0</v>
      </c>
      <c r="O1541" t="s">
        <v>38</v>
      </c>
      <c r="P1541">
        <f t="shared" si="463"/>
        <v>1</v>
      </c>
      <c r="Q1541">
        <f t="shared" si="464"/>
        <v>0</v>
      </c>
      <c r="R1541">
        <f t="shared" si="465"/>
        <v>0</v>
      </c>
      <c r="S1541">
        <f t="shared" si="466"/>
        <v>0</v>
      </c>
      <c r="T1541">
        <f t="shared" si="467"/>
        <v>0</v>
      </c>
      <c r="U1541">
        <f t="shared" si="468"/>
        <v>0</v>
      </c>
      <c r="V1541">
        <f t="shared" si="469"/>
        <v>0</v>
      </c>
      <c r="W1541" t="s">
        <v>39</v>
      </c>
      <c r="X1541">
        <f t="shared" si="470"/>
        <v>1</v>
      </c>
      <c r="Y1541">
        <f t="shared" si="471"/>
        <v>0</v>
      </c>
      <c r="Z1541">
        <v>2</v>
      </c>
      <c r="AA1541">
        <f t="shared" si="472"/>
        <v>0.25</v>
      </c>
      <c r="AB1541" t="s">
        <v>40</v>
      </c>
      <c r="AC1541">
        <f t="shared" si="473"/>
        <v>0</v>
      </c>
      <c r="AD1541">
        <f t="shared" si="474"/>
        <v>1</v>
      </c>
      <c r="AE1541" t="s">
        <v>90</v>
      </c>
      <c r="AF1541">
        <f>IF(AE1541="website",1,0)</f>
        <v>0</v>
      </c>
    </row>
    <row r="1542" spans="1:32">
      <c r="A1542" t="s">
        <v>2192</v>
      </c>
      <c r="B1542" t="s">
        <v>33</v>
      </c>
      <c r="C1542" s="3">
        <f t="shared" si="456"/>
        <v>0</v>
      </c>
      <c r="D1542">
        <f t="shared" si="457"/>
        <v>1</v>
      </c>
      <c r="E1542" t="s">
        <v>744</v>
      </c>
      <c r="F1542" t="s">
        <v>613</v>
      </c>
      <c r="G1542" s="1">
        <v>23701</v>
      </c>
      <c r="H1542" s="2">
        <f t="shared" ca="1" si="458"/>
        <v>61</v>
      </c>
      <c r="I1542" s="2">
        <f t="shared" ca="1" si="459"/>
        <v>0.51428571428571423</v>
      </c>
      <c r="J1542" t="s">
        <v>45</v>
      </c>
      <c r="K1542" t="s">
        <v>37</v>
      </c>
      <c r="L1542">
        <f t="shared" si="460"/>
        <v>1</v>
      </c>
      <c r="M1542">
        <f t="shared" si="461"/>
        <v>0</v>
      </c>
      <c r="N1542">
        <f t="shared" si="462"/>
        <v>0</v>
      </c>
      <c r="O1542" t="s">
        <v>38</v>
      </c>
      <c r="P1542">
        <f t="shared" si="463"/>
        <v>1</v>
      </c>
      <c r="Q1542">
        <f t="shared" si="464"/>
        <v>0</v>
      </c>
      <c r="R1542">
        <f t="shared" si="465"/>
        <v>0</v>
      </c>
      <c r="S1542">
        <f t="shared" si="466"/>
        <v>0</v>
      </c>
      <c r="T1542">
        <f t="shared" si="467"/>
        <v>0</v>
      </c>
      <c r="U1542">
        <f t="shared" si="468"/>
        <v>0</v>
      </c>
      <c r="V1542">
        <f t="shared" si="469"/>
        <v>0</v>
      </c>
      <c r="W1542" t="s">
        <v>39</v>
      </c>
      <c r="X1542">
        <f t="shared" si="470"/>
        <v>1</v>
      </c>
      <c r="Y1542">
        <f t="shared" si="471"/>
        <v>0</v>
      </c>
      <c r="Z1542">
        <v>2</v>
      </c>
      <c r="AA1542">
        <f t="shared" si="472"/>
        <v>0.25</v>
      </c>
      <c r="AB1542" t="s">
        <v>46</v>
      </c>
      <c r="AC1542">
        <f t="shared" si="473"/>
        <v>0</v>
      </c>
      <c r="AD1542">
        <f t="shared" si="474"/>
        <v>0</v>
      </c>
      <c r="AE1542" t="s">
        <v>41</v>
      </c>
      <c r="AF1542">
        <f>IF(AE1542="website",1,0)</f>
        <v>1</v>
      </c>
    </row>
    <row r="1543" spans="1:32">
      <c r="A1543" t="s">
        <v>2193</v>
      </c>
      <c r="B1543" t="s">
        <v>33</v>
      </c>
      <c r="C1543" s="3">
        <f t="shared" si="456"/>
        <v>0</v>
      </c>
      <c r="D1543">
        <f t="shared" si="457"/>
        <v>1</v>
      </c>
      <c r="E1543" t="s">
        <v>1073</v>
      </c>
      <c r="F1543" t="s">
        <v>876</v>
      </c>
      <c r="G1543" s="1">
        <v>32716</v>
      </c>
      <c r="H1543" s="2">
        <f t="shared" ca="1" si="458"/>
        <v>37</v>
      </c>
      <c r="I1543" s="2">
        <f t="shared" ca="1" si="459"/>
        <v>0.17142857142857143</v>
      </c>
      <c r="J1543" t="s">
        <v>45</v>
      </c>
      <c r="K1543" t="s">
        <v>37</v>
      </c>
      <c r="L1543">
        <f t="shared" si="460"/>
        <v>1</v>
      </c>
      <c r="M1543">
        <f t="shared" si="461"/>
        <v>0</v>
      </c>
      <c r="N1543">
        <f t="shared" si="462"/>
        <v>0</v>
      </c>
      <c r="O1543" t="s">
        <v>124</v>
      </c>
      <c r="P1543">
        <f t="shared" si="463"/>
        <v>0</v>
      </c>
      <c r="Q1543">
        <f t="shared" si="464"/>
        <v>0</v>
      </c>
      <c r="R1543">
        <f t="shared" si="465"/>
        <v>0</v>
      </c>
      <c r="S1543">
        <f t="shared" si="466"/>
        <v>0</v>
      </c>
      <c r="T1543">
        <f t="shared" si="467"/>
        <v>0</v>
      </c>
      <c r="U1543">
        <f t="shared" si="468"/>
        <v>1</v>
      </c>
      <c r="V1543">
        <f t="shared" si="469"/>
        <v>0</v>
      </c>
      <c r="W1543" t="s">
        <v>39</v>
      </c>
      <c r="X1543">
        <f t="shared" si="470"/>
        <v>1</v>
      </c>
      <c r="Y1543">
        <f t="shared" si="471"/>
        <v>0</v>
      </c>
      <c r="Z1543">
        <v>1</v>
      </c>
      <c r="AA1543">
        <f t="shared" si="472"/>
        <v>0</v>
      </c>
      <c r="AB1543" t="s">
        <v>40</v>
      </c>
      <c r="AC1543">
        <f t="shared" si="473"/>
        <v>0</v>
      </c>
      <c r="AD1543">
        <f t="shared" si="474"/>
        <v>0</v>
      </c>
      <c r="AE1543" t="s">
        <v>41</v>
      </c>
      <c r="AF1543">
        <f>IF(AE1543="website",1,0)</f>
        <v>1</v>
      </c>
    </row>
    <row r="1544" spans="1:32">
      <c r="A1544" t="s">
        <v>2194</v>
      </c>
      <c r="B1544" t="s">
        <v>33</v>
      </c>
      <c r="C1544" s="3">
        <f t="shared" si="456"/>
        <v>0</v>
      </c>
      <c r="D1544">
        <f t="shared" si="457"/>
        <v>1</v>
      </c>
      <c r="E1544" t="s">
        <v>305</v>
      </c>
      <c r="F1544" t="s">
        <v>591</v>
      </c>
      <c r="G1544" s="1">
        <v>20403</v>
      </c>
      <c r="H1544" s="2">
        <f t="shared" ca="1" si="458"/>
        <v>70</v>
      </c>
      <c r="I1544" s="2">
        <f t="shared" ca="1" si="459"/>
        <v>0.6428571428571429</v>
      </c>
      <c r="J1544" t="s">
        <v>36</v>
      </c>
      <c r="K1544" t="s">
        <v>37</v>
      </c>
      <c r="L1544">
        <f t="shared" si="460"/>
        <v>1</v>
      </c>
      <c r="M1544">
        <f t="shared" si="461"/>
        <v>0</v>
      </c>
      <c r="N1544">
        <f t="shared" si="462"/>
        <v>0</v>
      </c>
      <c r="O1544" t="s">
        <v>717</v>
      </c>
      <c r="P1544">
        <f t="shared" si="463"/>
        <v>0</v>
      </c>
      <c r="Q1544">
        <f t="shared" si="464"/>
        <v>0</v>
      </c>
      <c r="R1544">
        <f t="shared" si="465"/>
        <v>0</v>
      </c>
      <c r="S1544">
        <f t="shared" si="466"/>
        <v>0</v>
      </c>
      <c r="T1544">
        <f t="shared" si="467"/>
        <v>0</v>
      </c>
      <c r="U1544">
        <f t="shared" si="468"/>
        <v>0</v>
      </c>
      <c r="V1544">
        <f t="shared" si="469"/>
        <v>0</v>
      </c>
      <c r="W1544" t="s">
        <v>58</v>
      </c>
      <c r="X1544">
        <f t="shared" si="470"/>
        <v>0</v>
      </c>
      <c r="Y1544">
        <f t="shared" si="471"/>
        <v>1</v>
      </c>
      <c r="Z1544">
        <v>3</v>
      </c>
      <c r="AA1544">
        <f t="shared" si="472"/>
        <v>0.5</v>
      </c>
      <c r="AB1544" t="s">
        <v>46</v>
      </c>
      <c r="AC1544">
        <f t="shared" si="473"/>
        <v>1</v>
      </c>
      <c r="AD1544">
        <f t="shared" si="474"/>
        <v>0</v>
      </c>
      <c r="AE1544" t="s">
        <v>50</v>
      </c>
      <c r="AF1544">
        <f>IF(AE1544="website",1,0)</f>
        <v>0</v>
      </c>
    </row>
    <row r="1545" spans="1:32">
      <c r="A1545" t="s">
        <v>2195</v>
      </c>
      <c r="B1545" t="s">
        <v>33</v>
      </c>
      <c r="C1545" s="3">
        <f t="shared" si="456"/>
        <v>0</v>
      </c>
      <c r="D1545">
        <f t="shared" si="457"/>
        <v>1</v>
      </c>
      <c r="E1545" t="s">
        <v>804</v>
      </c>
      <c r="F1545" t="s">
        <v>667</v>
      </c>
      <c r="G1545" s="1">
        <v>17284</v>
      </c>
      <c r="H1545" s="2">
        <f t="shared" ca="1" si="458"/>
        <v>79</v>
      </c>
      <c r="I1545" s="2">
        <f t="shared" ca="1" si="459"/>
        <v>0.77142857142857146</v>
      </c>
      <c r="J1545" t="s">
        <v>36</v>
      </c>
      <c r="K1545" t="s">
        <v>172</v>
      </c>
      <c r="L1545">
        <f t="shared" si="460"/>
        <v>0</v>
      </c>
      <c r="M1545">
        <f t="shared" si="461"/>
        <v>0</v>
      </c>
      <c r="N1545">
        <f t="shared" si="462"/>
        <v>0</v>
      </c>
      <c r="O1545" t="s">
        <v>833</v>
      </c>
      <c r="P1545">
        <f t="shared" si="463"/>
        <v>0</v>
      </c>
      <c r="Q1545">
        <f t="shared" si="464"/>
        <v>0</v>
      </c>
      <c r="R1545">
        <f t="shared" si="465"/>
        <v>0</v>
      </c>
      <c r="S1545">
        <f t="shared" si="466"/>
        <v>0</v>
      </c>
      <c r="T1545">
        <f t="shared" si="467"/>
        <v>0</v>
      </c>
      <c r="U1545">
        <f t="shared" si="468"/>
        <v>0</v>
      </c>
      <c r="V1545">
        <f t="shared" si="469"/>
        <v>0</v>
      </c>
      <c r="W1545" t="s">
        <v>39</v>
      </c>
      <c r="X1545">
        <f t="shared" si="470"/>
        <v>1</v>
      </c>
      <c r="Y1545">
        <f t="shared" si="471"/>
        <v>0</v>
      </c>
      <c r="Z1545">
        <v>3</v>
      </c>
      <c r="AA1545">
        <f t="shared" si="472"/>
        <v>0.5</v>
      </c>
      <c r="AB1545" t="s">
        <v>46</v>
      </c>
      <c r="AC1545">
        <f t="shared" si="473"/>
        <v>0</v>
      </c>
      <c r="AD1545">
        <f t="shared" si="474"/>
        <v>0</v>
      </c>
      <c r="AE1545" t="s">
        <v>41</v>
      </c>
      <c r="AF1545">
        <f>IF(AE1545="website",1,0)</f>
        <v>1</v>
      </c>
    </row>
    <row r="1546" spans="1:32">
      <c r="A1546" t="s">
        <v>2196</v>
      </c>
      <c r="B1546" t="s">
        <v>33</v>
      </c>
      <c r="C1546" s="3">
        <f t="shared" si="456"/>
        <v>0</v>
      </c>
      <c r="D1546">
        <f t="shared" si="457"/>
        <v>1</v>
      </c>
      <c r="E1546" t="s">
        <v>753</v>
      </c>
      <c r="F1546" t="s">
        <v>664</v>
      </c>
      <c r="G1546" s="1">
        <v>33931</v>
      </c>
      <c r="H1546" s="2">
        <f t="shared" ca="1" si="458"/>
        <v>33</v>
      </c>
      <c r="I1546" s="2">
        <f t="shared" ca="1" si="459"/>
        <v>0.11428571428571428</v>
      </c>
      <c r="J1546" t="s">
        <v>36</v>
      </c>
      <c r="K1546" t="s">
        <v>37</v>
      </c>
      <c r="L1546">
        <f t="shared" si="460"/>
        <v>1</v>
      </c>
      <c r="M1546">
        <f t="shared" si="461"/>
        <v>0</v>
      </c>
      <c r="N1546">
        <f t="shared" si="462"/>
        <v>0</v>
      </c>
      <c r="O1546" t="s">
        <v>38</v>
      </c>
      <c r="P1546">
        <f t="shared" si="463"/>
        <v>1</v>
      </c>
      <c r="Q1546">
        <f t="shared" si="464"/>
        <v>0</v>
      </c>
      <c r="R1546">
        <f t="shared" si="465"/>
        <v>0</v>
      </c>
      <c r="S1546">
        <f t="shared" si="466"/>
        <v>0</v>
      </c>
      <c r="T1546">
        <f t="shared" si="467"/>
        <v>0</v>
      </c>
      <c r="U1546">
        <f t="shared" si="468"/>
        <v>0</v>
      </c>
      <c r="V1546">
        <f t="shared" si="469"/>
        <v>0</v>
      </c>
      <c r="W1546" t="s">
        <v>58</v>
      </c>
      <c r="X1546">
        <f t="shared" si="470"/>
        <v>0</v>
      </c>
      <c r="Y1546">
        <f t="shared" si="471"/>
        <v>1</v>
      </c>
      <c r="Z1546">
        <v>1</v>
      </c>
      <c r="AA1546">
        <f t="shared" si="472"/>
        <v>0</v>
      </c>
      <c r="AB1546" t="s">
        <v>40</v>
      </c>
      <c r="AC1546">
        <f t="shared" si="473"/>
        <v>0</v>
      </c>
      <c r="AD1546">
        <f t="shared" si="474"/>
        <v>0</v>
      </c>
      <c r="AE1546" t="s">
        <v>41</v>
      </c>
      <c r="AF1546">
        <f>IF(AE1546="website",1,0)</f>
        <v>1</v>
      </c>
    </row>
    <row r="1547" spans="1:32">
      <c r="A1547" t="s">
        <v>2197</v>
      </c>
      <c r="B1547" t="s">
        <v>33</v>
      </c>
      <c r="C1547" s="3">
        <f t="shared" si="456"/>
        <v>0</v>
      </c>
      <c r="D1547">
        <f t="shared" si="457"/>
        <v>1</v>
      </c>
      <c r="E1547" t="s">
        <v>581</v>
      </c>
      <c r="F1547" t="s">
        <v>941</v>
      </c>
      <c r="G1547" s="1">
        <v>24264</v>
      </c>
      <c r="H1547" s="2">
        <f t="shared" ca="1" si="458"/>
        <v>60</v>
      </c>
      <c r="I1547" s="2">
        <f t="shared" ca="1" si="459"/>
        <v>0.5</v>
      </c>
      <c r="J1547" t="s">
        <v>36</v>
      </c>
      <c r="K1547" t="s">
        <v>158</v>
      </c>
      <c r="L1547">
        <f t="shared" si="460"/>
        <v>0</v>
      </c>
      <c r="M1547">
        <f t="shared" si="461"/>
        <v>0</v>
      </c>
      <c r="N1547">
        <f t="shared" si="462"/>
        <v>0</v>
      </c>
      <c r="O1547" t="s">
        <v>650</v>
      </c>
      <c r="P1547">
        <f t="shared" si="463"/>
        <v>0</v>
      </c>
      <c r="Q1547">
        <f t="shared" si="464"/>
        <v>0</v>
      </c>
      <c r="R1547">
        <f t="shared" si="465"/>
        <v>0</v>
      </c>
      <c r="S1547">
        <f t="shared" si="466"/>
        <v>0</v>
      </c>
      <c r="T1547">
        <f t="shared" si="467"/>
        <v>0</v>
      </c>
      <c r="U1547">
        <f t="shared" si="468"/>
        <v>0</v>
      </c>
      <c r="V1547">
        <f t="shared" si="469"/>
        <v>0</v>
      </c>
      <c r="W1547" t="s">
        <v>39</v>
      </c>
      <c r="X1547">
        <f t="shared" si="470"/>
        <v>1</v>
      </c>
      <c r="Y1547">
        <f t="shared" si="471"/>
        <v>0</v>
      </c>
      <c r="Z1547">
        <v>4</v>
      </c>
      <c r="AA1547">
        <f t="shared" si="472"/>
        <v>0.75</v>
      </c>
      <c r="AB1547" t="s">
        <v>40</v>
      </c>
      <c r="AC1547">
        <f t="shared" si="473"/>
        <v>1</v>
      </c>
      <c r="AD1547">
        <f t="shared" si="474"/>
        <v>0</v>
      </c>
      <c r="AE1547" t="s">
        <v>50</v>
      </c>
      <c r="AF1547">
        <f>IF(AE1547="website",1,0)</f>
        <v>0</v>
      </c>
    </row>
    <row r="1548" spans="1:32">
      <c r="A1548" t="s">
        <v>2198</v>
      </c>
      <c r="B1548" t="s">
        <v>33</v>
      </c>
      <c r="C1548" s="3">
        <f t="shared" si="456"/>
        <v>0</v>
      </c>
      <c r="D1548">
        <f t="shared" si="457"/>
        <v>1</v>
      </c>
      <c r="E1548" t="s">
        <v>619</v>
      </c>
      <c r="F1548" t="s">
        <v>610</v>
      </c>
      <c r="G1548" s="1">
        <v>27487</v>
      </c>
      <c r="H1548" s="2">
        <f t="shared" ca="1" si="458"/>
        <v>51</v>
      </c>
      <c r="I1548" s="2">
        <f t="shared" ca="1" si="459"/>
        <v>0.37142857142857144</v>
      </c>
      <c r="J1548" t="s">
        <v>36</v>
      </c>
      <c r="K1548" t="s">
        <v>37</v>
      </c>
      <c r="L1548">
        <f t="shared" si="460"/>
        <v>1</v>
      </c>
      <c r="M1548">
        <f t="shared" si="461"/>
        <v>0</v>
      </c>
      <c r="N1548">
        <f t="shared" si="462"/>
        <v>0</v>
      </c>
      <c r="O1548" t="s">
        <v>600</v>
      </c>
      <c r="P1548">
        <f t="shared" si="463"/>
        <v>0</v>
      </c>
      <c r="Q1548">
        <f t="shared" si="464"/>
        <v>0</v>
      </c>
      <c r="R1548">
        <f t="shared" si="465"/>
        <v>0</v>
      </c>
      <c r="S1548">
        <f t="shared" si="466"/>
        <v>0</v>
      </c>
      <c r="T1548">
        <f t="shared" si="467"/>
        <v>0</v>
      </c>
      <c r="U1548">
        <f t="shared" si="468"/>
        <v>0</v>
      </c>
      <c r="V1548">
        <f t="shared" si="469"/>
        <v>0</v>
      </c>
      <c r="W1548" t="s">
        <v>39</v>
      </c>
      <c r="X1548">
        <f t="shared" si="470"/>
        <v>1</v>
      </c>
      <c r="Y1548">
        <f t="shared" si="471"/>
        <v>0</v>
      </c>
      <c r="Z1548">
        <v>2</v>
      </c>
      <c r="AA1548">
        <f t="shared" si="472"/>
        <v>0.25</v>
      </c>
      <c r="AB1548" t="s">
        <v>40</v>
      </c>
      <c r="AC1548">
        <f t="shared" si="473"/>
        <v>1</v>
      </c>
      <c r="AD1548">
        <f t="shared" si="474"/>
        <v>0</v>
      </c>
      <c r="AE1548" t="s">
        <v>50</v>
      </c>
      <c r="AF1548">
        <f>IF(AE1548="website",1,0)</f>
        <v>0</v>
      </c>
    </row>
    <row r="1549" spans="1:32">
      <c r="A1549" t="s">
        <v>2199</v>
      </c>
      <c r="B1549" t="s">
        <v>55</v>
      </c>
      <c r="C1549" s="3">
        <f t="shared" si="456"/>
        <v>1</v>
      </c>
      <c r="D1549">
        <f t="shared" si="457"/>
        <v>0</v>
      </c>
      <c r="E1549" t="s">
        <v>1013</v>
      </c>
      <c r="F1549" t="s">
        <v>57</v>
      </c>
      <c r="G1549" s="1">
        <v>24832</v>
      </c>
      <c r="H1549" s="2">
        <f t="shared" ca="1" si="458"/>
        <v>58</v>
      </c>
      <c r="I1549" s="2">
        <f t="shared" ca="1" si="459"/>
        <v>0.47142857142857142</v>
      </c>
      <c r="J1549" t="s">
        <v>45</v>
      </c>
      <c r="K1549" t="s">
        <v>37</v>
      </c>
      <c r="L1549">
        <f t="shared" si="460"/>
        <v>1</v>
      </c>
      <c r="M1549">
        <f t="shared" si="461"/>
        <v>0</v>
      </c>
      <c r="N1549">
        <f t="shared" si="462"/>
        <v>0</v>
      </c>
      <c r="O1549" t="s">
        <v>38</v>
      </c>
      <c r="P1549">
        <f t="shared" si="463"/>
        <v>1</v>
      </c>
      <c r="Q1549">
        <f t="shared" si="464"/>
        <v>0</v>
      </c>
      <c r="R1549">
        <f t="shared" si="465"/>
        <v>0</v>
      </c>
      <c r="S1549">
        <f t="shared" si="466"/>
        <v>0</v>
      </c>
      <c r="T1549">
        <f t="shared" si="467"/>
        <v>0</v>
      </c>
      <c r="U1549">
        <f t="shared" si="468"/>
        <v>0</v>
      </c>
      <c r="V1549">
        <f t="shared" si="469"/>
        <v>0</v>
      </c>
      <c r="W1549" t="s">
        <v>39</v>
      </c>
      <c r="X1549">
        <f t="shared" si="470"/>
        <v>1</v>
      </c>
      <c r="Y1549">
        <f t="shared" si="471"/>
        <v>0</v>
      </c>
      <c r="Z1549">
        <v>2</v>
      </c>
      <c r="AA1549">
        <f t="shared" si="472"/>
        <v>0.25</v>
      </c>
      <c r="AB1549" t="s">
        <v>40</v>
      </c>
      <c r="AC1549">
        <f t="shared" si="473"/>
        <v>0</v>
      </c>
      <c r="AD1549">
        <f t="shared" si="474"/>
        <v>0</v>
      </c>
      <c r="AE1549" t="s">
        <v>41</v>
      </c>
      <c r="AF1549">
        <f>IF(AE1549="website",1,0)</f>
        <v>1</v>
      </c>
    </row>
    <row r="1550" spans="1:32">
      <c r="A1550" t="s">
        <v>2200</v>
      </c>
      <c r="B1550" t="s">
        <v>33</v>
      </c>
      <c r="C1550" s="3">
        <f t="shared" si="456"/>
        <v>0</v>
      </c>
      <c r="D1550">
        <f t="shared" si="457"/>
        <v>1</v>
      </c>
      <c r="E1550" t="s">
        <v>1073</v>
      </c>
      <c r="F1550" t="s">
        <v>641</v>
      </c>
      <c r="G1550" s="1">
        <v>22447</v>
      </c>
      <c r="H1550" s="2">
        <f t="shared" ca="1" si="458"/>
        <v>65</v>
      </c>
      <c r="I1550" s="2">
        <f t="shared" ca="1" si="459"/>
        <v>0.5714285714285714</v>
      </c>
      <c r="J1550" t="s">
        <v>45</v>
      </c>
      <c r="K1550" t="s">
        <v>158</v>
      </c>
      <c r="L1550">
        <f t="shared" si="460"/>
        <v>0</v>
      </c>
      <c r="M1550">
        <f t="shared" si="461"/>
        <v>0</v>
      </c>
      <c r="N1550">
        <f t="shared" si="462"/>
        <v>0</v>
      </c>
      <c r="O1550" t="s">
        <v>732</v>
      </c>
      <c r="P1550">
        <f t="shared" si="463"/>
        <v>0</v>
      </c>
      <c r="Q1550">
        <f t="shared" si="464"/>
        <v>0</v>
      </c>
      <c r="R1550">
        <f t="shared" si="465"/>
        <v>0</v>
      </c>
      <c r="S1550">
        <f t="shared" si="466"/>
        <v>0</v>
      </c>
      <c r="T1550">
        <f t="shared" si="467"/>
        <v>0</v>
      </c>
      <c r="U1550">
        <f t="shared" si="468"/>
        <v>0</v>
      </c>
      <c r="V1550">
        <f t="shared" si="469"/>
        <v>0</v>
      </c>
      <c r="W1550" t="s">
        <v>39</v>
      </c>
      <c r="X1550">
        <f t="shared" si="470"/>
        <v>1</v>
      </c>
      <c r="Y1550">
        <f t="shared" si="471"/>
        <v>0</v>
      </c>
      <c r="Z1550">
        <v>4</v>
      </c>
      <c r="AA1550">
        <f t="shared" si="472"/>
        <v>0.75</v>
      </c>
      <c r="AB1550" t="s">
        <v>46</v>
      </c>
      <c r="AC1550">
        <f t="shared" si="473"/>
        <v>0</v>
      </c>
      <c r="AD1550">
        <f t="shared" si="474"/>
        <v>1</v>
      </c>
      <c r="AE1550" t="s">
        <v>90</v>
      </c>
      <c r="AF1550">
        <f>IF(AE1550="website",1,0)</f>
        <v>0</v>
      </c>
    </row>
    <row r="1551" spans="1:32">
      <c r="A1551" t="s">
        <v>2201</v>
      </c>
      <c r="B1551" t="s">
        <v>33</v>
      </c>
      <c r="C1551" s="3">
        <f t="shared" si="456"/>
        <v>0</v>
      </c>
      <c r="D1551">
        <f t="shared" si="457"/>
        <v>1</v>
      </c>
      <c r="E1551" t="s">
        <v>671</v>
      </c>
      <c r="F1551" t="s">
        <v>709</v>
      </c>
      <c r="G1551" s="1">
        <v>36069</v>
      </c>
      <c r="H1551" s="2">
        <f t="shared" ca="1" si="458"/>
        <v>28</v>
      </c>
      <c r="I1551" s="2">
        <f t="shared" ca="1" si="459"/>
        <v>4.2857142857142858E-2</v>
      </c>
      <c r="J1551" t="s">
        <v>45</v>
      </c>
      <c r="K1551" t="s">
        <v>37</v>
      </c>
      <c r="L1551">
        <f t="shared" si="460"/>
        <v>1</v>
      </c>
      <c r="M1551">
        <f t="shared" si="461"/>
        <v>0</v>
      </c>
      <c r="N1551">
        <f t="shared" si="462"/>
        <v>0</v>
      </c>
      <c r="O1551" t="s">
        <v>38</v>
      </c>
      <c r="P1551">
        <f t="shared" si="463"/>
        <v>1</v>
      </c>
      <c r="Q1551">
        <f t="shared" si="464"/>
        <v>0</v>
      </c>
      <c r="R1551">
        <f t="shared" si="465"/>
        <v>0</v>
      </c>
      <c r="S1551">
        <f t="shared" si="466"/>
        <v>0</v>
      </c>
      <c r="T1551">
        <f t="shared" si="467"/>
        <v>0</v>
      </c>
      <c r="U1551">
        <f t="shared" si="468"/>
        <v>0</v>
      </c>
      <c r="V1551">
        <f t="shared" si="469"/>
        <v>0</v>
      </c>
      <c r="W1551" t="s">
        <v>39</v>
      </c>
      <c r="X1551">
        <f t="shared" si="470"/>
        <v>1</v>
      </c>
      <c r="Y1551">
        <f t="shared" si="471"/>
        <v>0</v>
      </c>
      <c r="Z1551">
        <v>2</v>
      </c>
      <c r="AA1551">
        <f t="shared" si="472"/>
        <v>0.25</v>
      </c>
      <c r="AB1551" t="s">
        <v>46</v>
      </c>
      <c r="AC1551">
        <f t="shared" si="473"/>
        <v>1</v>
      </c>
      <c r="AD1551">
        <f t="shared" si="474"/>
        <v>0</v>
      </c>
      <c r="AE1551" t="s">
        <v>50</v>
      </c>
      <c r="AF1551">
        <f>IF(AE1551="website",1,0)</f>
        <v>0</v>
      </c>
    </row>
    <row r="1552" spans="1:32">
      <c r="A1552" t="s">
        <v>2202</v>
      </c>
      <c r="B1552" t="s">
        <v>33</v>
      </c>
      <c r="C1552" s="3">
        <f t="shared" si="456"/>
        <v>0</v>
      </c>
      <c r="D1552">
        <f t="shared" si="457"/>
        <v>1</v>
      </c>
      <c r="E1552" t="s">
        <v>780</v>
      </c>
      <c r="F1552" t="s">
        <v>339</v>
      </c>
      <c r="G1552" s="1">
        <v>33375</v>
      </c>
      <c r="H1552" s="2">
        <f t="shared" ca="1" si="458"/>
        <v>35</v>
      </c>
      <c r="I1552" s="2">
        <f t="shared" ca="1" si="459"/>
        <v>0.14285714285714285</v>
      </c>
      <c r="J1552" t="s">
        <v>45</v>
      </c>
      <c r="K1552" t="s">
        <v>37</v>
      </c>
      <c r="L1552">
        <f t="shared" si="460"/>
        <v>1</v>
      </c>
      <c r="M1552">
        <f t="shared" si="461"/>
        <v>0</v>
      </c>
      <c r="N1552">
        <f t="shared" si="462"/>
        <v>0</v>
      </c>
      <c r="O1552" t="s">
        <v>38</v>
      </c>
      <c r="P1552">
        <f t="shared" si="463"/>
        <v>1</v>
      </c>
      <c r="Q1552">
        <f t="shared" si="464"/>
        <v>0</v>
      </c>
      <c r="R1552">
        <f t="shared" si="465"/>
        <v>0</v>
      </c>
      <c r="S1552">
        <f t="shared" si="466"/>
        <v>0</v>
      </c>
      <c r="T1552">
        <f t="shared" si="467"/>
        <v>0</v>
      </c>
      <c r="U1552">
        <f t="shared" si="468"/>
        <v>0</v>
      </c>
      <c r="V1552">
        <f t="shared" si="469"/>
        <v>0</v>
      </c>
      <c r="W1552" t="s">
        <v>39</v>
      </c>
      <c r="X1552">
        <f t="shared" si="470"/>
        <v>1</v>
      </c>
      <c r="Y1552">
        <f t="shared" si="471"/>
        <v>0</v>
      </c>
      <c r="Z1552">
        <v>2</v>
      </c>
      <c r="AA1552">
        <f t="shared" si="472"/>
        <v>0.25</v>
      </c>
      <c r="AB1552" t="s">
        <v>46</v>
      </c>
      <c r="AC1552">
        <f t="shared" si="473"/>
        <v>1</v>
      </c>
      <c r="AD1552">
        <f t="shared" si="474"/>
        <v>0</v>
      </c>
      <c r="AE1552" t="s">
        <v>50</v>
      </c>
      <c r="AF1552">
        <f>IF(AE1552="website",1,0)</f>
        <v>0</v>
      </c>
    </row>
    <row r="1553" spans="1:32">
      <c r="A1553" t="s">
        <v>2203</v>
      </c>
      <c r="B1553" t="s">
        <v>33</v>
      </c>
      <c r="C1553" s="3">
        <f t="shared" si="456"/>
        <v>0</v>
      </c>
      <c r="D1553">
        <f t="shared" si="457"/>
        <v>1</v>
      </c>
      <c r="E1553" t="s">
        <v>598</v>
      </c>
      <c r="F1553" t="s">
        <v>571</v>
      </c>
      <c r="G1553" s="1">
        <v>17277</v>
      </c>
      <c r="H1553" s="2">
        <f t="shared" ca="1" si="458"/>
        <v>79</v>
      </c>
      <c r="I1553" s="2">
        <f t="shared" ca="1" si="459"/>
        <v>0.77142857142857146</v>
      </c>
      <c r="J1553" t="s">
        <v>45</v>
      </c>
      <c r="K1553" t="s">
        <v>37</v>
      </c>
      <c r="L1553">
        <f t="shared" si="460"/>
        <v>1</v>
      </c>
      <c r="M1553">
        <f t="shared" si="461"/>
        <v>0</v>
      </c>
      <c r="N1553">
        <f t="shared" si="462"/>
        <v>0</v>
      </c>
      <c r="O1553" t="s">
        <v>38</v>
      </c>
      <c r="P1553">
        <f t="shared" si="463"/>
        <v>1</v>
      </c>
      <c r="Q1553">
        <f t="shared" si="464"/>
        <v>0</v>
      </c>
      <c r="R1553">
        <f t="shared" si="465"/>
        <v>0</v>
      </c>
      <c r="S1553">
        <f t="shared" si="466"/>
        <v>0</v>
      </c>
      <c r="T1553">
        <f t="shared" si="467"/>
        <v>0</v>
      </c>
      <c r="U1553">
        <f t="shared" si="468"/>
        <v>0</v>
      </c>
      <c r="V1553">
        <f t="shared" si="469"/>
        <v>0</v>
      </c>
      <c r="W1553" t="s">
        <v>58</v>
      </c>
      <c r="X1553">
        <f t="shared" si="470"/>
        <v>0</v>
      </c>
      <c r="Y1553">
        <f t="shared" si="471"/>
        <v>1</v>
      </c>
      <c r="Z1553">
        <v>2</v>
      </c>
      <c r="AA1553">
        <f t="shared" si="472"/>
        <v>0.25</v>
      </c>
      <c r="AB1553" t="s">
        <v>40</v>
      </c>
      <c r="AC1553">
        <f t="shared" si="473"/>
        <v>1</v>
      </c>
      <c r="AD1553">
        <f t="shared" si="474"/>
        <v>0</v>
      </c>
      <c r="AE1553" t="s">
        <v>50</v>
      </c>
      <c r="AF1553">
        <f>IF(AE1553="website",1,0)</f>
        <v>0</v>
      </c>
    </row>
    <row r="1554" spans="1:32">
      <c r="A1554" t="s">
        <v>2204</v>
      </c>
      <c r="B1554" t="s">
        <v>55</v>
      </c>
      <c r="C1554" s="3">
        <f t="shared" si="456"/>
        <v>1</v>
      </c>
      <c r="D1554">
        <f t="shared" si="457"/>
        <v>0</v>
      </c>
      <c r="E1554" t="s">
        <v>992</v>
      </c>
      <c r="F1554" t="s">
        <v>57</v>
      </c>
      <c r="G1554" s="1">
        <v>32959</v>
      </c>
      <c r="H1554" s="2">
        <f t="shared" ca="1" si="458"/>
        <v>36</v>
      </c>
      <c r="I1554" s="2">
        <f t="shared" ca="1" si="459"/>
        <v>0.15714285714285714</v>
      </c>
      <c r="J1554" t="s">
        <v>45</v>
      </c>
      <c r="K1554" t="s">
        <v>37</v>
      </c>
      <c r="L1554">
        <f t="shared" si="460"/>
        <v>1</v>
      </c>
      <c r="M1554">
        <f t="shared" si="461"/>
        <v>0</v>
      </c>
      <c r="N1554">
        <f t="shared" si="462"/>
        <v>0</v>
      </c>
      <c r="O1554" t="s">
        <v>183</v>
      </c>
      <c r="P1554">
        <f t="shared" si="463"/>
        <v>0</v>
      </c>
      <c r="Q1554">
        <f t="shared" si="464"/>
        <v>0</v>
      </c>
      <c r="R1554">
        <f t="shared" si="465"/>
        <v>0</v>
      </c>
      <c r="S1554">
        <f t="shared" si="466"/>
        <v>0</v>
      </c>
      <c r="T1554">
        <f t="shared" si="467"/>
        <v>0</v>
      </c>
      <c r="U1554">
        <f t="shared" si="468"/>
        <v>0</v>
      </c>
      <c r="V1554">
        <f t="shared" si="469"/>
        <v>0</v>
      </c>
      <c r="W1554" t="s">
        <v>39</v>
      </c>
      <c r="X1554">
        <f t="shared" si="470"/>
        <v>1</v>
      </c>
      <c r="Y1554">
        <f t="shared" si="471"/>
        <v>0</v>
      </c>
      <c r="Z1554">
        <v>4</v>
      </c>
      <c r="AA1554">
        <f t="shared" si="472"/>
        <v>0.75</v>
      </c>
      <c r="AB1554" t="s">
        <v>46</v>
      </c>
      <c r="AC1554">
        <f t="shared" si="473"/>
        <v>1</v>
      </c>
      <c r="AD1554">
        <f t="shared" si="474"/>
        <v>0</v>
      </c>
      <c r="AE1554" t="s">
        <v>50</v>
      </c>
      <c r="AF1554">
        <f>IF(AE1554="website",1,0)</f>
        <v>0</v>
      </c>
    </row>
    <row r="1555" spans="1:32">
      <c r="A1555" t="s">
        <v>2205</v>
      </c>
      <c r="B1555" t="s">
        <v>33</v>
      </c>
      <c r="C1555" s="3">
        <f t="shared" si="456"/>
        <v>0</v>
      </c>
      <c r="D1555">
        <f t="shared" si="457"/>
        <v>1</v>
      </c>
      <c r="E1555" t="s">
        <v>1032</v>
      </c>
      <c r="F1555" t="s">
        <v>856</v>
      </c>
      <c r="G1555" s="1">
        <v>35858</v>
      </c>
      <c r="H1555" s="2">
        <f t="shared" ca="1" si="458"/>
        <v>28</v>
      </c>
      <c r="I1555" s="2">
        <f t="shared" ca="1" si="459"/>
        <v>4.2857142857142858E-2</v>
      </c>
      <c r="J1555" t="s">
        <v>45</v>
      </c>
      <c r="K1555" t="s">
        <v>113</v>
      </c>
      <c r="L1555">
        <f t="shared" si="460"/>
        <v>0</v>
      </c>
      <c r="M1555">
        <f t="shared" si="461"/>
        <v>0</v>
      </c>
      <c r="N1555">
        <f t="shared" si="462"/>
        <v>1</v>
      </c>
      <c r="O1555" t="s">
        <v>1137</v>
      </c>
      <c r="P1555">
        <f t="shared" si="463"/>
        <v>0</v>
      </c>
      <c r="Q1555">
        <f t="shared" si="464"/>
        <v>0</v>
      </c>
      <c r="R1555">
        <f t="shared" si="465"/>
        <v>0</v>
      </c>
      <c r="S1555">
        <f t="shared" si="466"/>
        <v>0</v>
      </c>
      <c r="T1555">
        <f t="shared" si="467"/>
        <v>0</v>
      </c>
      <c r="U1555">
        <f t="shared" si="468"/>
        <v>0</v>
      </c>
      <c r="V1555">
        <f t="shared" si="469"/>
        <v>0</v>
      </c>
      <c r="W1555" t="s">
        <v>39</v>
      </c>
      <c r="X1555">
        <f t="shared" si="470"/>
        <v>1</v>
      </c>
      <c r="Y1555">
        <f t="shared" si="471"/>
        <v>0</v>
      </c>
      <c r="Z1555">
        <v>1</v>
      </c>
      <c r="AA1555">
        <f t="shared" si="472"/>
        <v>0</v>
      </c>
      <c r="AB1555" t="s">
        <v>46</v>
      </c>
      <c r="AC1555">
        <f t="shared" si="473"/>
        <v>0</v>
      </c>
      <c r="AD1555">
        <f t="shared" si="474"/>
        <v>0</v>
      </c>
      <c r="AE1555" t="s">
        <v>41</v>
      </c>
      <c r="AF1555">
        <f>IF(AE1555="website",1,0)</f>
        <v>1</v>
      </c>
    </row>
    <row r="1556" spans="1:32">
      <c r="A1556" t="s">
        <v>2206</v>
      </c>
      <c r="B1556" t="s">
        <v>33</v>
      </c>
      <c r="C1556" s="3">
        <f t="shared" si="456"/>
        <v>0</v>
      </c>
      <c r="D1556">
        <f t="shared" si="457"/>
        <v>1</v>
      </c>
      <c r="E1556" t="s">
        <v>699</v>
      </c>
      <c r="F1556" t="s">
        <v>610</v>
      </c>
      <c r="G1556" s="1">
        <v>16917</v>
      </c>
      <c r="H1556" s="2">
        <f t="shared" ca="1" si="458"/>
        <v>80</v>
      </c>
      <c r="I1556" s="2">
        <f t="shared" ca="1" si="459"/>
        <v>0.7857142857142857</v>
      </c>
      <c r="J1556" t="s">
        <v>36</v>
      </c>
      <c r="K1556" t="s">
        <v>248</v>
      </c>
      <c r="L1556">
        <f t="shared" si="460"/>
        <v>0</v>
      </c>
      <c r="M1556">
        <f t="shared" si="461"/>
        <v>0</v>
      </c>
      <c r="N1556">
        <f t="shared" si="462"/>
        <v>0</v>
      </c>
      <c r="O1556" t="s">
        <v>582</v>
      </c>
      <c r="P1556">
        <f t="shared" si="463"/>
        <v>0</v>
      </c>
      <c r="Q1556">
        <f t="shared" si="464"/>
        <v>0</v>
      </c>
      <c r="R1556">
        <f t="shared" si="465"/>
        <v>0</v>
      </c>
      <c r="S1556">
        <f t="shared" si="466"/>
        <v>0</v>
      </c>
      <c r="T1556">
        <f t="shared" si="467"/>
        <v>0</v>
      </c>
      <c r="U1556">
        <f t="shared" si="468"/>
        <v>0</v>
      </c>
      <c r="V1556">
        <f t="shared" si="469"/>
        <v>0</v>
      </c>
      <c r="W1556" t="s">
        <v>39</v>
      </c>
      <c r="X1556">
        <f t="shared" si="470"/>
        <v>1</v>
      </c>
      <c r="Y1556">
        <f t="shared" si="471"/>
        <v>0</v>
      </c>
      <c r="Z1556">
        <v>5</v>
      </c>
      <c r="AA1556">
        <f t="shared" si="472"/>
        <v>1</v>
      </c>
      <c r="AB1556" t="s">
        <v>46</v>
      </c>
      <c r="AC1556">
        <f t="shared" si="473"/>
        <v>0</v>
      </c>
      <c r="AD1556">
        <f t="shared" si="474"/>
        <v>0</v>
      </c>
      <c r="AE1556" t="s">
        <v>41</v>
      </c>
      <c r="AF1556">
        <f>IF(AE1556="website",1,0)</f>
        <v>1</v>
      </c>
    </row>
    <row r="1557" spans="1:32">
      <c r="A1557" t="s">
        <v>2207</v>
      </c>
      <c r="B1557" t="s">
        <v>33</v>
      </c>
      <c r="C1557" s="3">
        <f t="shared" si="456"/>
        <v>0</v>
      </c>
      <c r="D1557">
        <f t="shared" si="457"/>
        <v>1</v>
      </c>
      <c r="E1557" t="s">
        <v>317</v>
      </c>
      <c r="F1557" t="s">
        <v>669</v>
      </c>
      <c r="G1557" s="1">
        <v>30275</v>
      </c>
      <c r="H1557" s="2">
        <f t="shared" ca="1" si="458"/>
        <v>43</v>
      </c>
      <c r="I1557" s="2">
        <f t="shared" ca="1" si="459"/>
        <v>0.25714285714285712</v>
      </c>
      <c r="J1557" t="s">
        <v>36</v>
      </c>
      <c r="K1557" t="s">
        <v>37</v>
      </c>
      <c r="L1557">
        <f t="shared" si="460"/>
        <v>1</v>
      </c>
      <c r="M1557">
        <f t="shared" si="461"/>
        <v>0</v>
      </c>
      <c r="N1557">
        <f t="shared" si="462"/>
        <v>0</v>
      </c>
      <c r="O1557" t="s">
        <v>137</v>
      </c>
      <c r="P1557">
        <f t="shared" si="463"/>
        <v>0</v>
      </c>
      <c r="Q1557">
        <f t="shared" si="464"/>
        <v>0</v>
      </c>
      <c r="R1557">
        <f t="shared" si="465"/>
        <v>0</v>
      </c>
      <c r="S1557">
        <f t="shared" si="466"/>
        <v>0</v>
      </c>
      <c r="T1557">
        <f t="shared" si="467"/>
        <v>0</v>
      </c>
      <c r="U1557">
        <f t="shared" si="468"/>
        <v>0</v>
      </c>
      <c r="V1557">
        <f t="shared" si="469"/>
        <v>0</v>
      </c>
      <c r="W1557" t="s">
        <v>58</v>
      </c>
      <c r="X1557">
        <f t="shared" si="470"/>
        <v>0</v>
      </c>
      <c r="Y1557">
        <f t="shared" si="471"/>
        <v>1</v>
      </c>
      <c r="Z1557">
        <v>2</v>
      </c>
      <c r="AA1557">
        <f t="shared" si="472"/>
        <v>0.25</v>
      </c>
      <c r="AB1557" t="s">
        <v>46</v>
      </c>
      <c r="AC1557">
        <f t="shared" si="473"/>
        <v>1</v>
      </c>
      <c r="AD1557">
        <f t="shared" si="474"/>
        <v>0</v>
      </c>
      <c r="AE1557" t="s">
        <v>50</v>
      </c>
      <c r="AF1557">
        <f>IF(AE1557="website",1,0)</f>
        <v>0</v>
      </c>
    </row>
    <row r="1558" spans="1:32">
      <c r="A1558" t="s">
        <v>2208</v>
      </c>
      <c r="B1558" t="s">
        <v>33</v>
      </c>
      <c r="C1558" s="3">
        <f t="shared" si="456"/>
        <v>0</v>
      </c>
      <c r="D1558">
        <f t="shared" si="457"/>
        <v>1</v>
      </c>
      <c r="E1558" t="s">
        <v>817</v>
      </c>
      <c r="F1558" t="s">
        <v>928</v>
      </c>
      <c r="G1558" s="1">
        <v>15415</v>
      </c>
      <c r="H1558" s="2">
        <f t="shared" ca="1" si="458"/>
        <v>84</v>
      </c>
      <c r="I1558" s="2">
        <f t="shared" ca="1" si="459"/>
        <v>0.84285714285714286</v>
      </c>
      <c r="J1558" t="s">
        <v>36</v>
      </c>
      <c r="K1558" t="s">
        <v>37</v>
      </c>
      <c r="L1558">
        <f t="shared" si="460"/>
        <v>1</v>
      </c>
      <c r="M1558">
        <f t="shared" si="461"/>
        <v>0</v>
      </c>
      <c r="N1558">
        <f t="shared" si="462"/>
        <v>0</v>
      </c>
      <c r="O1558" t="s">
        <v>717</v>
      </c>
      <c r="P1558">
        <f t="shared" si="463"/>
        <v>0</v>
      </c>
      <c r="Q1558">
        <f t="shared" si="464"/>
        <v>0</v>
      </c>
      <c r="R1558">
        <f t="shared" si="465"/>
        <v>0</v>
      </c>
      <c r="S1558">
        <f t="shared" si="466"/>
        <v>0</v>
      </c>
      <c r="T1558">
        <f t="shared" si="467"/>
        <v>0</v>
      </c>
      <c r="U1558">
        <f t="shared" si="468"/>
        <v>0</v>
      </c>
      <c r="V1558">
        <f t="shared" si="469"/>
        <v>0</v>
      </c>
      <c r="W1558" t="s">
        <v>39</v>
      </c>
      <c r="X1558">
        <f t="shared" si="470"/>
        <v>1</v>
      </c>
      <c r="Y1558">
        <f t="shared" si="471"/>
        <v>0</v>
      </c>
      <c r="Z1558">
        <v>2</v>
      </c>
      <c r="AA1558">
        <f t="shared" si="472"/>
        <v>0.25</v>
      </c>
      <c r="AB1558" t="s">
        <v>40</v>
      </c>
      <c r="AC1558">
        <f t="shared" si="473"/>
        <v>0</v>
      </c>
      <c r="AD1558">
        <f t="shared" si="474"/>
        <v>0</v>
      </c>
      <c r="AE1558" t="s">
        <v>41</v>
      </c>
      <c r="AF1558">
        <f>IF(AE1558="website",1,0)</f>
        <v>1</v>
      </c>
    </row>
    <row r="1559" spans="1:32">
      <c r="A1559" t="s">
        <v>2209</v>
      </c>
      <c r="B1559" t="s">
        <v>33</v>
      </c>
      <c r="C1559" s="3">
        <f t="shared" si="456"/>
        <v>0</v>
      </c>
      <c r="D1559">
        <f t="shared" si="457"/>
        <v>1</v>
      </c>
      <c r="E1559" t="s">
        <v>240</v>
      </c>
      <c r="F1559" t="s">
        <v>685</v>
      </c>
      <c r="G1559" s="1">
        <v>16143</v>
      </c>
      <c r="H1559" s="2">
        <f t="shared" ca="1" si="458"/>
        <v>82</v>
      </c>
      <c r="I1559" s="2">
        <f t="shared" ca="1" si="459"/>
        <v>0.81428571428571428</v>
      </c>
      <c r="J1559" t="s">
        <v>45</v>
      </c>
      <c r="K1559" t="s">
        <v>158</v>
      </c>
      <c r="L1559">
        <f t="shared" si="460"/>
        <v>0</v>
      </c>
      <c r="M1559">
        <f t="shared" si="461"/>
        <v>0</v>
      </c>
      <c r="N1559">
        <f t="shared" si="462"/>
        <v>0</v>
      </c>
      <c r="O1559" t="s">
        <v>867</v>
      </c>
      <c r="P1559">
        <f t="shared" si="463"/>
        <v>0</v>
      </c>
      <c r="Q1559">
        <f t="shared" si="464"/>
        <v>0</v>
      </c>
      <c r="R1559">
        <f t="shared" si="465"/>
        <v>0</v>
      </c>
      <c r="S1559">
        <f t="shared" si="466"/>
        <v>0</v>
      </c>
      <c r="T1559">
        <f t="shared" si="467"/>
        <v>0</v>
      </c>
      <c r="U1559">
        <f t="shared" si="468"/>
        <v>0</v>
      </c>
      <c r="V1559">
        <f t="shared" si="469"/>
        <v>0</v>
      </c>
      <c r="W1559" t="s">
        <v>39</v>
      </c>
      <c r="X1559">
        <f t="shared" si="470"/>
        <v>1</v>
      </c>
      <c r="Y1559">
        <f t="shared" si="471"/>
        <v>0</v>
      </c>
      <c r="Z1559">
        <v>4</v>
      </c>
      <c r="AA1559">
        <f t="shared" si="472"/>
        <v>0.75</v>
      </c>
      <c r="AB1559" t="s">
        <v>46</v>
      </c>
      <c r="AC1559">
        <f t="shared" si="473"/>
        <v>0</v>
      </c>
      <c r="AD1559">
        <f t="shared" si="474"/>
        <v>0</v>
      </c>
      <c r="AE1559" t="s">
        <v>41</v>
      </c>
      <c r="AF1559">
        <f>IF(AE1559="website",1,0)</f>
        <v>1</v>
      </c>
    </row>
    <row r="1560" spans="1:32">
      <c r="A1560" t="s">
        <v>2210</v>
      </c>
      <c r="B1560" t="s">
        <v>33</v>
      </c>
      <c r="C1560" s="3">
        <f t="shared" si="456"/>
        <v>0</v>
      </c>
      <c r="D1560">
        <f t="shared" si="457"/>
        <v>1</v>
      </c>
      <c r="E1560" t="s">
        <v>759</v>
      </c>
      <c r="F1560" t="s">
        <v>1270</v>
      </c>
      <c r="G1560" s="1">
        <v>27480</v>
      </c>
      <c r="H1560" s="2">
        <f t="shared" ca="1" si="458"/>
        <v>51</v>
      </c>
      <c r="I1560" s="2">
        <f t="shared" ca="1" si="459"/>
        <v>0.37142857142857144</v>
      </c>
      <c r="J1560" t="s">
        <v>36</v>
      </c>
      <c r="K1560" t="s">
        <v>248</v>
      </c>
      <c r="L1560">
        <f t="shared" si="460"/>
        <v>0</v>
      </c>
      <c r="M1560">
        <f t="shared" si="461"/>
        <v>0</v>
      </c>
      <c r="N1560">
        <f t="shared" si="462"/>
        <v>0</v>
      </c>
      <c r="O1560" t="s">
        <v>582</v>
      </c>
      <c r="P1560">
        <f t="shared" si="463"/>
        <v>0</v>
      </c>
      <c r="Q1560">
        <f t="shared" si="464"/>
        <v>0</v>
      </c>
      <c r="R1560">
        <f t="shared" si="465"/>
        <v>0</v>
      </c>
      <c r="S1560">
        <f t="shared" si="466"/>
        <v>0</v>
      </c>
      <c r="T1560">
        <f t="shared" si="467"/>
        <v>0</v>
      </c>
      <c r="U1560">
        <f t="shared" si="468"/>
        <v>0</v>
      </c>
      <c r="V1560">
        <f t="shared" si="469"/>
        <v>0</v>
      </c>
      <c r="W1560" t="s">
        <v>39</v>
      </c>
      <c r="X1560">
        <f t="shared" si="470"/>
        <v>1</v>
      </c>
      <c r="Y1560">
        <f t="shared" si="471"/>
        <v>0</v>
      </c>
      <c r="Z1560">
        <v>2</v>
      </c>
      <c r="AA1560">
        <f t="shared" si="472"/>
        <v>0.25</v>
      </c>
      <c r="AB1560" t="s">
        <v>46</v>
      </c>
      <c r="AC1560">
        <f t="shared" si="473"/>
        <v>0</v>
      </c>
      <c r="AD1560">
        <f t="shared" si="474"/>
        <v>0</v>
      </c>
      <c r="AE1560" t="s">
        <v>41</v>
      </c>
      <c r="AF1560">
        <f>IF(AE1560="website",1,0)</f>
        <v>1</v>
      </c>
    </row>
    <row r="1561" spans="1:32">
      <c r="A1561" t="s">
        <v>2211</v>
      </c>
      <c r="B1561" t="s">
        <v>33</v>
      </c>
      <c r="C1561" s="3">
        <f t="shared" si="456"/>
        <v>0</v>
      </c>
      <c r="D1561">
        <f t="shared" si="457"/>
        <v>1</v>
      </c>
      <c r="E1561" t="s">
        <v>1554</v>
      </c>
      <c r="F1561" t="s">
        <v>716</v>
      </c>
      <c r="G1561" s="1">
        <v>14807</v>
      </c>
      <c r="H1561" s="2">
        <f t="shared" ca="1" si="458"/>
        <v>86</v>
      </c>
      <c r="I1561" s="2">
        <f t="shared" ca="1" si="459"/>
        <v>0.87142857142857144</v>
      </c>
      <c r="J1561" t="s">
        <v>36</v>
      </c>
      <c r="K1561" t="s">
        <v>37</v>
      </c>
      <c r="L1561">
        <f t="shared" si="460"/>
        <v>1</v>
      </c>
      <c r="M1561">
        <f t="shared" si="461"/>
        <v>0</v>
      </c>
      <c r="N1561">
        <f t="shared" si="462"/>
        <v>0</v>
      </c>
      <c r="O1561" t="s">
        <v>38</v>
      </c>
      <c r="P1561">
        <f t="shared" si="463"/>
        <v>1</v>
      </c>
      <c r="Q1561">
        <f t="shared" si="464"/>
        <v>0</v>
      </c>
      <c r="R1561">
        <f t="shared" si="465"/>
        <v>0</v>
      </c>
      <c r="S1561">
        <f t="shared" si="466"/>
        <v>0</v>
      </c>
      <c r="T1561">
        <f t="shared" si="467"/>
        <v>0</v>
      </c>
      <c r="U1561">
        <f t="shared" si="468"/>
        <v>0</v>
      </c>
      <c r="V1561">
        <f t="shared" si="469"/>
        <v>0</v>
      </c>
      <c r="W1561" t="s">
        <v>39</v>
      </c>
      <c r="X1561">
        <f t="shared" si="470"/>
        <v>1</v>
      </c>
      <c r="Y1561">
        <f t="shared" si="471"/>
        <v>0</v>
      </c>
      <c r="Z1561">
        <v>4</v>
      </c>
      <c r="AA1561">
        <f t="shared" si="472"/>
        <v>0.75</v>
      </c>
      <c r="AB1561" t="s">
        <v>40</v>
      </c>
      <c r="AC1561">
        <f t="shared" si="473"/>
        <v>0</v>
      </c>
      <c r="AD1561">
        <f t="shared" si="474"/>
        <v>1</v>
      </c>
      <c r="AE1561" t="s">
        <v>90</v>
      </c>
      <c r="AF1561">
        <f>IF(AE1561="website",1,0)</f>
        <v>0</v>
      </c>
    </row>
    <row r="1562" spans="1:32">
      <c r="A1562" t="s">
        <v>2212</v>
      </c>
      <c r="B1562" t="s">
        <v>33</v>
      </c>
      <c r="C1562" s="3">
        <f t="shared" si="456"/>
        <v>0</v>
      </c>
      <c r="D1562">
        <f t="shared" si="457"/>
        <v>1</v>
      </c>
      <c r="E1562" t="s">
        <v>1110</v>
      </c>
      <c r="F1562" t="s">
        <v>554</v>
      </c>
      <c r="G1562" s="1">
        <v>23495</v>
      </c>
      <c r="H1562" s="2">
        <f t="shared" ca="1" si="458"/>
        <v>62</v>
      </c>
      <c r="I1562" s="2">
        <f t="shared" ca="1" si="459"/>
        <v>0.52857142857142858</v>
      </c>
      <c r="J1562" t="s">
        <v>45</v>
      </c>
      <c r="K1562" t="s">
        <v>158</v>
      </c>
      <c r="L1562">
        <f t="shared" si="460"/>
        <v>0</v>
      </c>
      <c r="M1562">
        <f t="shared" si="461"/>
        <v>0</v>
      </c>
      <c r="N1562">
        <f t="shared" si="462"/>
        <v>0</v>
      </c>
      <c r="O1562" t="s">
        <v>732</v>
      </c>
      <c r="P1562">
        <f t="shared" si="463"/>
        <v>0</v>
      </c>
      <c r="Q1562">
        <f t="shared" si="464"/>
        <v>0</v>
      </c>
      <c r="R1562">
        <f t="shared" si="465"/>
        <v>0</v>
      </c>
      <c r="S1562">
        <f t="shared" si="466"/>
        <v>0</v>
      </c>
      <c r="T1562">
        <f t="shared" si="467"/>
        <v>0</v>
      </c>
      <c r="U1562">
        <f t="shared" si="468"/>
        <v>0</v>
      </c>
      <c r="V1562">
        <f t="shared" si="469"/>
        <v>0</v>
      </c>
      <c r="W1562" t="s">
        <v>58</v>
      </c>
      <c r="X1562">
        <f t="shared" si="470"/>
        <v>0</v>
      </c>
      <c r="Y1562">
        <f t="shared" si="471"/>
        <v>1</v>
      </c>
      <c r="Z1562">
        <v>5</v>
      </c>
      <c r="AA1562">
        <f t="shared" si="472"/>
        <v>1</v>
      </c>
      <c r="AB1562" t="s">
        <v>46</v>
      </c>
      <c r="AC1562">
        <f t="shared" si="473"/>
        <v>1</v>
      </c>
      <c r="AD1562">
        <f t="shared" si="474"/>
        <v>0</v>
      </c>
      <c r="AE1562" t="s">
        <v>50</v>
      </c>
      <c r="AF1562">
        <f>IF(AE1562="website",1,0)</f>
        <v>0</v>
      </c>
    </row>
    <row r="1563" spans="1:32">
      <c r="A1563" t="s">
        <v>2213</v>
      </c>
      <c r="B1563" t="s">
        <v>33</v>
      </c>
      <c r="C1563" s="3">
        <f t="shared" si="456"/>
        <v>0</v>
      </c>
      <c r="D1563">
        <f t="shared" si="457"/>
        <v>1</v>
      </c>
      <c r="E1563" t="s">
        <v>847</v>
      </c>
      <c r="F1563" t="s">
        <v>742</v>
      </c>
      <c r="G1563" s="1">
        <v>31963</v>
      </c>
      <c r="H1563" s="2">
        <f t="shared" ca="1" si="458"/>
        <v>39</v>
      </c>
      <c r="I1563" s="2">
        <f t="shared" ca="1" si="459"/>
        <v>0.2</v>
      </c>
      <c r="J1563" t="s">
        <v>36</v>
      </c>
      <c r="K1563" t="s">
        <v>37</v>
      </c>
      <c r="L1563">
        <f t="shared" si="460"/>
        <v>1</v>
      </c>
      <c r="M1563">
        <f t="shared" si="461"/>
        <v>0</v>
      </c>
      <c r="N1563">
        <f t="shared" si="462"/>
        <v>0</v>
      </c>
      <c r="O1563" t="s">
        <v>38</v>
      </c>
      <c r="P1563">
        <f t="shared" si="463"/>
        <v>1</v>
      </c>
      <c r="Q1563">
        <f t="shared" si="464"/>
        <v>0</v>
      </c>
      <c r="R1563">
        <f t="shared" si="465"/>
        <v>0</v>
      </c>
      <c r="S1563">
        <f t="shared" si="466"/>
        <v>0</v>
      </c>
      <c r="T1563">
        <f t="shared" si="467"/>
        <v>0</v>
      </c>
      <c r="U1563">
        <f t="shared" si="468"/>
        <v>0</v>
      </c>
      <c r="V1563">
        <f t="shared" si="469"/>
        <v>0</v>
      </c>
      <c r="W1563" t="s">
        <v>39</v>
      </c>
      <c r="X1563">
        <f t="shared" si="470"/>
        <v>1</v>
      </c>
      <c r="Y1563">
        <f t="shared" si="471"/>
        <v>0</v>
      </c>
      <c r="Z1563">
        <v>4</v>
      </c>
      <c r="AA1563">
        <f t="shared" si="472"/>
        <v>0.75</v>
      </c>
      <c r="AB1563" t="s">
        <v>46</v>
      </c>
      <c r="AC1563">
        <f t="shared" si="473"/>
        <v>0</v>
      </c>
      <c r="AD1563">
        <f t="shared" si="474"/>
        <v>1</v>
      </c>
      <c r="AE1563" t="s">
        <v>90</v>
      </c>
      <c r="AF1563">
        <f>IF(AE1563="website",1,0)</f>
        <v>0</v>
      </c>
    </row>
    <row r="1564" spans="1:32">
      <c r="A1564" t="s">
        <v>2214</v>
      </c>
      <c r="B1564" t="s">
        <v>33</v>
      </c>
      <c r="C1564" s="3">
        <f t="shared" si="456"/>
        <v>0</v>
      </c>
      <c r="D1564">
        <f t="shared" si="457"/>
        <v>1</v>
      </c>
      <c r="E1564" t="s">
        <v>811</v>
      </c>
      <c r="F1564" t="s">
        <v>728</v>
      </c>
      <c r="G1564" s="1">
        <v>31946</v>
      </c>
      <c r="H1564" s="2">
        <f t="shared" ca="1" si="458"/>
        <v>39</v>
      </c>
      <c r="I1564" s="2">
        <f t="shared" ca="1" si="459"/>
        <v>0.2</v>
      </c>
      <c r="J1564" t="s">
        <v>36</v>
      </c>
      <c r="K1564" t="s">
        <v>37</v>
      </c>
      <c r="L1564">
        <f t="shared" si="460"/>
        <v>1</v>
      </c>
      <c r="M1564">
        <f t="shared" si="461"/>
        <v>0</v>
      </c>
      <c r="N1564">
        <f t="shared" si="462"/>
        <v>0</v>
      </c>
      <c r="O1564" t="s">
        <v>183</v>
      </c>
      <c r="P1564">
        <f t="shared" si="463"/>
        <v>0</v>
      </c>
      <c r="Q1564">
        <f t="shared" si="464"/>
        <v>0</v>
      </c>
      <c r="R1564">
        <f t="shared" si="465"/>
        <v>0</v>
      </c>
      <c r="S1564">
        <f t="shared" si="466"/>
        <v>0</v>
      </c>
      <c r="T1564">
        <f t="shared" si="467"/>
        <v>0</v>
      </c>
      <c r="U1564">
        <f t="shared" si="468"/>
        <v>0</v>
      </c>
      <c r="V1564">
        <f t="shared" si="469"/>
        <v>0</v>
      </c>
      <c r="W1564" t="s">
        <v>39</v>
      </c>
      <c r="X1564">
        <f t="shared" si="470"/>
        <v>1</v>
      </c>
      <c r="Y1564">
        <f t="shared" si="471"/>
        <v>0</v>
      </c>
      <c r="Z1564">
        <v>5</v>
      </c>
      <c r="AA1564">
        <f t="shared" si="472"/>
        <v>1</v>
      </c>
      <c r="AB1564" t="s">
        <v>46</v>
      </c>
      <c r="AC1564">
        <f t="shared" si="473"/>
        <v>0</v>
      </c>
      <c r="AD1564">
        <f t="shared" si="474"/>
        <v>0</v>
      </c>
      <c r="AE1564" t="s">
        <v>41</v>
      </c>
      <c r="AF1564">
        <f>IF(AE1564="website",1,0)</f>
        <v>1</v>
      </c>
    </row>
    <row r="1565" spans="1:32">
      <c r="A1565" t="s">
        <v>2215</v>
      </c>
      <c r="B1565" t="s">
        <v>33</v>
      </c>
      <c r="C1565" s="3">
        <f t="shared" si="456"/>
        <v>0</v>
      </c>
      <c r="D1565">
        <f t="shared" si="457"/>
        <v>1</v>
      </c>
      <c r="E1565" t="s">
        <v>671</v>
      </c>
      <c r="F1565" t="s">
        <v>669</v>
      </c>
      <c r="G1565" s="1">
        <v>23687</v>
      </c>
      <c r="H1565" s="2">
        <f t="shared" ca="1" si="458"/>
        <v>61</v>
      </c>
      <c r="I1565" s="2">
        <f t="shared" ca="1" si="459"/>
        <v>0.51428571428571423</v>
      </c>
      <c r="J1565" t="s">
        <v>45</v>
      </c>
      <c r="K1565" t="s">
        <v>37</v>
      </c>
      <c r="L1565">
        <f t="shared" si="460"/>
        <v>1</v>
      </c>
      <c r="M1565">
        <f t="shared" si="461"/>
        <v>0</v>
      </c>
      <c r="N1565">
        <f t="shared" si="462"/>
        <v>0</v>
      </c>
      <c r="O1565" t="s">
        <v>565</v>
      </c>
      <c r="P1565">
        <f t="shared" si="463"/>
        <v>0</v>
      </c>
      <c r="Q1565">
        <f t="shared" si="464"/>
        <v>0</v>
      </c>
      <c r="R1565">
        <f t="shared" si="465"/>
        <v>0</v>
      </c>
      <c r="S1565">
        <f t="shared" si="466"/>
        <v>0</v>
      </c>
      <c r="T1565">
        <f t="shared" si="467"/>
        <v>0</v>
      </c>
      <c r="U1565">
        <f t="shared" si="468"/>
        <v>0</v>
      </c>
      <c r="V1565">
        <f t="shared" si="469"/>
        <v>0</v>
      </c>
      <c r="W1565" t="s">
        <v>58</v>
      </c>
      <c r="X1565">
        <f t="shared" si="470"/>
        <v>0</v>
      </c>
      <c r="Y1565">
        <f t="shared" si="471"/>
        <v>1</v>
      </c>
      <c r="Z1565">
        <v>5</v>
      </c>
      <c r="AA1565">
        <f t="shared" si="472"/>
        <v>1</v>
      </c>
      <c r="AB1565" t="s">
        <v>46</v>
      </c>
      <c r="AC1565">
        <f t="shared" si="473"/>
        <v>0</v>
      </c>
      <c r="AD1565">
        <f t="shared" si="474"/>
        <v>0</v>
      </c>
      <c r="AE1565" t="s">
        <v>41</v>
      </c>
      <c r="AF1565">
        <f>IF(AE1565="website",1,0)</f>
        <v>1</v>
      </c>
    </row>
    <row r="1566" spans="1:32">
      <c r="A1566" t="s">
        <v>2216</v>
      </c>
      <c r="B1566" t="s">
        <v>33</v>
      </c>
      <c r="C1566" s="3">
        <f t="shared" si="456"/>
        <v>0</v>
      </c>
      <c r="D1566">
        <f t="shared" si="457"/>
        <v>1</v>
      </c>
      <c r="E1566" t="s">
        <v>719</v>
      </c>
      <c r="F1566" t="s">
        <v>378</v>
      </c>
      <c r="G1566" s="1">
        <v>29441</v>
      </c>
      <c r="H1566" s="2">
        <f t="shared" ca="1" si="458"/>
        <v>46</v>
      </c>
      <c r="I1566" s="2">
        <f t="shared" ca="1" si="459"/>
        <v>0.3</v>
      </c>
      <c r="J1566" t="s">
        <v>45</v>
      </c>
      <c r="K1566" t="s">
        <v>158</v>
      </c>
      <c r="L1566">
        <f t="shared" si="460"/>
        <v>0</v>
      </c>
      <c r="M1566">
        <f t="shared" si="461"/>
        <v>0</v>
      </c>
      <c r="N1566">
        <f t="shared" si="462"/>
        <v>0</v>
      </c>
      <c r="O1566" t="s">
        <v>1068</v>
      </c>
      <c r="P1566">
        <f t="shared" si="463"/>
        <v>0</v>
      </c>
      <c r="Q1566">
        <f t="shared" si="464"/>
        <v>0</v>
      </c>
      <c r="R1566">
        <f t="shared" si="465"/>
        <v>0</v>
      </c>
      <c r="S1566">
        <f t="shared" si="466"/>
        <v>0</v>
      </c>
      <c r="T1566">
        <f t="shared" si="467"/>
        <v>0</v>
      </c>
      <c r="U1566">
        <f t="shared" si="468"/>
        <v>0</v>
      </c>
      <c r="V1566">
        <f t="shared" si="469"/>
        <v>0</v>
      </c>
      <c r="W1566" t="s">
        <v>39</v>
      </c>
      <c r="X1566">
        <f t="shared" si="470"/>
        <v>1</v>
      </c>
      <c r="Y1566">
        <f t="shared" si="471"/>
        <v>0</v>
      </c>
      <c r="Z1566">
        <v>4</v>
      </c>
      <c r="AA1566">
        <f t="shared" si="472"/>
        <v>0.75</v>
      </c>
      <c r="AB1566" t="s">
        <v>46</v>
      </c>
      <c r="AC1566">
        <f t="shared" si="473"/>
        <v>1</v>
      </c>
      <c r="AD1566">
        <f t="shared" si="474"/>
        <v>0</v>
      </c>
      <c r="AE1566" t="s">
        <v>50</v>
      </c>
      <c r="AF1566">
        <f>IF(AE1566="website",1,0)</f>
        <v>0</v>
      </c>
    </row>
    <row r="1567" spans="1:32">
      <c r="A1567" t="s">
        <v>2217</v>
      </c>
      <c r="B1567" t="s">
        <v>33</v>
      </c>
      <c r="C1567" s="3">
        <f t="shared" si="456"/>
        <v>0</v>
      </c>
      <c r="D1567">
        <f t="shared" si="457"/>
        <v>1</v>
      </c>
      <c r="E1567" t="s">
        <v>761</v>
      </c>
      <c r="F1567" t="s">
        <v>571</v>
      </c>
      <c r="G1567" s="1">
        <v>34700</v>
      </c>
      <c r="H1567" s="2">
        <f t="shared" ca="1" si="458"/>
        <v>31</v>
      </c>
      <c r="I1567" s="2">
        <f t="shared" ca="1" si="459"/>
        <v>8.5714285714285715E-2</v>
      </c>
      <c r="J1567" t="s">
        <v>45</v>
      </c>
      <c r="K1567" t="s">
        <v>37</v>
      </c>
      <c r="L1567">
        <f t="shared" si="460"/>
        <v>1</v>
      </c>
      <c r="M1567">
        <f t="shared" si="461"/>
        <v>0</v>
      </c>
      <c r="N1567">
        <f t="shared" si="462"/>
        <v>0</v>
      </c>
      <c r="O1567" t="s">
        <v>38</v>
      </c>
      <c r="P1567">
        <f t="shared" si="463"/>
        <v>1</v>
      </c>
      <c r="Q1567">
        <f t="shared" si="464"/>
        <v>0</v>
      </c>
      <c r="R1567">
        <f t="shared" si="465"/>
        <v>0</v>
      </c>
      <c r="S1567">
        <f t="shared" si="466"/>
        <v>0</v>
      </c>
      <c r="T1567">
        <f t="shared" si="467"/>
        <v>0</v>
      </c>
      <c r="U1567">
        <f t="shared" si="468"/>
        <v>0</v>
      </c>
      <c r="V1567">
        <f t="shared" si="469"/>
        <v>0</v>
      </c>
      <c r="W1567" t="s">
        <v>39</v>
      </c>
      <c r="X1567">
        <f t="shared" si="470"/>
        <v>1</v>
      </c>
      <c r="Y1567">
        <f t="shared" si="471"/>
        <v>0</v>
      </c>
      <c r="Z1567">
        <v>3</v>
      </c>
      <c r="AA1567">
        <f t="shared" si="472"/>
        <v>0.5</v>
      </c>
      <c r="AB1567" t="s">
        <v>46</v>
      </c>
      <c r="AC1567">
        <f t="shared" si="473"/>
        <v>0</v>
      </c>
      <c r="AD1567">
        <f t="shared" si="474"/>
        <v>0</v>
      </c>
      <c r="AE1567" t="s">
        <v>41</v>
      </c>
      <c r="AF1567">
        <f>IF(AE1567="website",1,0)</f>
        <v>1</v>
      </c>
    </row>
    <row r="1568" spans="1:32">
      <c r="A1568" t="s">
        <v>2218</v>
      </c>
      <c r="B1568" t="s">
        <v>33</v>
      </c>
      <c r="C1568" s="3">
        <f t="shared" si="456"/>
        <v>0</v>
      </c>
      <c r="D1568">
        <f t="shared" si="457"/>
        <v>1</v>
      </c>
      <c r="E1568" t="s">
        <v>344</v>
      </c>
      <c r="F1568" t="s">
        <v>571</v>
      </c>
      <c r="G1568" s="1">
        <v>28409</v>
      </c>
      <c r="H1568" s="2">
        <f t="shared" ca="1" si="458"/>
        <v>48</v>
      </c>
      <c r="I1568" s="2">
        <f t="shared" ca="1" si="459"/>
        <v>0.32857142857142857</v>
      </c>
      <c r="J1568" t="s">
        <v>45</v>
      </c>
      <c r="K1568" t="s">
        <v>37</v>
      </c>
      <c r="L1568">
        <f t="shared" si="460"/>
        <v>1</v>
      </c>
      <c r="M1568">
        <f t="shared" si="461"/>
        <v>0</v>
      </c>
      <c r="N1568">
        <f t="shared" si="462"/>
        <v>0</v>
      </c>
      <c r="O1568" t="s">
        <v>785</v>
      </c>
      <c r="P1568">
        <f t="shared" si="463"/>
        <v>0</v>
      </c>
      <c r="Q1568">
        <f t="shared" si="464"/>
        <v>0</v>
      </c>
      <c r="R1568">
        <f t="shared" si="465"/>
        <v>0</v>
      </c>
      <c r="S1568">
        <f t="shared" si="466"/>
        <v>0</v>
      </c>
      <c r="T1568">
        <f t="shared" si="467"/>
        <v>0</v>
      </c>
      <c r="U1568">
        <f t="shared" si="468"/>
        <v>0</v>
      </c>
      <c r="V1568">
        <f t="shared" si="469"/>
        <v>0</v>
      </c>
      <c r="W1568" t="s">
        <v>39</v>
      </c>
      <c r="X1568">
        <f t="shared" si="470"/>
        <v>1</v>
      </c>
      <c r="Y1568">
        <f t="shared" si="471"/>
        <v>0</v>
      </c>
      <c r="Z1568">
        <v>4</v>
      </c>
      <c r="AA1568">
        <f t="shared" si="472"/>
        <v>0.75</v>
      </c>
      <c r="AB1568" t="s">
        <v>46</v>
      </c>
      <c r="AC1568">
        <f t="shared" si="473"/>
        <v>0</v>
      </c>
      <c r="AD1568">
        <f t="shared" si="474"/>
        <v>1</v>
      </c>
      <c r="AE1568" t="s">
        <v>90</v>
      </c>
      <c r="AF1568">
        <f>IF(AE1568="website",1,0)</f>
        <v>0</v>
      </c>
    </row>
    <row r="1569" spans="1:32">
      <c r="A1569" t="s">
        <v>2219</v>
      </c>
      <c r="B1569" t="s">
        <v>33</v>
      </c>
      <c r="C1569" s="3">
        <f t="shared" si="456"/>
        <v>0</v>
      </c>
      <c r="D1569">
        <f t="shared" si="457"/>
        <v>1</v>
      </c>
      <c r="E1569" t="s">
        <v>755</v>
      </c>
      <c r="F1569" t="s">
        <v>703</v>
      </c>
      <c r="G1569" s="1">
        <v>32938</v>
      </c>
      <c r="H1569" s="2">
        <f t="shared" ca="1" si="458"/>
        <v>36</v>
      </c>
      <c r="I1569" s="2">
        <f t="shared" ca="1" si="459"/>
        <v>0.15714285714285714</v>
      </c>
      <c r="J1569" t="s">
        <v>36</v>
      </c>
      <c r="K1569" t="s">
        <v>37</v>
      </c>
      <c r="L1569">
        <f t="shared" si="460"/>
        <v>1</v>
      </c>
      <c r="M1569">
        <f t="shared" si="461"/>
        <v>0</v>
      </c>
      <c r="N1569">
        <f t="shared" si="462"/>
        <v>0</v>
      </c>
      <c r="O1569" t="s">
        <v>38</v>
      </c>
      <c r="P1569">
        <f t="shared" si="463"/>
        <v>1</v>
      </c>
      <c r="Q1569">
        <f t="shared" si="464"/>
        <v>0</v>
      </c>
      <c r="R1569">
        <f t="shared" si="465"/>
        <v>0</v>
      </c>
      <c r="S1569">
        <f t="shared" si="466"/>
        <v>0</v>
      </c>
      <c r="T1569">
        <f t="shared" si="467"/>
        <v>0</v>
      </c>
      <c r="U1569">
        <f t="shared" si="468"/>
        <v>0</v>
      </c>
      <c r="V1569">
        <f t="shared" si="469"/>
        <v>0</v>
      </c>
      <c r="W1569" t="s">
        <v>39</v>
      </c>
      <c r="X1569">
        <f t="shared" si="470"/>
        <v>1</v>
      </c>
      <c r="Y1569">
        <f t="shared" si="471"/>
        <v>0</v>
      </c>
      <c r="Z1569">
        <v>5</v>
      </c>
      <c r="AA1569">
        <f t="shared" si="472"/>
        <v>1</v>
      </c>
      <c r="AB1569" t="s">
        <v>46</v>
      </c>
      <c r="AC1569">
        <f t="shared" si="473"/>
        <v>0</v>
      </c>
      <c r="AD1569">
        <f t="shared" si="474"/>
        <v>0</v>
      </c>
      <c r="AE1569" t="s">
        <v>41</v>
      </c>
      <c r="AF1569">
        <f>IF(AE1569="website",1,0)</f>
        <v>1</v>
      </c>
    </row>
    <row r="1570" spans="1:32">
      <c r="A1570" t="s">
        <v>2220</v>
      </c>
      <c r="B1570" t="s">
        <v>33</v>
      </c>
      <c r="C1570" s="3">
        <f t="shared" si="456"/>
        <v>0</v>
      </c>
      <c r="D1570">
        <f t="shared" si="457"/>
        <v>1</v>
      </c>
      <c r="E1570" t="s">
        <v>556</v>
      </c>
      <c r="F1570" t="s">
        <v>430</v>
      </c>
      <c r="G1570" s="1">
        <v>34278</v>
      </c>
      <c r="H1570" s="2">
        <f t="shared" ca="1" si="458"/>
        <v>32</v>
      </c>
      <c r="I1570" s="2">
        <f t="shared" ca="1" si="459"/>
        <v>0.1</v>
      </c>
      <c r="J1570" t="s">
        <v>36</v>
      </c>
      <c r="K1570" t="s">
        <v>37</v>
      </c>
      <c r="L1570">
        <f t="shared" si="460"/>
        <v>1</v>
      </c>
      <c r="M1570">
        <f t="shared" si="461"/>
        <v>0</v>
      </c>
      <c r="N1570">
        <f t="shared" si="462"/>
        <v>0</v>
      </c>
      <c r="O1570" t="s">
        <v>38</v>
      </c>
      <c r="P1570">
        <f t="shared" si="463"/>
        <v>1</v>
      </c>
      <c r="Q1570">
        <f t="shared" si="464"/>
        <v>0</v>
      </c>
      <c r="R1570">
        <f t="shared" si="465"/>
        <v>0</v>
      </c>
      <c r="S1570">
        <f t="shared" si="466"/>
        <v>0</v>
      </c>
      <c r="T1570">
        <f t="shared" si="467"/>
        <v>0</v>
      </c>
      <c r="U1570">
        <f t="shared" si="468"/>
        <v>0</v>
      </c>
      <c r="V1570">
        <f t="shared" si="469"/>
        <v>0</v>
      </c>
      <c r="W1570" t="s">
        <v>58</v>
      </c>
      <c r="X1570">
        <f t="shared" si="470"/>
        <v>0</v>
      </c>
      <c r="Y1570">
        <f t="shared" si="471"/>
        <v>1</v>
      </c>
      <c r="Z1570">
        <v>1</v>
      </c>
      <c r="AA1570">
        <f t="shared" si="472"/>
        <v>0</v>
      </c>
      <c r="AB1570" t="s">
        <v>40</v>
      </c>
      <c r="AC1570">
        <f t="shared" si="473"/>
        <v>0</v>
      </c>
      <c r="AD1570">
        <f t="shared" si="474"/>
        <v>0</v>
      </c>
      <c r="AE1570" t="s">
        <v>41</v>
      </c>
      <c r="AF1570">
        <f>IF(AE1570="website",1,0)</f>
        <v>1</v>
      </c>
    </row>
    <row r="1571" spans="1:32">
      <c r="A1571" t="s">
        <v>2221</v>
      </c>
      <c r="B1571" t="s">
        <v>33</v>
      </c>
      <c r="C1571" s="3">
        <f t="shared" si="456"/>
        <v>0</v>
      </c>
      <c r="D1571">
        <f t="shared" si="457"/>
        <v>1</v>
      </c>
      <c r="E1571" t="s">
        <v>404</v>
      </c>
      <c r="F1571" t="s">
        <v>579</v>
      </c>
      <c r="G1571" s="1">
        <v>23372</v>
      </c>
      <c r="H1571" s="2">
        <f t="shared" ca="1" si="458"/>
        <v>62</v>
      </c>
      <c r="I1571" s="2">
        <f t="shared" ca="1" si="459"/>
        <v>0.52857142857142858</v>
      </c>
      <c r="J1571" t="s">
        <v>36</v>
      </c>
      <c r="K1571" t="s">
        <v>37</v>
      </c>
      <c r="L1571">
        <f t="shared" si="460"/>
        <v>1</v>
      </c>
      <c r="M1571">
        <f t="shared" si="461"/>
        <v>0</v>
      </c>
      <c r="N1571">
        <f t="shared" si="462"/>
        <v>0</v>
      </c>
      <c r="O1571" t="s">
        <v>559</v>
      </c>
      <c r="P1571">
        <f t="shared" si="463"/>
        <v>0</v>
      </c>
      <c r="Q1571">
        <f t="shared" si="464"/>
        <v>0</v>
      </c>
      <c r="R1571">
        <f t="shared" si="465"/>
        <v>0</v>
      </c>
      <c r="S1571">
        <f t="shared" si="466"/>
        <v>0</v>
      </c>
      <c r="T1571">
        <f t="shared" si="467"/>
        <v>0</v>
      </c>
      <c r="U1571">
        <f t="shared" si="468"/>
        <v>0</v>
      </c>
      <c r="V1571">
        <f t="shared" si="469"/>
        <v>0</v>
      </c>
      <c r="W1571" t="s">
        <v>39</v>
      </c>
      <c r="X1571">
        <f t="shared" si="470"/>
        <v>1</v>
      </c>
      <c r="Y1571">
        <f t="shared" si="471"/>
        <v>0</v>
      </c>
      <c r="Z1571">
        <v>5</v>
      </c>
      <c r="AA1571">
        <f t="shared" si="472"/>
        <v>1</v>
      </c>
      <c r="AB1571" t="s">
        <v>46</v>
      </c>
      <c r="AC1571">
        <f t="shared" si="473"/>
        <v>0</v>
      </c>
      <c r="AD1571">
        <f t="shared" si="474"/>
        <v>0</v>
      </c>
      <c r="AE1571" t="s">
        <v>41</v>
      </c>
      <c r="AF1571">
        <f>IF(AE1571="website",1,0)</f>
        <v>1</v>
      </c>
    </row>
    <row r="1572" spans="1:32">
      <c r="A1572" t="s">
        <v>2222</v>
      </c>
      <c r="B1572" t="s">
        <v>33</v>
      </c>
      <c r="C1572" s="3">
        <f t="shared" si="456"/>
        <v>0</v>
      </c>
      <c r="D1572">
        <f t="shared" si="457"/>
        <v>1</v>
      </c>
      <c r="E1572" t="s">
        <v>1407</v>
      </c>
      <c r="F1572" t="s">
        <v>730</v>
      </c>
      <c r="G1572" s="1">
        <v>28644</v>
      </c>
      <c r="H1572" s="2">
        <f t="shared" ca="1" si="458"/>
        <v>48</v>
      </c>
      <c r="I1572" s="2">
        <f t="shared" ca="1" si="459"/>
        <v>0.32857142857142857</v>
      </c>
      <c r="J1572" t="s">
        <v>45</v>
      </c>
      <c r="K1572" t="s">
        <v>37</v>
      </c>
      <c r="L1572">
        <f t="shared" si="460"/>
        <v>1</v>
      </c>
      <c r="M1572">
        <f t="shared" si="461"/>
        <v>0</v>
      </c>
      <c r="N1572">
        <f t="shared" si="462"/>
        <v>0</v>
      </c>
      <c r="O1572" t="s">
        <v>38</v>
      </c>
      <c r="P1572">
        <f t="shared" si="463"/>
        <v>1</v>
      </c>
      <c r="Q1572">
        <f t="shared" si="464"/>
        <v>0</v>
      </c>
      <c r="R1572">
        <f t="shared" si="465"/>
        <v>0</v>
      </c>
      <c r="S1572">
        <f t="shared" si="466"/>
        <v>0</v>
      </c>
      <c r="T1572">
        <f t="shared" si="467"/>
        <v>0</v>
      </c>
      <c r="U1572">
        <f t="shared" si="468"/>
        <v>0</v>
      </c>
      <c r="V1572">
        <f t="shared" si="469"/>
        <v>0</v>
      </c>
      <c r="W1572" t="s">
        <v>39</v>
      </c>
      <c r="X1572">
        <f t="shared" si="470"/>
        <v>1</v>
      </c>
      <c r="Y1572">
        <f t="shared" si="471"/>
        <v>0</v>
      </c>
      <c r="Z1572">
        <v>2</v>
      </c>
      <c r="AA1572">
        <f t="shared" si="472"/>
        <v>0.25</v>
      </c>
      <c r="AB1572" t="s">
        <v>46</v>
      </c>
      <c r="AC1572">
        <f t="shared" si="473"/>
        <v>0</v>
      </c>
      <c r="AD1572">
        <f t="shared" si="474"/>
        <v>0</v>
      </c>
      <c r="AE1572" t="s">
        <v>41</v>
      </c>
      <c r="AF1572">
        <f>IF(AE1572="website",1,0)</f>
        <v>1</v>
      </c>
    </row>
    <row r="1573" spans="1:32">
      <c r="A1573" t="s">
        <v>2223</v>
      </c>
      <c r="B1573" t="s">
        <v>33</v>
      </c>
      <c r="C1573" s="3">
        <f t="shared" si="456"/>
        <v>0</v>
      </c>
      <c r="D1573">
        <f t="shared" si="457"/>
        <v>1</v>
      </c>
      <c r="E1573" t="s">
        <v>1307</v>
      </c>
      <c r="F1573" t="s">
        <v>728</v>
      </c>
      <c r="G1573" s="1">
        <v>22077</v>
      </c>
      <c r="H1573" s="2">
        <f t="shared" ca="1" si="458"/>
        <v>66</v>
      </c>
      <c r="I1573" s="2">
        <f t="shared" ca="1" si="459"/>
        <v>0.58571428571428574</v>
      </c>
      <c r="J1573" t="s">
        <v>45</v>
      </c>
      <c r="K1573" t="s">
        <v>819</v>
      </c>
      <c r="L1573">
        <f t="shared" si="460"/>
        <v>0</v>
      </c>
      <c r="M1573">
        <f t="shared" si="461"/>
        <v>0</v>
      </c>
      <c r="N1573">
        <f t="shared" si="462"/>
        <v>0</v>
      </c>
      <c r="O1573" t="s">
        <v>1493</v>
      </c>
      <c r="P1573">
        <f t="shared" si="463"/>
        <v>0</v>
      </c>
      <c r="Q1573">
        <f t="shared" si="464"/>
        <v>0</v>
      </c>
      <c r="R1573">
        <f t="shared" si="465"/>
        <v>0</v>
      </c>
      <c r="S1573">
        <f t="shared" si="466"/>
        <v>0</v>
      </c>
      <c r="T1573">
        <f t="shared" si="467"/>
        <v>0</v>
      </c>
      <c r="U1573">
        <f t="shared" si="468"/>
        <v>0</v>
      </c>
      <c r="V1573">
        <f t="shared" si="469"/>
        <v>0</v>
      </c>
      <c r="W1573" t="s">
        <v>39</v>
      </c>
      <c r="X1573">
        <f t="shared" si="470"/>
        <v>1</v>
      </c>
      <c r="Y1573">
        <f t="shared" si="471"/>
        <v>0</v>
      </c>
      <c r="Z1573">
        <v>3</v>
      </c>
      <c r="AA1573">
        <f t="shared" si="472"/>
        <v>0.5</v>
      </c>
      <c r="AB1573" t="s">
        <v>46</v>
      </c>
      <c r="AC1573">
        <f t="shared" si="473"/>
        <v>1</v>
      </c>
      <c r="AD1573">
        <f t="shared" si="474"/>
        <v>0</v>
      </c>
      <c r="AE1573" t="s">
        <v>50</v>
      </c>
      <c r="AF1573">
        <f>IF(AE1573="website",1,0)</f>
        <v>0</v>
      </c>
    </row>
    <row r="1574" spans="1:32">
      <c r="A1574" t="s">
        <v>2224</v>
      </c>
      <c r="B1574" t="s">
        <v>33</v>
      </c>
      <c r="C1574" s="3">
        <f t="shared" si="456"/>
        <v>0</v>
      </c>
      <c r="D1574">
        <f t="shared" si="457"/>
        <v>1</v>
      </c>
      <c r="E1574" t="s">
        <v>404</v>
      </c>
      <c r="F1574" t="s">
        <v>695</v>
      </c>
      <c r="G1574" s="1">
        <v>16929</v>
      </c>
      <c r="H1574" s="2">
        <f t="shared" ca="1" si="458"/>
        <v>80</v>
      </c>
      <c r="I1574" s="2">
        <f t="shared" ca="1" si="459"/>
        <v>0.7857142857142857</v>
      </c>
      <c r="J1574" t="s">
        <v>36</v>
      </c>
      <c r="K1574" t="s">
        <v>37</v>
      </c>
      <c r="L1574">
        <f t="shared" si="460"/>
        <v>1</v>
      </c>
      <c r="M1574">
        <f t="shared" si="461"/>
        <v>0</v>
      </c>
      <c r="N1574">
        <f t="shared" si="462"/>
        <v>0</v>
      </c>
      <c r="O1574" t="s">
        <v>38</v>
      </c>
      <c r="P1574">
        <f t="shared" si="463"/>
        <v>1</v>
      </c>
      <c r="Q1574">
        <f t="shared" si="464"/>
        <v>0</v>
      </c>
      <c r="R1574">
        <f t="shared" si="465"/>
        <v>0</v>
      </c>
      <c r="S1574">
        <f t="shared" si="466"/>
        <v>0</v>
      </c>
      <c r="T1574">
        <f t="shared" si="467"/>
        <v>0</v>
      </c>
      <c r="U1574">
        <f t="shared" si="468"/>
        <v>0</v>
      </c>
      <c r="V1574">
        <f t="shared" si="469"/>
        <v>0</v>
      </c>
      <c r="W1574" t="s">
        <v>39</v>
      </c>
      <c r="X1574">
        <f t="shared" si="470"/>
        <v>1</v>
      </c>
      <c r="Y1574">
        <f t="shared" si="471"/>
        <v>0</v>
      </c>
      <c r="Z1574">
        <v>1</v>
      </c>
      <c r="AA1574">
        <f t="shared" si="472"/>
        <v>0</v>
      </c>
      <c r="AB1574" t="s">
        <v>46</v>
      </c>
      <c r="AC1574">
        <f t="shared" si="473"/>
        <v>0</v>
      </c>
      <c r="AD1574">
        <f t="shared" si="474"/>
        <v>0</v>
      </c>
      <c r="AE1574" t="s">
        <v>41</v>
      </c>
      <c r="AF1574">
        <f>IF(AE1574="website",1,0)</f>
        <v>1</v>
      </c>
    </row>
    <row r="1575" spans="1:32">
      <c r="A1575" t="s">
        <v>2225</v>
      </c>
      <c r="B1575" t="s">
        <v>33</v>
      </c>
      <c r="C1575" s="3">
        <f t="shared" si="456"/>
        <v>0</v>
      </c>
      <c r="D1575">
        <f t="shared" si="457"/>
        <v>1</v>
      </c>
      <c r="E1575" t="s">
        <v>1073</v>
      </c>
      <c r="F1575" t="s">
        <v>742</v>
      </c>
      <c r="G1575" s="1">
        <v>30908</v>
      </c>
      <c r="H1575" s="2">
        <f t="shared" ca="1" si="458"/>
        <v>42</v>
      </c>
      <c r="I1575" s="2">
        <f t="shared" ca="1" si="459"/>
        <v>0.24285714285714285</v>
      </c>
      <c r="J1575" t="s">
        <v>45</v>
      </c>
      <c r="K1575" t="s">
        <v>37</v>
      </c>
      <c r="L1575">
        <f t="shared" si="460"/>
        <v>1</v>
      </c>
      <c r="M1575">
        <f t="shared" si="461"/>
        <v>0</v>
      </c>
      <c r="N1575">
        <f t="shared" si="462"/>
        <v>0</v>
      </c>
      <c r="O1575" t="s">
        <v>38</v>
      </c>
      <c r="P1575">
        <f t="shared" si="463"/>
        <v>1</v>
      </c>
      <c r="Q1575">
        <f t="shared" si="464"/>
        <v>0</v>
      </c>
      <c r="R1575">
        <f t="shared" si="465"/>
        <v>0</v>
      </c>
      <c r="S1575">
        <f t="shared" si="466"/>
        <v>0</v>
      </c>
      <c r="T1575">
        <f t="shared" si="467"/>
        <v>0</v>
      </c>
      <c r="U1575">
        <f t="shared" si="468"/>
        <v>0</v>
      </c>
      <c r="V1575">
        <f t="shared" si="469"/>
        <v>0</v>
      </c>
      <c r="W1575" t="s">
        <v>39</v>
      </c>
      <c r="X1575">
        <f t="shared" si="470"/>
        <v>1</v>
      </c>
      <c r="Y1575">
        <f t="shared" si="471"/>
        <v>0</v>
      </c>
      <c r="Z1575">
        <v>4</v>
      </c>
      <c r="AA1575">
        <f t="shared" si="472"/>
        <v>0.75</v>
      </c>
      <c r="AB1575" t="s">
        <v>46</v>
      </c>
      <c r="AC1575">
        <f t="shared" si="473"/>
        <v>0</v>
      </c>
      <c r="AD1575">
        <f t="shared" si="474"/>
        <v>0</v>
      </c>
      <c r="AE1575" t="s">
        <v>41</v>
      </c>
      <c r="AF1575">
        <f>IF(AE1575="website",1,0)</f>
        <v>1</v>
      </c>
    </row>
    <row r="1576" spans="1:32">
      <c r="A1576" t="s">
        <v>2226</v>
      </c>
      <c r="B1576" t="s">
        <v>33</v>
      </c>
      <c r="C1576" s="3">
        <f t="shared" si="456"/>
        <v>0</v>
      </c>
      <c r="D1576">
        <f t="shared" si="457"/>
        <v>1</v>
      </c>
      <c r="E1576" t="s">
        <v>792</v>
      </c>
      <c r="F1576" t="s">
        <v>757</v>
      </c>
      <c r="G1576" s="1">
        <v>36879</v>
      </c>
      <c r="H1576" s="2">
        <f t="shared" ca="1" si="458"/>
        <v>25</v>
      </c>
      <c r="I1576" s="2">
        <f t="shared" ca="1" si="459"/>
        <v>0</v>
      </c>
      <c r="J1576" t="s">
        <v>45</v>
      </c>
      <c r="K1576" t="s">
        <v>37</v>
      </c>
      <c r="L1576">
        <f t="shared" si="460"/>
        <v>1</v>
      </c>
      <c r="M1576">
        <f t="shared" si="461"/>
        <v>0</v>
      </c>
      <c r="N1576">
        <f t="shared" si="462"/>
        <v>0</v>
      </c>
      <c r="O1576" t="s">
        <v>38</v>
      </c>
      <c r="P1576">
        <f t="shared" si="463"/>
        <v>1</v>
      </c>
      <c r="Q1576">
        <f t="shared" si="464"/>
        <v>0</v>
      </c>
      <c r="R1576">
        <f t="shared" si="465"/>
        <v>0</v>
      </c>
      <c r="S1576">
        <f t="shared" si="466"/>
        <v>0</v>
      </c>
      <c r="T1576">
        <f t="shared" si="467"/>
        <v>0</v>
      </c>
      <c r="U1576">
        <f t="shared" si="468"/>
        <v>0</v>
      </c>
      <c r="V1576">
        <f t="shared" si="469"/>
        <v>0</v>
      </c>
      <c r="W1576" t="s">
        <v>39</v>
      </c>
      <c r="X1576">
        <f t="shared" si="470"/>
        <v>1</v>
      </c>
      <c r="Y1576">
        <f t="shared" si="471"/>
        <v>0</v>
      </c>
      <c r="Z1576">
        <v>2</v>
      </c>
      <c r="AA1576">
        <f t="shared" si="472"/>
        <v>0.25</v>
      </c>
      <c r="AB1576" t="s">
        <v>46</v>
      </c>
      <c r="AC1576">
        <f t="shared" si="473"/>
        <v>0</v>
      </c>
      <c r="AD1576">
        <f t="shared" si="474"/>
        <v>0</v>
      </c>
      <c r="AE1576" t="s">
        <v>41</v>
      </c>
      <c r="AF1576">
        <f>IF(AE1576="website",1,0)</f>
        <v>1</v>
      </c>
    </row>
    <row r="1577" spans="1:32">
      <c r="A1577" t="s">
        <v>2227</v>
      </c>
      <c r="B1577" t="s">
        <v>33</v>
      </c>
      <c r="C1577" s="3">
        <f t="shared" si="456"/>
        <v>0</v>
      </c>
      <c r="D1577">
        <f t="shared" si="457"/>
        <v>1</v>
      </c>
      <c r="E1577" t="s">
        <v>804</v>
      </c>
      <c r="F1577" t="s">
        <v>876</v>
      </c>
      <c r="G1577" s="1">
        <v>28396</v>
      </c>
      <c r="H1577" s="2">
        <f t="shared" ca="1" si="458"/>
        <v>49</v>
      </c>
      <c r="I1577" s="2">
        <f t="shared" ca="1" si="459"/>
        <v>0.34285714285714286</v>
      </c>
      <c r="J1577" t="s">
        <v>36</v>
      </c>
      <c r="K1577" t="s">
        <v>37</v>
      </c>
      <c r="L1577">
        <f t="shared" si="460"/>
        <v>1</v>
      </c>
      <c r="M1577">
        <f t="shared" si="461"/>
        <v>0</v>
      </c>
      <c r="N1577">
        <f t="shared" si="462"/>
        <v>0</v>
      </c>
      <c r="O1577" t="s">
        <v>124</v>
      </c>
      <c r="P1577">
        <f t="shared" si="463"/>
        <v>0</v>
      </c>
      <c r="Q1577">
        <f t="shared" si="464"/>
        <v>0</v>
      </c>
      <c r="R1577">
        <f t="shared" si="465"/>
        <v>0</v>
      </c>
      <c r="S1577">
        <f t="shared" si="466"/>
        <v>0</v>
      </c>
      <c r="T1577">
        <f t="shared" si="467"/>
        <v>0</v>
      </c>
      <c r="U1577">
        <f t="shared" si="468"/>
        <v>1</v>
      </c>
      <c r="V1577">
        <f t="shared" si="469"/>
        <v>0</v>
      </c>
      <c r="W1577" t="s">
        <v>58</v>
      </c>
      <c r="X1577">
        <f t="shared" si="470"/>
        <v>0</v>
      </c>
      <c r="Y1577">
        <f t="shared" si="471"/>
        <v>1</v>
      </c>
      <c r="Z1577">
        <v>3</v>
      </c>
      <c r="AA1577">
        <f t="shared" si="472"/>
        <v>0.5</v>
      </c>
      <c r="AB1577" t="s">
        <v>40</v>
      </c>
      <c r="AC1577">
        <f t="shared" si="473"/>
        <v>0</v>
      </c>
      <c r="AD1577">
        <f t="shared" si="474"/>
        <v>0</v>
      </c>
      <c r="AE1577" t="s">
        <v>41</v>
      </c>
      <c r="AF1577">
        <f>IF(AE1577="website",1,0)</f>
        <v>1</v>
      </c>
    </row>
    <row r="1578" spans="1:32">
      <c r="A1578" t="s">
        <v>2228</v>
      </c>
      <c r="B1578" t="s">
        <v>33</v>
      </c>
      <c r="C1578" s="3">
        <f t="shared" si="456"/>
        <v>0</v>
      </c>
      <c r="D1578">
        <f t="shared" si="457"/>
        <v>1</v>
      </c>
      <c r="E1578" t="s">
        <v>1407</v>
      </c>
      <c r="F1578" t="s">
        <v>308</v>
      </c>
      <c r="G1578" s="1">
        <v>30362</v>
      </c>
      <c r="H1578" s="2">
        <f t="shared" ca="1" si="458"/>
        <v>43</v>
      </c>
      <c r="I1578" s="2">
        <f t="shared" ca="1" si="459"/>
        <v>0.25714285714285712</v>
      </c>
      <c r="J1578" t="s">
        <v>45</v>
      </c>
      <c r="K1578" t="s">
        <v>113</v>
      </c>
      <c r="L1578">
        <f t="shared" si="460"/>
        <v>0</v>
      </c>
      <c r="M1578">
        <f t="shared" si="461"/>
        <v>0</v>
      </c>
      <c r="N1578">
        <f t="shared" si="462"/>
        <v>1</v>
      </c>
      <c r="O1578" t="s">
        <v>1137</v>
      </c>
      <c r="P1578">
        <f t="shared" si="463"/>
        <v>0</v>
      </c>
      <c r="Q1578">
        <f t="shared" si="464"/>
        <v>0</v>
      </c>
      <c r="R1578">
        <f t="shared" si="465"/>
        <v>0</v>
      </c>
      <c r="S1578">
        <f t="shared" si="466"/>
        <v>0</v>
      </c>
      <c r="T1578">
        <f t="shared" si="467"/>
        <v>0</v>
      </c>
      <c r="U1578">
        <f t="shared" si="468"/>
        <v>0</v>
      </c>
      <c r="V1578">
        <f t="shared" si="469"/>
        <v>0</v>
      </c>
      <c r="W1578" t="s">
        <v>39</v>
      </c>
      <c r="X1578">
        <f t="shared" si="470"/>
        <v>1</v>
      </c>
      <c r="Y1578">
        <f t="shared" si="471"/>
        <v>0</v>
      </c>
      <c r="Z1578">
        <v>3</v>
      </c>
      <c r="AA1578">
        <f t="shared" si="472"/>
        <v>0.5</v>
      </c>
      <c r="AB1578" t="s">
        <v>46</v>
      </c>
      <c r="AC1578">
        <f t="shared" si="473"/>
        <v>0</v>
      </c>
      <c r="AD1578">
        <f t="shared" si="474"/>
        <v>0</v>
      </c>
      <c r="AE1578" t="s">
        <v>41</v>
      </c>
      <c r="AF1578">
        <f>IF(AE1578="website",1,0)</f>
        <v>1</v>
      </c>
    </row>
    <row r="1579" spans="1:32">
      <c r="A1579" t="s">
        <v>2229</v>
      </c>
      <c r="B1579" t="s">
        <v>33</v>
      </c>
      <c r="C1579" s="3">
        <f t="shared" si="456"/>
        <v>0</v>
      </c>
      <c r="D1579">
        <f t="shared" si="457"/>
        <v>1</v>
      </c>
      <c r="E1579" t="s">
        <v>658</v>
      </c>
      <c r="F1579" t="s">
        <v>430</v>
      </c>
      <c r="G1579" s="1">
        <v>35136</v>
      </c>
      <c r="H1579" s="2">
        <f t="shared" ca="1" si="458"/>
        <v>30</v>
      </c>
      <c r="I1579" s="2">
        <f t="shared" ca="1" si="459"/>
        <v>7.1428571428571425E-2</v>
      </c>
      <c r="J1579" t="s">
        <v>45</v>
      </c>
      <c r="K1579" t="s">
        <v>37</v>
      </c>
      <c r="L1579">
        <f t="shared" si="460"/>
        <v>1</v>
      </c>
      <c r="M1579">
        <f t="shared" si="461"/>
        <v>0</v>
      </c>
      <c r="N1579">
        <f t="shared" si="462"/>
        <v>0</v>
      </c>
      <c r="O1579" t="s">
        <v>38</v>
      </c>
      <c r="P1579">
        <f t="shared" si="463"/>
        <v>1</v>
      </c>
      <c r="Q1579">
        <f t="shared" si="464"/>
        <v>0</v>
      </c>
      <c r="R1579">
        <f t="shared" si="465"/>
        <v>0</v>
      </c>
      <c r="S1579">
        <f t="shared" si="466"/>
        <v>0</v>
      </c>
      <c r="T1579">
        <f t="shared" si="467"/>
        <v>0</v>
      </c>
      <c r="U1579">
        <f t="shared" si="468"/>
        <v>0</v>
      </c>
      <c r="V1579">
        <f t="shared" si="469"/>
        <v>0</v>
      </c>
      <c r="W1579" t="s">
        <v>58</v>
      </c>
      <c r="X1579">
        <f t="shared" si="470"/>
        <v>0</v>
      </c>
      <c r="Y1579">
        <f t="shared" si="471"/>
        <v>1</v>
      </c>
      <c r="Z1579">
        <v>2</v>
      </c>
      <c r="AA1579">
        <f t="shared" si="472"/>
        <v>0.25</v>
      </c>
      <c r="AB1579" t="s">
        <v>46</v>
      </c>
      <c r="AC1579">
        <f t="shared" si="473"/>
        <v>0</v>
      </c>
      <c r="AD1579">
        <f t="shared" si="474"/>
        <v>0</v>
      </c>
      <c r="AE1579" t="s">
        <v>41</v>
      </c>
      <c r="AF1579">
        <f>IF(AE1579="website",1,0)</f>
        <v>1</v>
      </c>
    </row>
    <row r="1580" spans="1:32">
      <c r="A1580" t="s">
        <v>2230</v>
      </c>
      <c r="B1580" t="s">
        <v>33</v>
      </c>
      <c r="C1580" s="3">
        <f t="shared" si="456"/>
        <v>0</v>
      </c>
      <c r="D1580">
        <f t="shared" si="457"/>
        <v>1</v>
      </c>
      <c r="E1580" t="s">
        <v>1288</v>
      </c>
      <c r="F1580" t="s">
        <v>818</v>
      </c>
      <c r="G1580" s="1">
        <v>16713</v>
      </c>
      <c r="H1580" s="2">
        <f t="shared" ca="1" si="458"/>
        <v>81</v>
      </c>
      <c r="I1580" s="2">
        <f t="shared" ca="1" si="459"/>
        <v>0.8</v>
      </c>
      <c r="J1580" t="s">
        <v>45</v>
      </c>
      <c r="K1580" t="s">
        <v>37</v>
      </c>
      <c r="L1580">
        <f t="shared" si="460"/>
        <v>1</v>
      </c>
      <c r="M1580">
        <f t="shared" si="461"/>
        <v>0</v>
      </c>
      <c r="N1580">
        <f t="shared" si="462"/>
        <v>0</v>
      </c>
      <c r="O1580" t="s">
        <v>97</v>
      </c>
      <c r="P1580">
        <f t="shared" si="463"/>
        <v>0</v>
      </c>
      <c r="Q1580">
        <f t="shared" si="464"/>
        <v>0</v>
      </c>
      <c r="R1580">
        <f t="shared" si="465"/>
        <v>0</v>
      </c>
      <c r="S1580">
        <f t="shared" si="466"/>
        <v>0</v>
      </c>
      <c r="T1580">
        <f t="shared" si="467"/>
        <v>1</v>
      </c>
      <c r="U1580">
        <f t="shared" si="468"/>
        <v>0</v>
      </c>
      <c r="V1580">
        <f t="shared" si="469"/>
        <v>0</v>
      </c>
      <c r="W1580" t="s">
        <v>58</v>
      </c>
      <c r="X1580">
        <f t="shared" si="470"/>
        <v>0</v>
      </c>
      <c r="Y1580">
        <f t="shared" si="471"/>
        <v>1</v>
      </c>
      <c r="Z1580">
        <v>4</v>
      </c>
      <c r="AA1580">
        <f t="shared" si="472"/>
        <v>0.75</v>
      </c>
      <c r="AB1580" t="s">
        <v>46</v>
      </c>
      <c r="AC1580">
        <f t="shared" si="473"/>
        <v>0</v>
      </c>
      <c r="AD1580">
        <f t="shared" si="474"/>
        <v>0</v>
      </c>
      <c r="AE1580" t="s">
        <v>41</v>
      </c>
      <c r="AF1580">
        <f>IF(AE1580="website",1,0)</f>
        <v>1</v>
      </c>
    </row>
    <row r="1581" spans="1:32">
      <c r="A1581" t="s">
        <v>2231</v>
      </c>
      <c r="B1581" t="s">
        <v>33</v>
      </c>
      <c r="C1581" s="3">
        <f t="shared" si="456"/>
        <v>0</v>
      </c>
      <c r="D1581">
        <f t="shared" si="457"/>
        <v>1</v>
      </c>
      <c r="E1581" t="s">
        <v>700</v>
      </c>
      <c r="F1581" t="s">
        <v>610</v>
      </c>
      <c r="G1581" s="1">
        <v>35769</v>
      </c>
      <c r="H1581" s="2">
        <f t="shared" ca="1" si="458"/>
        <v>28</v>
      </c>
      <c r="I1581" s="2">
        <f t="shared" ca="1" si="459"/>
        <v>4.2857142857142858E-2</v>
      </c>
      <c r="J1581" t="s">
        <v>45</v>
      </c>
      <c r="K1581" t="s">
        <v>37</v>
      </c>
      <c r="L1581">
        <f t="shared" si="460"/>
        <v>1</v>
      </c>
      <c r="M1581">
        <f t="shared" si="461"/>
        <v>0</v>
      </c>
      <c r="N1581">
        <f t="shared" si="462"/>
        <v>0</v>
      </c>
      <c r="O1581" t="s">
        <v>785</v>
      </c>
      <c r="P1581">
        <f t="shared" si="463"/>
        <v>0</v>
      </c>
      <c r="Q1581">
        <f t="shared" si="464"/>
        <v>0</v>
      </c>
      <c r="R1581">
        <f t="shared" si="465"/>
        <v>0</v>
      </c>
      <c r="S1581">
        <f t="shared" si="466"/>
        <v>0</v>
      </c>
      <c r="T1581">
        <f t="shared" si="467"/>
        <v>0</v>
      </c>
      <c r="U1581">
        <f t="shared" si="468"/>
        <v>0</v>
      </c>
      <c r="V1581">
        <f t="shared" si="469"/>
        <v>0</v>
      </c>
      <c r="W1581" t="s">
        <v>58</v>
      </c>
      <c r="X1581">
        <f t="shared" si="470"/>
        <v>0</v>
      </c>
      <c r="Y1581">
        <f t="shared" si="471"/>
        <v>1</v>
      </c>
      <c r="Z1581">
        <v>1</v>
      </c>
      <c r="AA1581">
        <f t="shared" si="472"/>
        <v>0</v>
      </c>
      <c r="AB1581" t="s">
        <v>40</v>
      </c>
      <c r="AC1581">
        <f t="shared" si="473"/>
        <v>0</v>
      </c>
      <c r="AD1581">
        <f t="shared" si="474"/>
        <v>0</v>
      </c>
      <c r="AE1581" t="s">
        <v>41</v>
      </c>
      <c r="AF1581">
        <f>IF(AE1581="website",1,0)</f>
        <v>1</v>
      </c>
    </row>
    <row r="1582" spans="1:32">
      <c r="A1582" t="s">
        <v>2232</v>
      </c>
      <c r="B1582" t="s">
        <v>33</v>
      </c>
      <c r="C1582" s="3">
        <f t="shared" si="456"/>
        <v>0</v>
      </c>
      <c r="D1582">
        <f t="shared" si="457"/>
        <v>1</v>
      </c>
      <c r="E1582" t="s">
        <v>659</v>
      </c>
      <c r="F1582" t="s">
        <v>641</v>
      </c>
      <c r="G1582" s="1">
        <v>18575</v>
      </c>
      <c r="H1582" s="2">
        <f t="shared" ca="1" si="458"/>
        <v>75</v>
      </c>
      <c r="I1582" s="2">
        <f t="shared" ca="1" si="459"/>
        <v>0.7142857142857143</v>
      </c>
      <c r="J1582" t="s">
        <v>45</v>
      </c>
      <c r="K1582" t="s">
        <v>37</v>
      </c>
      <c r="L1582">
        <f t="shared" si="460"/>
        <v>1</v>
      </c>
      <c r="M1582">
        <f t="shared" si="461"/>
        <v>0</v>
      </c>
      <c r="N1582">
        <f t="shared" si="462"/>
        <v>0</v>
      </c>
      <c r="O1582" t="s">
        <v>38</v>
      </c>
      <c r="P1582">
        <f t="shared" si="463"/>
        <v>1</v>
      </c>
      <c r="Q1582">
        <f t="shared" si="464"/>
        <v>0</v>
      </c>
      <c r="R1582">
        <f t="shared" si="465"/>
        <v>0</v>
      </c>
      <c r="S1582">
        <f t="shared" si="466"/>
        <v>0</v>
      </c>
      <c r="T1582">
        <f t="shared" si="467"/>
        <v>0</v>
      </c>
      <c r="U1582">
        <f t="shared" si="468"/>
        <v>0</v>
      </c>
      <c r="V1582">
        <f t="shared" si="469"/>
        <v>0</v>
      </c>
      <c r="W1582" t="s">
        <v>58</v>
      </c>
      <c r="X1582">
        <f t="shared" si="470"/>
        <v>0</v>
      </c>
      <c r="Y1582">
        <f t="shared" si="471"/>
        <v>1</v>
      </c>
      <c r="Z1582">
        <v>1</v>
      </c>
      <c r="AA1582">
        <f t="shared" si="472"/>
        <v>0</v>
      </c>
      <c r="AB1582" t="s">
        <v>46</v>
      </c>
      <c r="AC1582">
        <f t="shared" si="473"/>
        <v>0</v>
      </c>
      <c r="AD1582">
        <f t="shared" si="474"/>
        <v>0</v>
      </c>
      <c r="AE1582" t="s">
        <v>41</v>
      </c>
      <c r="AF1582">
        <f>IF(AE1582="website",1,0)</f>
        <v>1</v>
      </c>
    </row>
    <row r="1583" spans="1:32">
      <c r="A1583" t="s">
        <v>2233</v>
      </c>
      <c r="B1583" t="s">
        <v>33</v>
      </c>
      <c r="C1583" s="3">
        <f t="shared" si="456"/>
        <v>0</v>
      </c>
      <c r="D1583">
        <f t="shared" si="457"/>
        <v>1</v>
      </c>
      <c r="E1583" t="s">
        <v>1125</v>
      </c>
      <c r="F1583" t="s">
        <v>728</v>
      </c>
      <c r="G1583" s="1">
        <v>20321</v>
      </c>
      <c r="H1583" s="2">
        <f t="shared" ca="1" si="458"/>
        <v>71</v>
      </c>
      <c r="I1583" s="2">
        <f t="shared" ca="1" si="459"/>
        <v>0.65714285714285714</v>
      </c>
      <c r="J1583" t="s">
        <v>45</v>
      </c>
      <c r="K1583" t="s">
        <v>626</v>
      </c>
      <c r="L1583">
        <f t="shared" si="460"/>
        <v>0</v>
      </c>
      <c r="M1583">
        <f t="shared" si="461"/>
        <v>0</v>
      </c>
      <c r="N1583">
        <f t="shared" si="462"/>
        <v>0</v>
      </c>
      <c r="O1583" t="s">
        <v>627</v>
      </c>
      <c r="P1583">
        <f t="shared" si="463"/>
        <v>0</v>
      </c>
      <c r="Q1583">
        <f t="shared" si="464"/>
        <v>0</v>
      </c>
      <c r="R1583">
        <f t="shared" si="465"/>
        <v>0</v>
      </c>
      <c r="S1583">
        <f t="shared" si="466"/>
        <v>0</v>
      </c>
      <c r="T1583">
        <f t="shared" si="467"/>
        <v>0</v>
      </c>
      <c r="U1583">
        <f t="shared" si="468"/>
        <v>0</v>
      </c>
      <c r="V1583">
        <f t="shared" si="469"/>
        <v>0</v>
      </c>
      <c r="W1583" t="s">
        <v>39</v>
      </c>
      <c r="X1583">
        <f t="shared" si="470"/>
        <v>1</v>
      </c>
      <c r="Y1583">
        <f t="shared" si="471"/>
        <v>0</v>
      </c>
      <c r="Z1583">
        <v>4</v>
      </c>
      <c r="AA1583">
        <f t="shared" si="472"/>
        <v>0.75</v>
      </c>
      <c r="AB1583" t="s">
        <v>40</v>
      </c>
      <c r="AC1583">
        <f t="shared" si="473"/>
        <v>0</v>
      </c>
      <c r="AD1583">
        <f t="shared" si="474"/>
        <v>1</v>
      </c>
      <c r="AE1583" t="s">
        <v>90</v>
      </c>
      <c r="AF1583">
        <f>IF(AE1583="website",1,0)</f>
        <v>0</v>
      </c>
    </row>
    <row r="1584" spans="1:32">
      <c r="A1584" t="s">
        <v>2234</v>
      </c>
      <c r="B1584" t="s">
        <v>33</v>
      </c>
      <c r="C1584" s="3">
        <f t="shared" si="456"/>
        <v>0</v>
      </c>
      <c r="D1584">
        <f t="shared" si="457"/>
        <v>1</v>
      </c>
      <c r="E1584" t="s">
        <v>598</v>
      </c>
      <c r="F1584" t="s">
        <v>941</v>
      </c>
      <c r="G1584" s="1">
        <v>24840</v>
      </c>
      <c r="H1584" s="2">
        <f t="shared" ca="1" si="458"/>
        <v>58</v>
      </c>
      <c r="I1584" s="2">
        <f t="shared" ca="1" si="459"/>
        <v>0.47142857142857142</v>
      </c>
      <c r="J1584" t="s">
        <v>45</v>
      </c>
      <c r="K1584" t="s">
        <v>37</v>
      </c>
      <c r="L1584">
        <f t="shared" si="460"/>
        <v>1</v>
      </c>
      <c r="M1584">
        <f t="shared" si="461"/>
        <v>0</v>
      </c>
      <c r="N1584">
        <f t="shared" si="462"/>
        <v>0</v>
      </c>
      <c r="O1584" t="s">
        <v>38</v>
      </c>
      <c r="P1584">
        <f t="shared" si="463"/>
        <v>1</v>
      </c>
      <c r="Q1584">
        <f t="shared" si="464"/>
        <v>0</v>
      </c>
      <c r="R1584">
        <f t="shared" si="465"/>
        <v>0</v>
      </c>
      <c r="S1584">
        <f t="shared" si="466"/>
        <v>0</v>
      </c>
      <c r="T1584">
        <f t="shared" si="467"/>
        <v>0</v>
      </c>
      <c r="U1584">
        <f t="shared" si="468"/>
        <v>0</v>
      </c>
      <c r="V1584">
        <f t="shared" si="469"/>
        <v>0</v>
      </c>
      <c r="W1584" t="s">
        <v>39</v>
      </c>
      <c r="X1584">
        <f t="shared" si="470"/>
        <v>1</v>
      </c>
      <c r="Y1584">
        <f t="shared" si="471"/>
        <v>0</v>
      </c>
      <c r="Z1584">
        <v>2</v>
      </c>
      <c r="AA1584">
        <f t="shared" si="472"/>
        <v>0.25</v>
      </c>
      <c r="AB1584" t="s">
        <v>46</v>
      </c>
      <c r="AC1584">
        <f t="shared" si="473"/>
        <v>1</v>
      </c>
      <c r="AD1584">
        <f t="shared" si="474"/>
        <v>0</v>
      </c>
      <c r="AE1584" t="s">
        <v>50</v>
      </c>
      <c r="AF1584">
        <f>IF(AE1584="website",1,0)</f>
        <v>0</v>
      </c>
    </row>
    <row r="1585" spans="1:32">
      <c r="A1585" t="s">
        <v>2235</v>
      </c>
      <c r="B1585" t="s">
        <v>55</v>
      </c>
      <c r="C1585" s="3">
        <f t="shared" si="456"/>
        <v>1</v>
      </c>
      <c r="D1585">
        <f t="shared" si="457"/>
        <v>0</v>
      </c>
      <c r="E1585" t="s">
        <v>2236</v>
      </c>
      <c r="F1585" t="s">
        <v>57</v>
      </c>
      <c r="G1585" s="1">
        <v>31271</v>
      </c>
      <c r="H1585" s="2">
        <f t="shared" ca="1" si="458"/>
        <v>41</v>
      </c>
      <c r="I1585" s="2">
        <f t="shared" ca="1" si="459"/>
        <v>0.22857142857142856</v>
      </c>
      <c r="J1585" t="s">
        <v>45</v>
      </c>
      <c r="K1585" t="s">
        <v>626</v>
      </c>
      <c r="L1585">
        <f t="shared" si="460"/>
        <v>0</v>
      </c>
      <c r="M1585">
        <f t="shared" si="461"/>
        <v>0</v>
      </c>
      <c r="N1585">
        <f t="shared" si="462"/>
        <v>0</v>
      </c>
      <c r="O1585" t="s">
        <v>1117</v>
      </c>
      <c r="P1585">
        <f t="shared" si="463"/>
        <v>0</v>
      </c>
      <c r="Q1585">
        <f t="shared" si="464"/>
        <v>0</v>
      </c>
      <c r="R1585">
        <f t="shared" si="465"/>
        <v>0</v>
      </c>
      <c r="S1585">
        <f t="shared" si="466"/>
        <v>0</v>
      </c>
      <c r="T1585">
        <f t="shared" si="467"/>
        <v>0</v>
      </c>
      <c r="U1585">
        <f t="shared" si="468"/>
        <v>0</v>
      </c>
      <c r="V1585">
        <f t="shared" si="469"/>
        <v>0</v>
      </c>
      <c r="W1585" t="s">
        <v>58</v>
      </c>
      <c r="X1585">
        <f t="shared" si="470"/>
        <v>0</v>
      </c>
      <c r="Y1585">
        <f t="shared" si="471"/>
        <v>1</v>
      </c>
      <c r="Z1585">
        <v>1</v>
      </c>
      <c r="AA1585">
        <f t="shared" si="472"/>
        <v>0</v>
      </c>
      <c r="AB1585" t="s">
        <v>40</v>
      </c>
      <c r="AC1585">
        <f t="shared" si="473"/>
        <v>0</v>
      </c>
      <c r="AD1585">
        <f t="shared" si="474"/>
        <v>0</v>
      </c>
      <c r="AE1585" t="s">
        <v>41</v>
      </c>
      <c r="AF1585">
        <f>IF(AE1585="website",1,0)</f>
        <v>1</v>
      </c>
    </row>
    <row r="1586" spans="1:32">
      <c r="A1586" t="s">
        <v>2237</v>
      </c>
      <c r="B1586" t="s">
        <v>33</v>
      </c>
      <c r="C1586" s="3">
        <f t="shared" si="456"/>
        <v>0</v>
      </c>
      <c r="D1586">
        <f t="shared" si="457"/>
        <v>1</v>
      </c>
      <c r="E1586" t="s">
        <v>191</v>
      </c>
      <c r="F1586" t="s">
        <v>825</v>
      </c>
      <c r="G1586" s="1">
        <v>22199</v>
      </c>
      <c r="H1586" s="2">
        <f t="shared" ca="1" si="458"/>
        <v>65</v>
      </c>
      <c r="I1586" s="2">
        <f t="shared" ca="1" si="459"/>
        <v>0.5714285714285714</v>
      </c>
      <c r="J1586" t="s">
        <v>45</v>
      </c>
      <c r="K1586" t="s">
        <v>65</v>
      </c>
      <c r="L1586">
        <f t="shared" si="460"/>
        <v>0</v>
      </c>
      <c r="M1586">
        <f t="shared" si="461"/>
        <v>1</v>
      </c>
      <c r="N1586">
        <f t="shared" si="462"/>
        <v>0</v>
      </c>
      <c r="O1586" t="s">
        <v>686</v>
      </c>
      <c r="P1586">
        <f t="shared" si="463"/>
        <v>0</v>
      </c>
      <c r="Q1586">
        <f t="shared" si="464"/>
        <v>0</v>
      </c>
      <c r="R1586">
        <f t="shared" si="465"/>
        <v>0</v>
      </c>
      <c r="S1586">
        <f t="shared" si="466"/>
        <v>0</v>
      </c>
      <c r="T1586">
        <f t="shared" si="467"/>
        <v>0</v>
      </c>
      <c r="U1586">
        <f t="shared" si="468"/>
        <v>0</v>
      </c>
      <c r="V1586">
        <f t="shared" si="469"/>
        <v>0</v>
      </c>
      <c r="W1586" t="s">
        <v>39</v>
      </c>
      <c r="X1586">
        <f t="shared" si="470"/>
        <v>1</v>
      </c>
      <c r="Y1586">
        <f t="shared" si="471"/>
        <v>0</v>
      </c>
      <c r="Z1586">
        <v>5</v>
      </c>
      <c r="AA1586">
        <f t="shared" si="472"/>
        <v>1</v>
      </c>
      <c r="AB1586" t="s">
        <v>46</v>
      </c>
      <c r="AC1586">
        <f t="shared" si="473"/>
        <v>0</v>
      </c>
      <c r="AD1586">
        <f t="shared" si="474"/>
        <v>0</v>
      </c>
      <c r="AE1586" t="s">
        <v>41</v>
      </c>
      <c r="AF1586">
        <f>IF(AE1586="website",1,0)</f>
        <v>1</v>
      </c>
    </row>
    <row r="1587" spans="1:32">
      <c r="A1587" t="s">
        <v>2238</v>
      </c>
      <c r="B1587" t="s">
        <v>33</v>
      </c>
      <c r="C1587" s="3">
        <f t="shared" si="456"/>
        <v>0</v>
      </c>
      <c r="D1587">
        <f t="shared" si="457"/>
        <v>1</v>
      </c>
      <c r="E1587" t="s">
        <v>551</v>
      </c>
      <c r="F1587" t="s">
        <v>653</v>
      </c>
      <c r="G1587" s="1">
        <v>24493</v>
      </c>
      <c r="H1587" s="2">
        <f t="shared" ca="1" si="458"/>
        <v>59</v>
      </c>
      <c r="I1587" s="2">
        <f t="shared" ca="1" si="459"/>
        <v>0.48571428571428571</v>
      </c>
      <c r="J1587" t="s">
        <v>36</v>
      </c>
      <c r="K1587" t="s">
        <v>113</v>
      </c>
      <c r="L1587">
        <f t="shared" si="460"/>
        <v>0</v>
      </c>
      <c r="M1587">
        <f t="shared" si="461"/>
        <v>0</v>
      </c>
      <c r="N1587">
        <f t="shared" si="462"/>
        <v>1</v>
      </c>
      <c r="O1587" t="s">
        <v>114</v>
      </c>
      <c r="P1587">
        <f t="shared" si="463"/>
        <v>0</v>
      </c>
      <c r="Q1587">
        <f t="shared" si="464"/>
        <v>0</v>
      </c>
      <c r="R1587">
        <f t="shared" si="465"/>
        <v>0</v>
      </c>
      <c r="S1587">
        <f t="shared" si="466"/>
        <v>1</v>
      </c>
      <c r="T1587">
        <f t="shared" si="467"/>
        <v>0</v>
      </c>
      <c r="U1587">
        <f t="shared" si="468"/>
        <v>0</v>
      </c>
      <c r="V1587">
        <f t="shared" si="469"/>
        <v>0</v>
      </c>
      <c r="W1587" t="s">
        <v>39</v>
      </c>
      <c r="X1587">
        <f t="shared" si="470"/>
        <v>1</v>
      </c>
      <c r="Y1587">
        <f t="shared" si="471"/>
        <v>0</v>
      </c>
      <c r="Z1587">
        <v>3</v>
      </c>
      <c r="AA1587">
        <f t="shared" si="472"/>
        <v>0.5</v>
      </c>
      <c r="AB1587" t="s">
        <v>46</v>
      </c>
      <c r="AC1587">
        <f t="shared" si="473"/>
        <v>0</v>
      </c>
      <c r="AD1587">
        <f t="shared" si="474"/>
        <v>0</v>
      </c>
      <c r="AE1587" t="s">
        <v>41</v>
      </c>
      <c r="AF1587">
        <f>IF(AE1587="website",1,0)</f>
        <v>1</v>
      </c>
    </row>
    <row r="1588" spans="1:32">
      <c r="A1588" t="s">
        <v>2239</v>
      </c>
      <c r="B1588" t="s">
        <v>33</v>
      </c>
      <c r="C1588" s="3">
        <f t="shared" si="456"/>
        <v>0</v>
      </c>
      <c r="D1588">
        <f t="shared" si="457"/>
        <v>1</v>
      </c>
      <c r="E1588" t="s">
        <v>744</v>
      </c>
      <c r="F1588" t="s">
        <v>861</v>
      </c>
      <c r="G1588" s="1">
        <v>16042</v>
      </c>
      <c r="H1588" s="2">
        <f t="shared" ca="1" si="458"/>
        <v>82</v>
      </c>
      <c r="I1588" s="2">
        <f t="shared" ca="1" si="459"/>
        <v>0.81428571428571428</v>
      </c>
      <c r="J1588" t="s">
        <v>45</v>
      </c>
      <c r="K1588" t="s">
        <v>65</v>
      </c>
      <c r="L1588">
        <f t="shared" si="460"/>
        <v>0</v>
      </c>
      <c r="M1588">
        <f t="shared" si="461"/>
        <v>1</v>
      </c>
      <c r="N1588">
        <f t="shared" si="462"/>
        <v>0</v>
      </c>
      <c r="O1588" t="s">
        <v>66</v>
      </c>
      <c r="P1588">
        <f t="shared" si="463"/>
        <v>0</v>
      </c>
      <c r="Q1588">
        <f t="shared" si="464"/>
        <v>0</v>
      </c>
      <c r="R1588">
        <f t="shared" si="465"/>
        <v>1</v>
      </c>
      <c r="S1588">
        <f t="shared" si="466"/>
        <v>0</v>
      </c>
      <c r="T1588">
        <f t="shared" si="467"/>
        <v>0</v>
      </c>
      <c r="U1588">
        <f t="shared" si="468"/>
        <v>0</v>
      </c>
      <c r="V1588">
        <f t="shared" si="469"/>
        <v>0</v>
      </c>
      <c r="W1588" t="s">
        <v>58</v>
      </c>
      <c r="X1588">
        <f t="shared" si="470"/>
        <v>0</v>
      </c>
      <c r="Y1588">
        <f t="shared" si="471"/>
        <v>1</v>
      </c>
      <c r="Z1588">
        <v>4</v>
      </c>
      <c r="AA1588">
        <f t="shared" si="472"/>
        <v>0.75</v>
      </c>
      <c r="AB1588" t="s">
        <v>40</v>
      </c>
      <c r="AC1588">
        <f t="shared" si="473"/>
        <v>1</v>
      </c>
      <c r="AD1588">
        <f t="shared" si="474"/>
        <v>0</v>
      </c>
      <c r="AE1588" t="s">
        <v>50</v>
      </c>
      <c r="AF1588">
        <f>IF(AE1588="website",1,0)</f>
        <v>0</v>
      </c>
    </row>
    <row r="1589" spans="1:32">
      <c r="A1589" t="s">
        <v>2240</v>
      </c>
      <c r="B1589" t="s">
        <v>33</v>
      </c>
      <c r="C1589" s="3">
        <f t="shared" si="456"/>
        <v>0</v>
      </c>
      <c r="D1589">
        <f t="shared" si="457"/>
        <v>1</v>
      </c>
      <c r="E1589" t="s">
        <v>1043</v>
      </c>
      <c r="F1589" t="s">
        <v>1041</v>
      </c>
      <c r="G1589" s="1">
        <v>29519</v>
      </c>
      <c r="H1589" s="2">
        <f t="shared" ca="1" si="458"/>
        <v>45</v>
      </c>
      <c r="I1589" s="2">
        <f t="shared" ca="1" si="459"/>
        <v>0.2857142857142857</v>
      </c>
      <c r="J1589" t="s">
        <v>36</v>
      </c>
      <c r="K1589" t="s">
        <v>37</v>
      </c>
      <c r="L1589">
        <f t="shared" si="460"/>
        <v>1</v>
      </c>
      <c r="M1589">
        <f t="shared" si="461"/>
        <v>0</v>
      </c>
      <c r="N1589">
        <f t="shared" si="462"/>
        <v>0</v>
      </c>
      <c r="O1589" t="s">
        <v>183</v>
      </c>
      <c r="P1589">
        <f t="shared" si="463"/>
        <v>0</v>
      </c>
      <c r="Q1589">
        <f t="shared" si="464"/>
        <v>0</v>
      </c>
      <c r="R1589">
        <f t="shared" si="465"/>
        <v>0</v>
      </c>
      <c r="S1589">
        <f t="shared" si="466"/>
        <v>0</v>
      </c>
      <c r="T1589">
        <f t="shared" si="467"/>
        <v>0</v>
      </c>
      <c r="U1589">
        <f t="shared" si="468"/>
        <v>0</v>
      </c>
      <c r="V1589">
        <f t="shared" si="469"/>
        <v>0</v>
      </c>
      <c r="W1589" t="s">
        <v>58</v>
      </c>
      <c r="X1589">
        <f t="shared" si="470"/>
        <v>0</v>
      </c>
      <c r="Y1589">
        <f t="shared" si="471"/>
        <v>1</v>
      </c>
      <c r="Z1589">
        <v>5</v>
      </c>
      <c r="AA1589">
        <f t="shared" si="472"/>
        <v>1</v>
      </c>
      <c r="AB1589" t="s">
        <v>46</v>
      </c>
      <c r="AC1589">
        <f t="shared" si="473"/>
        <v>0</v>
      </c>
      <c r="AD1589">
        <f t="shared" si="474"/>
        <v>0</v>
      </c>
      <c r="AE1589" t="s">
        <v>41</v>
      </c>
      <c r="AF1589">
        <f>IF(AE1589="website",1,0)</f>
        <v>1</v>
      </c>
    </row>
    <row r="1590" spans="1:32">
      <c r="A1590" t="s">
        <v>2241</v>
      </c>
      <c r="B1590" t="s">
        <v>33</v>
      </c>
      <c r="C1590" s="3">
        <f t="shared" si="456"/>
        <v>0</v>
      </c>
      <c r="D1590">
        <f t="shared" si="457"/>
        <v>1</v>
      </c>
      <c r="E1590" t="s">
        <v>1554</v>
      </c>
      <c r="F1590" t="s">
        <v>887</v>
      </c>
      <c r="G1590" s="1">
        <v>19583</v>
      </c>
      <c r="H1590" s="2">
        <f t="shared" ca="1" si="458"/>
        <v>73</v>
      </c>
      <c r="I1590" s="2">
        <f t="shared" ca="1" si="459"/>
        <v>0.68571428571428572</v>
      </c>
      <c r="J1590" t="s">
        <v>36</v>
      </c>
      <c r="K1590" t="s">
        <v>37</v>
      </c>
      <c r="L1590">
        <f t="shared" si="460"/>
        <v>1</v>
      </c>
      <c r="M1590">
        <f t="shared" si="461"/>
        <v>0</v>
      </c>
      <c r="N1590">
        <f t="shared" si="462"/>
        <v>0</v>
      </c>
      <c r="O1590" t="s">
        <v>38</v>
      </c>
      <c r="P1590">
        <f t="shared" si="463"/>
        <v>1</v>
      </c>
      <c r="Q1590">
        <f t="shared" si="464"/>
        <v>0</v>
      </c>
      <c r="R1590">
        <f t="shared" si="465"/>
        <v>0</v>
      </c>
      <c r="S1590">
        <f t="shared" si="466"/>
        <v>0</v>
      </c>
      <c r="T1590">
        <f t="shared" si="467"/>
        <v>0</v>
      </c>
      <c r="U1590">
        <f t="shared" si="468"/>
        <v>0</v>
      </c>
      <c r="V1590">
        <f t="shared" si="469"/>
        <v>0</v>
      </c>
      <c r="W1590" t="s">
        <v>58</v>
      </c>
      <c r="X1590">
        <f t="shared" si="470"/>
        <v>0</v>
      </c>
      <c r="Y1590">
        <f t="shared" si="471"/>
        <v>1</v>
      </c>
      <c r="Z1590">
        <v>4</v>
      </c>
      <c r="AA1590">
        <f t="shared" si="472"/>
        <v>0.75</v>
      </c>
      <c r="AB1590" t="s">
        <v>46</v>
      </c>
      <c r="AC1590">
        <f t="shared" si="473"/>
        <v>1</v>
      </c>
      <c r="AD1590">
        <f t="shared" si="474"/>
        <v>0</v>
      </c>
      <c r="AE1590" t="s">
        <v>50</v>
      </c>
      <c r="AF1590">
        <f>IF(AE1590="website",1,0)</f>
        <v>0</v>
      </c>
    </row>
    <row r="1591" spans="1:32">
      <c r="A1591" t="s">
        <v>2242</v>
      </c>
      <c r="B1591" t="s">
        <v>55</v>
      </c>
      <c r="C1591" s="3">
        <f t="shared" si="456"/>
        <v>1</v>
      </c>
      <c r="D1591">
        <f t="shared" si="457"/>
        <v>0</v>
      </c>
      <c r="E1591" t="s">
        <v>1330</v>
      </c>
      <c r="F1591" t="s">
        <v>57</v>
      </c>
      <c r="G1591" s="1">
        <v>29025</v>
      </c>
      <c r="H1591" s="2">
        <f t="shared" ca="1" si="458"/>
        <v>47</v>
      </c>
      <c r="I1591" s="2">
        <f t="shared" ca="1" si="459"/>
        <v>0.31428571428571428</v>
      </c>
      <c r="J1591" t="s">
        <v>36</v>
      </c>
      <c r="K1591" t="s">
        <v>37</v>
      </c>
      <c r="L1591">
        <f t="shared" si="460"/>
        <v>1</v>
      </c>
      <c r="M1591">
        <f t="shared" si="461"/>
        <v>0</v>
      </c>
      <c r="N1591">
        <f t="shared" si="462"/>
        <v>0</v>
      </c>
      <c r="O1591" t="s">
        <v>76</v>
      </c>
      <c r="P1591">
        <f t="shared" si="463"/>
        <v>0</v>
      </c>
      <c r="Q1591">
        <f t="shared" si="464"/>
        <v>1</v>
      </c>
      <c r="R1591">
        <f t="shared" si="465"/>
        <v>0</v>
      </c>
      <c r="S1591">
        <f t="shared" si="466"/>
        <v>0</v>
      </c>
      <c r="T1591">
        <f t="shared" si="467"/>
        <v>0</v>
      </c>
      <c r="U1591">
        <f t="shared" si="468"/>
        <v>0</v>
      </c>
      <c r="V1591">
        <f t="shared" si="469"/>
        <v>0</v>
      </c>
      <c r="W1591" t="s">
        <v>39</v>
      </c>
      <c r="X1591">
        <f t="shared" si="470"/>
        <v>1</v>
      </c>
      <c r="Y1591">
        <f t="shared" si="471"/>
        <v>0</v>
      </c>
      <c r="Z1591">
        <v>1</v>
      </c>
      <c r="AA1591">
        <f t="shared" si="472"/>
        <v>0</v>
      </c>
      <c r="AB1591" t="s">
        <v>46</v>
      </c>
      <c r="AC1591">
        <f t="shared" si="473"/>
        <v>0</v>
      </c>
      <c r="AD1591">
        <f t="shared" si="474"/>
        <v>0</v>
      </c>
      <c r="AE1591" t="s">
        <v>41</v>
      </c>
      <c r="AF1591">
        <f>IF(AE1591="website",1,0)</f>
        <v>1</v>
      </c>
    </row>
    <row r="1592" spans="1:32">
      <c r="A1592" t="s">
        <v>2243</v>
      </c>
      <c r="B1592" t="s">
        <v>33</v>
      </c>
      <c r="C1592" s="3">
        <f t="shared" si="456"/>
        <v>0</v>
      </c>
      <c r="D1592">
        <f t="shared" si="457"/>
        <v>1</v>
      </c>
      <c r="E1592" t="s">
        <v>644</v>
      </c>
      <c r="F1592" t="s">
        <v>645</v>
      </c>
      <c r="G1592" s="1">
        <v>26160</v>
      </c>
      <c r="H1592" s="2">
        <f t="shared" ca="1" si="458"/>
        <v>55</v>
      </c>
      <c r="I1592" s="2">
        <f t="shared" ca="1" si="459"/>
        <v>0.42857142857142855</v>
      </c>
      <c r="J1592" t="s">
        <v>36</v>
      </c>
      <c r="K1592" t="s">
        <v>37</v>
      </c>
      <c r="L1592">
        <f t="shared" si="460"/>
        <v>1</v>
      </c>
      <c r="M1592">
        <f t="shared" si="461"/>
        <v>0</v>
      </c>
      <c r="N1592">
        <f t="shared" si="462"/>
        <v>0</v>
      </c>
      <c r="O1592" t="s">
        <v>38</v>
      </c>
      <c r="P1592">
        <f t="shared" si="463"/>
        <v>1</v>
      </c>
      <c r="Q1592">
        <f t="shared" si="464"/>
        <v>0</v>
      </c>
      <c r="R1592">
        <f t="shared" si="465"/>
        <v>0</v>
      </c>
      <c r="S1592">
        <f t="shared" si="466"/>
        <v>0</v>
      </c>
      <c r="T1592">
        <f t="shared" si="467"/>
        <v>0</v>
      </c>
      <c r="U1592">
        <f t="shared" si="468"/>
        <v>0</v>
      </c>
      <c r="V1592">
        <f t="shared" si="469"/>
        <v>0</v>
      </c>
      <c r="W1592" t="s">
        <v>58</v>
      </c>
      <c r="X1592">
        <f t="shared" si="470"/>
        <v>0</v>
      </c>
      <c r="Y1592">
        <f t="shared" si="471"/>
        <v>1</v>
      </c>
      <c r="Z1592">
        <v>4</v>
      </c>
      <c r="AA1592">
        <f t="shared" si="472"/>
        <v>0.75</v>
      </c>
      <c r="AB1592" t="s">
        <v>46</v>
      </c>
      <c r="AC1592">
        <f t="shared" si="473"/>
        <v>0</v>
      </c>
      <c r="AD1592">
        <f t="shared" si="474"/>
        <v>0</v>
      </c>
      <c r="AE1592" t="s">
        <v>41</v>
      </c>
      <c r="AF1592">
        <f>IF(AE1592="website",1,0)</f>
        <v>1</v>
      </c>
    </row>
    <row r="1593" spans="1:32">
      <c r="A1593" t="s">
        <v>2244</v>
      </c>
      <c r="B1593" t="s">
        <v>33</v>
      </c>
      <c r="C1593" s="3">
        <f t="shared" si="456"/>
        <v>0</v>
      </c>
      <c r="D1593">
        <f t="shared" si="457"/>
        <v>1</v>
      </c>
      <c r="E1593" t="s">
        <v>804</v>
      </c>
      <c r="F1593" t="s">
        <v>720</v>
      </c>
      <c r="G1593" s="1">
        <v>27546</v>
      </c>
      <c r="H1593" s="2">
        <f t="shared" ca="1" si="458"/>
        <v>51</v>
      </c>
      <c r="I1593" s="2">
        <f t="shared" ca="1" si="459"/>
        <v>0.37142857142857144</v>
      </c>
      <c r="J1593" t="s">
        <v>36</v>
      </c>
      <c r="K1593" t="s">
        <v>37</v>
      </c>
      <c r="L1593">
        <f t="shared" si="460"/>
        <v>1</v>
      </c>
      <c r="M1593">
        <f t="shared" si="461"/>
        <v>0</v>
      </c>
      <c r="N1593">
        <f t="shared" si="462"/>
        <v>0</v>
      </c>
      <c r="O1593" t="s">
        <v>592</v>
      </c>
      <c r="P1593">
        <f t="shared" si="463"/>
        <v>0</v>
      </c>
      <c r="Q1593">
        <f t="shared" si="464"/>
        <v>0</v>
      </c>
      <c r="R1593">
        <f t="shared" si="465"/>
        <v>0</v>
      </c>
      <c r="S1593">
        <f t="shared" si="466"/>
        <v>0</v>
      </c>
      <c r="T1593">
        <f t="shared" si="467"/>
        <v>0</v>
      </c>
      <c r="U1593">
        <f t="shared" si="468"/>
        <v>0</v>
      </c>
      <c r="V1593">
        <f t="shared" si="469"/>
        <v>0</v>
      </c>
      <c r="W1593" t="s">
        <v>58</v>
      </c>
      <c r="X1593">
        <f t="shared" si="470"/>
        <v>0</v>
      </c>
      <c r="Y1593">
        <f t="shared" si="471"/>
        <v>1</v>
      </c>
      <c r="Z1593">
        <v>2</v>
      </c>
      <c r="AA1593">
        <f t="shared" si="472"/>
        <v>0.25</v>
      </c>
      <c r="AB1593" t="s">
        <v>40</v>
      </c>
      <c r="AC1593">
        <f t="shared" si="473"/>
        <v>1</v>
      </c>
      <c r="AD1593">
        <f t="shared" si="474"/>
        <v>0</v>
      </c>
      <c r="AE1593" t="s">
        <v>50</v>
      </c>
      <c r="AF1593">
        <f>IF(AE1593="website",1,0)</f>
        <v>0</v>
      </c>
    </row>
    <row r="1594" spans="1:32">
      <c r="A1594" t="s">
        <v>2245</v>
      </c>
      <c r="B1594" t="s">
        <v>33</v>
      </c>
      <c r="C1594" s="3">
        <f t="shared" si="456"/>
        <v>0</v>
      </c>
      <c r="D1594">
        <f t="shared" si="457"/>
        <v>1</v>
      </c>
      <c r="E1594" t="s">
        <v>761</v>
      </c>
      <c r="F1594" t="s">
        <v>579</v>
      </c>
      <c r="G1594" s="1">
        <v>27611</v>
      </c>
      <c r="H1594" s="2">
        <f t="shared" ca="1" si="458"/>
        <v>51</v>
      </c>
      <c r="I1594" s="2">
        <f t="shared" ca="1" si="459"/>
        <v>0.37142857142857144</v>
      </c>
      <c r="J1594" t="s">
        <v>45</v>
      </c>
      <c r="K1594" t="s">
        <v>37</v>
      </c>
      <c r="L1594">
        <f t="shared" si="460"/>
        <v>1</v>
      </c>
      <c r="M1594">
        <f t="shared" si="461"/>
        <v>0</v>
      </c>
      <c r="N1594">
        <f t="shared" si="462"/>
        <v>0</v>
      </c>
      <c r="O1594" t="s">
        <v>38</v>
      </c>
      <c r="P1594">
        <f t="shared" si="463"/>
        <v>1</v>
      </c>
      <c r="Q1594">
        <f t="shared" si="464"/>
        <v>0</v>
      </c>
      <c r="R1594">
        <f t="shared" si="465"/>
        <v>0</v>
      </c>
      <c r="S1594">
        <f t="shared" si="466"/>
        <v>0</v>
      </c>
      <c r="T1594">
        <f t="shared" si="467"/>
        <v>0</v>
      </c>
      <c r="U1594">
        <f t="shared" si="468"/>
        <v>0</v>
      </c>
      <c r="V1594">
        <f t="shared" si="469"/>
        <v>0</v>
      </c>
      <c r="W1594" t="s">
        <v>39</v>
      </c>
      <c r="X1594">
        <f t="shared" si="470"/>
        <v>1</v>
      </c>
      <c r="Y1594">
        <f t="shared" si="471"/>
        <v>0</v>
      </c>
      <c r="Z1594">
        <v>1</v>
      </c>
      <c r="AA1594">
        <f t="shared" si="472"/>
        <v>0</v>
      </c>
      <c r="AB1594" t="s">
        <v>46</v>
      </c>
      <c r="AC1594">
        <f t="shared" si="473"/>
        <v>0</v>
      </c>
      <c r="AD1594">
        <f t="shared" si="474"/>
        <v>0</v>
      </c>
      <c r="AE1594" t="s">
        <v>41</v>
      </c>
      <c r="AF1594">
        <f>IF(AE1594="website",1,0)</f>
        <v>1</v>
      </c>
    </row>
    <row r="1595" spans="1:32">
      <c r="A1595" t="s">
        <v>2246</v>
      </c>
      <c r="B1595" t="s">
        <v>33</v>
      </c>
      <c r="C1595" s="3">
        <f t="shared" si="456"/>
        <v>0</v>
      </c>
      <c r="D1595">
        <f t="shared" si="457"/>
        <v>1</v>
      </c>
      <c r="E1595" t="s">
        <v>1256</v>
      </c>
      <c r="F1595" t="s">
        <v>554</v>
      </c>
      <c r="G1595" s="1">
        <v>25500</v>
      </c>
      <c r="H1595" s="2">
        <f t="shared" ca="1" si="458"/>
        <v>56</v>
      </c>
      <c r="I1595" s="2">
        <f t="shared" ca="1" si="459"/>
        <v>0.44285714285714284</v>
      </c>
      <c r="J1595" t="s">
        <v>36</v>
      </c>
      <c r="K1595" t="s">
        <v>37</v>
      </c>
      <c r="L1595">
        <f t="shared" si="460"/>
        <v>1</v>
      </c>
      <c r="M1595">
        <f t="shared" si="461"/>
        <v>0</v>
      </c>
      <c r="N1595">
        <f t="shared" si="462"/>
        <v>0</v>
      </c>
      <c r="O1595" t="s">
        <v>137</v>
      </c>
      <c r="P1595">
        <f t="shared" si="463"/>
        <v>0</v>
      </c>
      <c r="Q1595">
        <f t="shared" si="464"/>
        <v>0</v>
      </c>
      <c r="R1595">
        <f t="shared" si="465"/>
        <v>0</v>
      </c>
      <c r="S1595">
        <f t="shared" si="466"/>
        <v>0</v>
      </c>
      <c r="T1595">
        <f t="shared" si="467"/>
        <v>0</v>
      </c>
      <c r="U1595">
        <f t="shared" si="468"/>
        <v>0</v>
      </c>
      <c r="V1595">
        <f t="shared" si="469"/>
        <v>0</v>
      </c>
      <c r="W1595" t="s">
        <v>39</v>
      </c>
      <c r="X1595">
        <f t="shared" si="470"/>
        <v>1</v>
      </c>
      <c r="Y1595">
        <f t="shared" si="471"/>
        <v>0</v>
      </c>
      <c r="Z1595">
        <v>2</v>
      </c>
      <c r="AA1595">
        <f t="shared" si="472"/>
        <v>0.25</v>
      </c>
      <c r="AB1595" t="s">
        <v>46</v>
      </c>
      <c r="AC1595">
        <f t="shared" si="473"/>
        <v>1</v>
      </c>
      <c r="AD1595">
        <f t="shared" si="474"/>
        <v>0</v>
      </c>
      <c r="AE1595" t="s">
        <v>50</v>
      </c>
      <c r="AF1595">
        <f>IF(AE1595="website",1,0)</f>
        <v>0</v>
      </c>
    </row>
    <row r="1596" spans="1:32">
      <c r="A1596" t="s">
        <v>2247</v>
      </c>
      <c r="B1596" t="s">
        <v>33</v>
      </c>
      <c r="C1596" s="3">
        <f t="shared" si="456"/>
        <v>0</v>
      </c>
      <c r="D1596">
        <f t="shared" si="457"/>
        <v>1</v>
      </c>
      <c r="E1596" t="s">
        <v>527</v>
      </c>
      <c r="F1596" t="s">
        <v>885</v>
      </c>
      <c r="G1596" s="1">
        <v>20321</v>
      </c>
      <c r="H1596" s="2">
        <f t="shared" ca="1" si="458"/>
        <v>71</v>
      </c>
      <c r="I1596" s="2">
        <f t="shared" ca="1" si="459"/>
        <v>0.65714285714285714</v>
      </c>
      <c r="J1596" t="s">
        <v>45</v>
      </c>
      <c r="K1596" t="s">
        <v>37</v>
      </c>
      <c r="L1596">
        <f t="shared" si="460"/>
        <v>1</v>
      </c>
      <c r="M1596">
        <f t="shared" si="461"/>
        <v>0</v>
      </c>
      <c r="N1596">
        <f t="shared" si="462"/>
        <v>0</v>
      </c>
      <c r="O1596" t="s">
        <v>38</v>
      </c>
      <c r="P1596">
        <f t="shared" si="463"/>
        <v>1</v>
      </c>
      <c r="Q1596">
        <f t="shared" si="464"/>
        <v>0</v>
      </c>
      <c r="R1596">
        <f t="shared" si="465"/>
        <v>0</v>
      </c>
      <c r="S1596">
        <f t="shared" si="466"/>
        <v>0</v>
      </c>
      <c r="T1596">
        <f t="shared" si="467"/>
        <v>0</v>
      </c>
      <c r="U1596">
        <f t="shared" si="468"/>
        <v>0</v>
      </c>
      <c r="V1596">
        <f t="shared" si="469"/>
        <v>0</v>
      </c>
      <c r="W1596" t="s">
        <v>39</v>
      </c>
      <c r="X1596">
        <f t="shared" si="470"/>
        <v>1</v>
      </c>
      <c r="Y1596">
        <f t="shared" si="471"/>
        <v>0</v>
      </c>
      <c r="Z1596">
        <v>5</v>
      </c>
      <c r="AA1596">
        <f t="shared" si="472"/>
        <v>1</v>
      </c>
      <c r="AB1596" t="s">
        <v>46</v>
      </c>
      <c r="AC1596">
        <f t="shared" si="473"/>
        <v>0</v>
      </c>
      <c r="AD1596">
        <f t="shared" si="474"/>
        <v>0</v>
      </c>
      <c r="AE1596" t="s">
        <v>41</v>
      </c>
      <c r="AF1596">
        <f>IF(AE1596="website",1,0)</f>
        <v>1</v>
      </c>
    </row>
    <row r="1597" spans="1:32">
      <c r="A1597" t="s">
        <v>2248</v>
      </c>
      <c r="B1597" t="s">
        <v>33</v>
      </c>
      <c r="C1597" s="3">
        <f t="shared" si="456"/>
        <v>0</v>
      </c>
      <c r="D1597">
        <f t="shared" si="457"/>
        <v>1</v>
      </c>
      <c r="E1597" t="s">
        <v>344</v>
      </c>
      <c r="F1597" t="s">
        <v>549</v>
      </c>
      <c r="G1597" s="1">
        <v>29169</v>
      </c>
      <c r="H1597" s="2">
        <f t="shared" ca="1" si="458"/>
        <v>46</v>
      </c>
      <c r="I1597" s="2">
        <f t="shared" ca="1" si="459"/>
        <v>0.3</v>
      </c>
      <c r="J1597" t="s">
        <v>45</v>
      </c>
      <c r="K1597" t="s">
        <v>113</v>
      </c>
      <c r="L1597">
        <f t="shared" si="460"/>
        <v>0</v>
      </c>
      <c r="M1597">
        <f t="shared" si="461"/>
        <v>0</v>
      </c>
      <c r="N1597">
        <f t="shared" si="462"/>
        <v>1</v>
      </c>
      <c r="O1597" t="s">
        <v>114</v>
      </c>
      <c r="P1597">
        <f t="shared" si="463"/>
        <v>0</v>
      </c>
      <c r="Q1597">
        <f t="shared" si="464"/>
        <v>0</v>
      </c>
      <c r="R1597">
        <f t="shared" si="465"/>
        <v>0</v>
      </c>
      <c r="S1597">
        <f t="shared" si="466"/>
        <v>1</v>
      </c>
      <c r="T1597">
        <f t="shared" si="467"/>
        <v>0</v>
      </c>
      <c r="U1597">
        <f t="shared" si="468"/>
        <v>0</v>
      </c>
      <c r="V1597">
        <f t="shared" si="469"/>
        <v>0</v>
      </c>
      <c r="W1597" t="s">
        <v>58</v>
      </c>
      <c r="X1597">
        <f t="shared" si="470"/>
        <v>0</v>
      </c>
      <c r="Y1597">
        <f t="shared" si="471"/>
        <v>1</v>
      </c>
      <c r="Z1597">
        <v>4</v>
      </c>
      <c r="AA1597">
        <f t="shared" si="472"/>
        <v>0.75</v>
      </c>
      <c r="AB1597" t="s">
        <v>46</v>
      </c>
      <c r="AC1597">
        <f t="shared" si="473"/>
        <v>0</v>
      </c>
      <c r="AD1597">
        <f t="shared" si="474"/>
        <v>0</v>
      </c>
      <c r="AE1597" t="s">
        <v>41</v>
      </c>
      <c r="AF1597">
        <f>IF(AE1597="website",1,0)</f>
        <v>1</v>
      </c>
    </row>
    <row r="1598" spans="1:32">
      <c r="A1598" t="s">
        <v>2249</v>
      </c>
      <c r="B1598" t="s">
        <v>33</v>
      </c>
      <c r="C1598" s="3">
        <f t="shared" si="456"/>
        <v>0</v>
      </c>
      <c r="D1598">
        <f t="shared" si="457"/>
        <v>1</v>
      </c>
      <c r="E1598" t="s">
        <v>476</v>
      </c>
      <c r="F1598" t="s">
        <v>856</v>
      </c>
      <c r="G1598" s="1">
        <v>18260</v>
      </c>
      <c r="H1598" s="2">
        <f t="shared" ca="1" si="458"/>
        <v>76</v>
      </c>
      <c r="I1598" s="2">
        <f t="shared" ca="1" si="459"/>
        <v>0.72857142857142854</v>
      </c>
      <c r="J1598" t="s">
        <v>36</v>
      </c>
      <c r="K1598" t="s">
        <v>37</v>
      </c>
      <c r="L1598">
        <f t="shared" si="460"/>
        <v>1</v>
      </c>
      <c r="M1598">
        <f t="shared" si="461"/>
        <v>0</v>
      </c>
      <c r="N1598">
        <f t="shared" si="462"/>
        <v>0</v>
      </c>
      <c r="O1598" t="s">
        <v>124</v>
      </c>
      <c r="P1598">
        <f t="shared" si="463"/>
        <v>0</v>
      </c>
      <c r="Q1598">
        <f t="shared" si="464"/>
        <v>0</v>
      </c>
      <c r="R1598">
        <f t="shared" si="465"/>
        <v>0</v>
      </c>
      <c r="S1598">
        <f t="shared" si="466"/>
        <v>0</v>
      </c>
      <c r="T1598">
        <f t="shared" si="467"/>
        <v>0</v>
      </c>
      <c r="U1598">
        <f t="shared" si="468"/>
        <v>1</v>
      </c>
      <c r="V1598">
        <f t="shared" si="469"/>
        <v>0</v>
      </c>
      <c r="W1598" t="s">
        <v>58</v>
      </c>
      <c r="X1598">
        <f t="shared" si="470"/>
        <v>0</v>
      </c>
      <c r="Y1598">
        <f t="shared" si="471"/>
        <v>1</v>
      </c>
      <c r="Z1598">
        <v>4</v>
      </c>
      <c r="AA1598">
        <f t="shared" si="472"/>
        <v>0.75</v>
      </c>
      <c r="AB1598" t="s">
        <v>40</v>
      </c>
      <c r="AC1598">
        <f t="shared" si="473"/>
        <v>0</v>
      </c>
      <c r="AD1598">
        <f t="shared" si="474"/>
        <v>0</v>
      </c>
      <c r="AE1598" t="s">
        <v>41</v>
      </c>
      <c r="AF1598">
        <f>IF(AE1598="website",1,0)</f>
        <v>1</v>
      </c>
    </row>
    <row r="1599" spans="1:32">
      <c r="A1599" t="s">
        <v>2250</v>
      </c>
      <c r="B1599" t="s">
        <v>33</v>
      </c>
      <c r="C1599" s="3">
        <f t="shared" si="456"/>
        <v>0</v>
      </c>
      <c r="D1599">
        <f t="shared" si="457"/>
        <v>1</v>
      </c>
      <c r="E1599" t="s">
        <v>1695</v>
      </c>
      <c r="F1599" t="s">
        <v>613</v>
      </c>
      <c r="G1599" s="1">
        <v>14785</v>
      </c>
      <c r="H1599" s="2">
        <f t="shared" ca="1" si="458"/>
        <v>86</v>
      </c>
      <c r="I1599" s="2">
        <f t="shared" ca="1" si="459"/>
        <v>0.87142857142857144</v>
      </c>
      <c r="J1599" t="s">
        <v>36</v>
      </c>
      <c r="K1599" t="s">
        <v>37</v>
      </c>
      <c r="L1599">
        <f t="shared" si="460"/>
        <v>1</v>
      </c>
      <c r="M1599">
        <f t="shared" si="461"/>
        <v>0</v>
      </c>
      <c r="N1599">
        <f t="shared" si="462"/>
        <v>0</v>
      </c>
      <c r="O1599" t="s">
        <v>785</v>
      </c>
      <c r="P1599">
        <f t="shared" si="463"/>
        <v>0</v>
      </c>
      <c r="Q1599">
        <f t="shared" si="464"/>
        <v>0</v>
      </c>
      <c r="R1599">
        <f t="shared" si="465"/>
        <v>0</v>
      </c>
      <c r="S1599">
        <f t="shared" si="466"/>
        <v>0</v>
      </c>
      <c r="T1599">
        <f t="shared" si="467"/>
        <v>0</v>
      </c>
      <c r="U1599">
        <f t="shared" si="468"/>
        <v>0</v>
      </c>
      <c r="V1599">
        <f t="shared" si="469"/>
        <v>0</v>
      </c>
      <c r="W1599" t="s">
        <v>39</v>
      </c>
      <c r="X1599">
        <f t="shared" si="470"/>
        <v>1</v>
      </c>
      <c r="Y1599">
        <f t="shared" si="471"/>
        <v>0</v>
      </c>
      <c r="Z1599">
        <v>4</v>
      </c>
      <c r="AA1599">
        <f t="shared" si="472"/>
        <v>0.75</v>
      </c>
      <c r="AB1599" t="s">
        <v>40</v>
      </c>
      <c r="AC1599">
        <f t="shared" si="473"/>
        <v>1</v>
      </c>
      <c r="AD1599">
        <f t="shared" si="474"/>
        <v>0</v>
      </c>
      <c r="AE1599" t="s">
        <v>50</v>
      </c>
      <c r="AF1599">
        <f>IF(AE1599="website",1,0)</f>
        <v>0</v>
      </c>
    </row>
    <row r="1600" spans="1:32">
      <c r="A1600" t="s">
        <v>2251</v>
      </c>
      <c r="B1600" t="s">
        <v>33</v>
      </c>
      <c r="C1600" s="3">
        <f t="shared" si="456"/>
        <v>0</v>
      </c>
      <c r="D1600">
        <f t="shared" si="457"/>
        <v>1</v>
      </c>
      <c r="E1600" t="s">
        <v>747</v>
      </c>
      <c r="F1600" t="s">
        <v>798</v>
      </c>
      <c r="G1600" s="1">
        <v>29544</v>
      </c>
      <c r="H1600" s="2">
        <f t="shared" ca="1" si="458"/>
        <v>45</v>
      </c>
      <c r="I1600" s="2">
        <f t="shared" ca="1" si="459"/>
        <v>0.2857142857142857</v>
      </c>
      <c r="J1600" t="s">
        <v>36</v>
      </c>
      <c r="K1600" t="s">
        <v>37</v>
      </c>
      <c r="L1600">
        <f t="shared" si="460"/>
        <v>1</v>
      </c>
      <c r="M1600">
        <f t="shared" si="461"/>
        <v>0</v>
      </c>
      <c r="N1600">
        <f t="shared" si="462"/>
        <v>0</v>
      </c>
      <c r="O1600" t="s">
        <v>305</v>
      </c>
      <c r="P1600">
        <f t="shared" si="463"/>
        <v>0</v>
      </c>
      <c r="Q1600">
        <f t="shared" si="464"/>
        <v>0</v>
      </c>
      <c r="R1600">
        <f t="shared" si="465"/>
        <v>0</v>
      </c>
      <c r="S1600">
        <f t="shared" si="466"/>
        <v>0</v>
      </c>
      <c r="T1600">
        <f t="shared" si="467"/>
        <v>0</v>
      </c>
      <c r="U1600">
        <f t="shared" si="468"/>
        <v>0</v>
      </c>
      <c r="V1600">
        <f t="shared" si="469"/>
        <v>0</v>
      </c>
      <c r="W1600" t="s">
        <v>58</v>
      </c>
      <c r="X1600">
        <f t="shared" si="470"/>
        <v>0</v>
      </c>
      <c r="Y1600">
        <f t="shared" si="471"/>
        <v>1</v>
      </c>
      <c r="Z1600">
        <v>5</v>
      </c>
      <c r="AA1600">
        <f t="shared" si="472"/>
        <v>1</v>
      </c>
      <c r="AB1600" t="s">
        <v>40</v>
      </c>
      <c r="AC1600">
        <f t="shared" si="473"/>
        <v>0</v>
      </c>
      <c r="AD1600">
        <f t="shared" si="474"/>
        <v>0</v>
      </c>
      <c r="AE1600" t="s">
        <v>41</v>
      </c>
      <c r="AF1600">
        <f>IF(AE1600="website",1,0)</f>
        <v>1</v>
      </c>
    </row>
    <row r="1601" spans="1:32">
      <c r="A1601" t="s">
        <v>2252</v>
      </c>
      <c r="B1601" t="s">
        <v>33</v>
      </c>
      <c r="C1601" s="3">
        <f t="shared" si="456"/>
        <v>0</v>
      </c>
      <c r="D1601">
        <f t="shared" si="457"/>
        <v>1</v>
      </c>
      <c r="E1601" t="s">
        <v>982</v>
      </c>
      <c r="F1601" t="s">
        <v>709</v>
      </c>
      <c r="G1601" s="1">
        <v>24881</v>
      </c>
      <c r="H1601" s="2">
        <f t="shared" ca="1" si="458"/>
        <v>58</v>
      </c>
      <c r="I1601" s="2">
        <f t="shared" ca="1" si="459"/>
        <v>0.47142857142857142</v>
      </c>
      <c r="J1601" t="s">
        <v>36</v>
      </c>
      <c r="K1601" t="s">
        <v>153</v>
      </c>
      <c r="L1601">
        <f t="shared" si="460"/>
        <v>0</v>
      </c>
      <c r="M1601">
        <f t="shared" si="461"/>
        <v>0</v>
      </c>
      <c r="N1601">
        <f t="shared" si="462"/>
        <v>0</v>
      </c>
      <c r="O1601" t="s">
        <v>945</v>
      </c>
      <c r="P1601">
        <f t="shared" si="463"/>
        <v>0</v>
      </c>
      <c r="Q1601">
        <f t="shared" si="464"/>
        <v>0</v>
      </c>
      <c r="R1601">
        <f t="shared" si="465"/>
        <v>0</v>
      </c>
      <c r="S1601">
        <f t="shared" si="466"/>
        <v>0</v>
      </c>
      <c r="T1601">
        <f t="shared" si="467"/>
        <v>0</v>
      </c>
      <c r="U1601">
        <f t="shared" si="468"/>
        <v>0</v>
      </c>
      <c r="V1601">
        <f t="shared" si="469"/>
        <v>0</v>
      </c>
      <c r="W1601" t="s">
        <v>39</v>
      </c>
      <c r="X1601">
        <f t="shared" si="470"/>
        <v>1</v>
      </c>
      <c r="Y1601">
        <f t="shared" si="471"/>
        <v>0</v>
      </c>
      <c r="Z1601">
        <v>5</v>
      </c>
      <c r="AA1601">
        <f t="shared" si="472"/>
        <v>1</v>
      </c>
      <c r="AB1601" t="s">
        <v>46</v>
      </c>
      <c r="AC1601">
        <f t="shared" si="473"/>
        <v>0</v>
      </c>
      <c r="AD1601">
        <f t="shared" si="474"/>
        <v>0</v>
      </c>
      <c r="AE1601" t="s">
        <v>41</v>
      </c>
      <c r="AF1601">
        <f>IF(AE1601="website",1,0)</f>
        <v>1</v>
      </c>
    </row>
    <row r="1602" spans="1:32">
      <c r="A1602" t="s">
        <v>2253</v>
      </c>
      <c r="B1602" t="s">
        <v>33</v>
      </c>
      <c r="C1602" s="3">
        <f t="shared" ref="C1602:C1665" si="475">IF(B1602="company",1,0)</f>
        <v>0</v>
      </c>
      <c r="D1602">
        <f t="shared" ref="D1602:D1665" si="476">IF(B1602="individual",1,0)</f>
        <v>1</v>
      </c>
      <c r="E1602" t="s">
        <v>1664</v>
      </c>
      <c r="F1602" t="s">
        <v>538</v>
      </c>
      <c r="G1602" s="1">
        <v>35290</v>
      </c>
      <c r="H1602" s="2">
        <f t="shared" ref="H1602:H1665" ca="1" si="477">DATEDIF(G1602,TODAY(),"Y")</f>
        <v>30</v>
      </c>
      <c r="I1602" s="2">
        <f t="shared" ref="I1602:I1665" ca="1" si="478">(H1602-MIN(H:H))/(MAX(H:H)-MIN(H:H))</f>
        <v>7.1428571428571425E-2</v>
      </c>
      <c r="J1602" t="s">
        <v>36</v>
      </c>
      <c r="K1602" t="s">
        <v>172</v>
      </c>
      <c r="L1602">
        <f t="shared" ref="L1602:L1665" si="479">IF(K1602="usa",1,0)</f>
        <v>0</v>
      </c>
      <c r="M1602">
        <f t="shared" ref="M1602:M1665" si="480">IF(K1602="canada",1,0)</f>
        <v>0</v>
      </c>
      <c r="N1602">
        <f t="shared" ref="N1602:N1665" si="481">IF(K1602="germany",1,0)</f>
        <v>0</v>
      </c>
      <c r="O1602" t="s">
        <v>173</v>
      </c>
      <c r="P1602">
        <f t="shared" ref="P1602:P1665" si="482">IF(O1602="california",1,0)</f>
        <v>0</v>
      </c>
      <c r="Q1602">
        <f t="shared" ref="Q1602:Q1665" si="483">IF(O1602="oregon",1,0)</f>
        <v>0</v>
      </c>
      <c r="R1602">
        <f t="shared" ref="R1602:R1665" si="484">IF(O1602="quebec",1,0)</f>
        <v>0</v>
      </c>
      <c r="S1602">
        <f t="shared" ref="S1602:S1665" si="485">IF(O1602="berlin",1,0)</f>
        <v>0</v>
      </c>
      <c r="T1602">
        <f t="shared" ref="T1602:T1665" si="486">IF(O1602="arizona",1,0)</f>
        <v>0</v>
      </c>
      <c r="U1602">
        <f t="shared" ref="U1602:U1665" si="487">IF(O1602="nevada",1,0)</f>
        <v>0</v>
      </c>
      <c r="V1602">
        <f t="shared" ref="V1602:V1665" si="488">IF(O1602="colardo",1,0)</f>
        <v>0</v>
      </c>
      <c r="W1602" t="s">
        <v>39</v>
      </c>
      <c r="X1602">
        <f t="shared" ref="X1602:X1665" si="489">IF(W1602="home",1,0)</f>
        <v>1</v>
      </c>
      <c r="Y1602">
        <f t="shared" ref="Y1602:Y1665" si="490">IF(W1602="investment",1,0)</f>
        <v>0</v>
      </c>
      <c r="Z1602">
        <v>3</v>
      </c>
      <c r="AA1602">
        <f t="shared" ref="AA1602:AA1665" si="491">(Z1602-1)/4</f>
        <v>0.5</v>
      </c>
      <c r="AB1602" t="s">
        <v>46</v>
      </c>
      <c r="AC1602">
        <f t="shared" ref="AC1602:AC1665" si="492">IF(AE1602="agency",1,0)</f>
        <v>0</v>
      </c>
      <c r="AD1602">
        <f t="shared" ref="AD1602:AD1665" si="493">IF(AE1602="client",1,0)</f>
        <v>0</v>
      </c>
      <c r="AE1602" t="s">
        <v>41</v>
      </c>
      <c r="AF1602">
        <f>IF(AE1602="website",1,0)</f>
        <v>1</v>
      </c>
    </row>
    <row r="1603" spans="1:32">
      <c r="A1603" t="s">
        <v>2254</v>
      </c>
      <c r="B1603" t="s">
        <v>33</v>
      </c>
      <c r="C1603" s="3">
        <f t="shared" si="475"/>
        <v>0</v>
      </c>
      <c r="D1603">
        <f t="shared" si="476"/>
        <v>1</v>
      </c>
      <c r="E1603" t="s">
        <v>1125</v>
      </c>
      <c r="F1603" t="s">
        <v>430</v>
      </c>
      <c r="G1603" s="1">
        <v>31717</v>
      </c>
      <c r="H1603" s="2">
        <f t="shared" ca="1" si="477"/>
        <v>39</v>
      </c>
      <c r="I1603" s="2">
        <f t="shared" ca="1" si="478"/>
        <v>0.2</v>
      </c>
      <c r="J1603" t="s">
        <v>45</v>
      </c>
      <c r="K1603" t="s">
        <v>37</v>
      </c>
      <c r="L1603">
        <f t="shared" si="479"/>
        <v>1</v>
      </c>
      <c r="M1603">
        <f t="shared" si="480"/>
        <v>0</v>
      </c>
      <c r="N1603">
        <f t="shared" si="481"/>
        <v>0</v>
      </c>
      <c r="O1603" t="s">
        <v>124</v>
      </c>
      <c r="P1603">
        <f t="shared" si="482"/>
        <v>0</v>
      </c>
      <c r="Q1603">
        <f t="shared" si="483"/>
        <v>0</v>
      </c>
      <c r="R1603">
        <f t="shared" si="484"/>
        <v>0</v>
      </c>
      <c r="S1603">
        <f t="shared" si="485"/>
        <v>0</v>
      </c>
      <c r="T1603">
        <f t="shared" si="486"/>
        <v>0</v>
      </c>
      <c r="U1603">
        <f t="shared" si="487"/>
        <v>1</v>
      </c>
      <c r="V1603">
        <f t="shared" si="488"/>
        <v>0</v>
      </c>
      <c r="W1603" t="s">
        <v>58</v>
      </c>
      <c r="X1603">
        <f t="shared" si="489"/>
        <v>0</v>
      </c>
      <c r="Y1603">
        <f t="shared" si="490"/>
        <v>1</v>
      </c>
      <c r="Z1603">
        <v>4</v>
      </c>
      <c r="AA1603">
        <f t="shared" si="491"/>
        <v>0.75</v>
      </c>
      <c r="AB1603" t="s">
        <v>46</v>
      </c>
      <c r="AC1603">
        <f t="shared" si="492"/>
        <v>0</v>
      </c>
      <c r="AD1603">
        <f t="shared" si="493"/>
        <v>0</v>
      </c>
      <c r="AE1603" t="s">
        <v>41</v>
      </c>
      <c r="AF1603">
        <f>IF(AE1603="website",1,0)</f>
        <v>1</v>
      </c>
    </row>
    <row r="1604" spans="1:32">
      <c r="A1604" t="s">
        <v>2255</v>
      </c>
      <c r="B1604" t="s">
        <v>33</v>
      </c>
      <c r="C1604" s="3">
        <f t="shared" si="475"/>
        <v>0</v>
      </c>
      <c r="D1604">
        <f t="shared" si="476"/>
        <v>1</v>
      </c>
      <c r="E1604" t="s">
        <v>578</v>
      </c>
      <c r="F1604" t="s">
        <v>709</v>
      </c>
      <c r="G1604" s="1">
        <v>22896</v>
      </c>
      <c r="H1604" s="2">
        <f t="shared" ca="1" si="477"/>
        <v>64</v>
      </c>
      <c r="I1604" s="2">
        <f t="shared" ca="1" si="478"/>
        <v>0.55714285714285716</v>
      </c>
      <c r="J1604" t="s">
        <v>36</v>
      </c>
      <c r="K1604" t="s">
        <v>248</v>
      </c>
      <c r="L1604">
        <f t="shared" si="479"/>
        <v>0</v>
      </c>
      <c r="M1604">
        <f t="shared" si="480"/>
        <v>0</v>
      </c>
      <c r="N1604">
        <f t="shared" si="481"/>
        <v>0</v>
      </c>
      <c r="O1604" t="s">
        <v>582</v>
      </c>
      <c r="P1604">
        <f t="shared" si="482"/>
        <v>0</v>
      </c>
      <c r="Q1604">
        <f t="shared" si="483"/>
        <v>0</v>
      </c>
      <c r="R1604">
        <f t="shared" si="484"/>
        <v>0</v>
      </c>
      <c r="S1604">
        <f t="shared" si="485"/>
        <v>0</v>
      </c>
      <c r="T1604">
        <f t="shared" si="486"/>
        <v>0</v>
      </c>
      <c r="U1604">
        <f t="shared" si="487"/>
        <v>0</v>
      </c>
      <c r="V1604">
        <f t="shared" si="488"/>
        <v>0</v>
      </c>
      <c r="W1604" t="s">
        <v>39</v>
      </c>
      <c r="X1604">
        <f t="shared" si="489"/>
        <v>1</v>
      </c>
      <c r="Y1604">
        <f t="shared" si="490"/>
        <v>0</v>
      </c>
      <c r="Z1604">
        <v>5</v>
      </c>
      <c r="AA1604">
        <f t="shared" si="491"/>
        <v>1</v>
      </c>
      <c r="AB1604" t="s">
        <v>46</v>
      </c>
      <c r="AC1604">
        <f t="shared" si="492"/>
        <v>0</v>
      </c>
      <c r="AD1604">
        <f t="shared" si="493"/>
        <v>0</v>
      </c>
      <c r="AE1604" t="s">
        <v>41</v>
      </c>
      <c r="AF1604">
        <f>IF(AE1604="website",1,0)</f>
        <v>1</v>
      </c>
    </row>
    <row r="1605" spans="1:32">
      <c r="A1605" t="s">
        <v>2256</v>
      </c>
      <c r="B1605" t="s">
        <v>33</v>
      </c>
      <c r="C1605" s="3">
        <f t="shared" si="475"/>
        <v>0</v>
      </c>
      <c r="D1605">
        <f t="shared" si="476"/>
        <v>1</v>
      </c>
      <c r="E1605" t="s">
        <v>708</v>
      </c>
      <c r="F1605" t="s">
        <v>607</v>
      </c>
      <c r="G1605" s="1">
        <v>18151</v>
      </c>
      <c r="H1605" s="2">
        <f t="shared" ca="1" si="477"/>
        <v>77</v>
      </c>
      <c r="I1605" s="2">
        <f t="shared" ca="1" si="478"/>
        <v>0.74285714285714288</v>
      </c>
      <c r="J1605" t="s">
        <v>45</v>
      </c>
      <c r="K1605" t="s">
        <v>37</v>
      </c>
      <c r="L1605">
        <f t="shared" si="479"/>
        <v>1</v>
      </c>
      <c r="M1605">
        <f t="shared" si="480"/>
        <v>0</v>
      </c>
      <c r="N1605">
        <f t="shared" si="481"/>
        <v>0</v>
      </c>
      <c r="O1605" t="s">
        <v>592</v>
      </c>
      <c r="P1605">
        <f t="shared" si="482"/>
        <v>0</v>
      </c>
      <c r="Q1605">
        <f t="shared" si="483"/>
        <v>0</v>
      </c>
      <c r="R1605">
        <f t="shared" si="484"/>
        <v>0</v>
      </c>
      <c r="S1605">
        <f t="shared" si="485"/>
        <v>0</v>
      </c>
      <c r="T1605">
        <f t="shared" si="486"/>
        <v>0</v>
      </c>
      <c r="U1605">
        <f t="shared" si="487"/>
        <v>0</v>
      </c>
      <c r="V1605">
        <f t="shared" si="488"/>
        <v>0</v>
      </c>
      <c r="W1605" t="s">
        <v>39</v>
      </c>
      <c r="X1605">
        <f t="shared" si="489"/>
        <v>1</v>
      </c>
      <c r="Y1605">
        <f t="shared" si="490"/>
        <v>0</v>
      </c>
      <c r="Z1605">
        <v>4</v>
      </c>
      <c r="AA1605">
        <f t="shared" si="491"/>
        <v>0.75</v>
      </c>
      <c r="AB1605" t="s">
        <v>46</v>
      </c>
      <c r="AC1605">
        <f t="shared" si="492"/>
        <v>0</v>
      </c>
      <c r="AD1605">
        <f t="shared" si="493"/>
        <v>0</v>
      </c>
      <c r="AE1605" t="s">
        <v>41</v>
      </c>
      <c r="AF1605">
        <f>IF(AE1605="website",1,0)</f>
        <v>1</v>
      </c>
    </row>
    <row r="1606" spans="1:32">
      <c r="A1606" t="s">
        <v>2257</v>
      </c>
      <c r="B1606" t="s">
        <v>33</v>
      </c>
      <c r="C1606" s="3">
        <f t="shared" si="475"/>
        <v>0</v>
      </c>
      <c r="D1606">
        <f t="shared" si="476"/>
        <v>1</v>
      </c>
      <c r="E1606" t="s">
        <v>910</v>
      </c>
      <c r="F1606" t="s">
        <v>745</v>
      </c>
      <c r="G1606" s="1">
        <v>36181</v>
      </c>
      <c r="H1606" s="2">
        <f t="shared" ca="1" si="477"/>
        <v>27</v>
      </c>
      <c r="I1606" s="2">
        <f t="shared" ca="1" si="478"/>
        <v>2.8571428571428571E-2</v>
      </c>
      <c r="J1606" t="s">
        <v>45</v>
      </c>
      <c r="K1606" t="s">
        <v>248</v>
      </c>
      <c r="L1606">
        <f t="shared" si="479"/>
        <v>0</v>
      </c>
      <c r="M1606">
        <f t="shared" si="480"/>
        <v>0</v>
      </c>
      <c r="N1606">
        <f t="shared" si="481"/>
        <v>0</v>
      </c>
      <c r="O1606" t="s">
        <v>582</v>
      </c>
      <c r="P1606">
        <f t="shared" si="482"/>
        <v>0</v>
      </c>
      <c r="Q1606">
        <f t="shared" si="483"/>
        <v>0</v>
      </c>
      <c r="R1606">
        <f t="shared" si="484"/>
        <v>0</v>
      </c>
      <c r="S1606">
        <f t="shared" si="485"/>
        <v>0</v>
      </c>
      <c r="T1606">
        <f t="shared" si="486"/>
        <v>0</v>
      </c>
      <c r="U1606">
        <f t="shared" si="487"/>
        <v>0</v>
      </c>
      <c r="V1606">
        <f t="shared" si="488"/>
        <v>0</v>
      </c>
      <c r="W1606" t="s">
        <v>58</v>
      </c>
      <c r="X1606">
        <f t="shared" si="489"/>
        <v>0</v>
      </c>
      <c r="Y1606">
        <f t="shared" si="490"/>
        <v>1</v>
      </c>
      <c r="Z1606">
        <v>4</v>
      </c>
      <c r="AA1606">
        <f t="shared" si="491"/>
        <v>0.75</v>
      </c>
      <c r="AB1606" t="s">
        <v>40</v>
      </c>
      <c r="AC1606">
        <f t="shared" si="492"/>
        <v>0</v>
      </c>
      <c r="AD1606">
        <f t="shared" si="493"/>
        <v>0</v>
      </c>
      <c r="AE1606" t="s">
        <v>41</v>
      </c>
      <c r="AF1606">
        <f>IF(AE1606="website",1,0)</f>
        <v>1</v>
      </c>
    </row>
    <row r="1607" spans="1:32">
      <c r="A1607" t="s">
        <v>2258</v>
      </c>
      <c r="B1607" t="s">
        <v>33</v>
      </c>
      <c r="C1607" s="3">
        <f t="shared" si="475"/>
        <v>0</v>
      </c>
      <c r="D1607">
        <f t="shared" si="476"/>
        <v>1</v>
      </c>
      <c r="E1607" t="s">
        <v>842</v>
      </c>
      <c r="F1607" t="s">
        <v>339</v>
      </c>
      <c r="G1607" s="1">
        <v>23821</v>
      </c>
      <c r="H1607" s="2">
        <f t="shared" ca="1" si="477"/>
        <v>61</v>
      </c>
      <c r="I1607" s="2">
        <f t="shared" ca="1" si="478"/>
        <v>0.51428571428571423</v>
      </c>
      <c r="J1607" t="s">
        <v>45</v>
      </c>
      <c r="K1607" t="s">
        <v>37</v>
      </c>
      <c r="L1607">
        <f t="shared" si="479"/>
        <v>1</v>
      </c>
      <c r="M1607">
        <f t="shared" si="480"/>
        <v>0</v>
      </c>
      <c r="N1607">
        <f t="shared" si="481"/>
        <v>0</v>
      </c>
      <c r="O1607" t="s">
        <v>565</v>
      </c>
      <c r="P1607">
        <f t="shared" si="482"/>
        <v>0</v>
      </c>
      <c r="Q1607">
        <f t="shared" si="483"/>
        <v>0</v>
      </c>
      <c r="R1607">
        <f t="shared" si="484"/>
        <v>0</v>
      </c>
      <c r="S1607">
        <f t="shared" si="485"/>
        <v>0</v>
      </c>
      <c r="T1607">
        <f t="shared" si="486"/>
        <v>0</v>
      </c>
      <c r="U1607">
        <f t="shared" si="487"/>
        <v>0</v>
      </c>
      <c r="V1607">
        <f t="shared" si="488"/>
        <v>0</v>
      </c>
      <c r="W1607" t="s">
        <v>39</v>
      </c>
      <c r="X1607">
        <f t="shared" si="489"/>
        <v>1</v>
      </c>
      <c r="Y1607">
        <f t="shared" si="490"/>
        <v>0</v>
      </c>
      <c r="Z1607">
        <v>1</v>
      </c>
      <c r="AA1607">
        <f t="shared" si="491"/>
        <v>0</v>
      </c>
      <c r="AB1607" t="s">
        <v>40</v>
      </c>
      <c r="AC1607">
        <f t="shared" si="492"/>
        <v>1</v>
      </c>
      <c r="AD1607">
        <f t="shared" si="493"/>
        <v>0</v>
      </c>
      <c r="AE1607" t="s">
        <v>50</v>
      </c>
      <c r="AF1607">
        <f>IF(AE1607="website",1,0)</f>
        <v>0</v>
      </c>
    </row>
    <row r="1608" spans="1:32">
      <c r="A1608" t="s">
        <v>2259</v>
      </c>
      <c r="B1608" t="s">
        <v>33</v>
      </c>
      <c r="C1608" s="3">
        <f t="shared" si="475"/>
        <v>0</v>
      </c>
      <c r="D1608">
        <f t="shared" si="476"/>
        <v>1</v>
      </c>
      <c r="E1608" t="s">
        <v>766</v>
      </c>
      <c r="F1608" t="s">
        <v>549</v>
      </c>
      <c r="G1608" s="1">
        <v>23081</v>
      </c>
      <c r="H1608" s="2">
        <f t="shared" ca="1" si="477"/>
        <v>63</v>
      </c>
      <c r="I1608" s="2">
        <f t="shared" ca="1" si="478"/>
        <v>0.54285714285714282</v>
      </c>
      <c r="J1608" t="s">
        <v>36</v>
      </c>
      <c r="K1608" t="s">
        <v>37</v>
      </c>
      <c r="L1608">
        <f t="shared" si="479"/>
        <v>1</v>
      </c>
      <c r="M1608">
        <f t="shared" si="480"/>
        <v>0</v>
      </c>
      <c r="N1608">
        <f t="shared" si="481"/>
        <v>0</v>
      </c>
      <c r="O1608" t="s">
        <v>38</v>
      </c>
      <c r="P1608">
        <f t="shared" si="482"/>
        <v>1</v>
      </c>
      <c r="Q1608">
        <f t="shared" si="483"/>
        <v>0</v>
      </c>
      <c r="R1608">
        <f t="shared" si="484"/>
        <v>0</v>
      </c>
      <c r="S1608">
        <f t="shared" si="485"/>
        <v>0</v>
      </c>
      <c r="T1608">
        <f t="shared" si="486"/>
        <v>0</v>
      </c>
      <c r="U1608">
        <f t="shared" si="487"/>
        <v>0</v>
      </c>
      <c r="V1608">
        <f t="shared" si="488"/>
        <v>0</v>
      </c>
      <c r="W1608" t="s">
        <v>39</v>
      </c>
      <c r="X1608">
        <f t="shared" si="489"/>
        <v>1</v>
      </c>
      <c r="Y1608">
        <f t="shared" si="490"/>
        <v>0</v>
      </c>
      <c r="Z1608">
        <v>3</v>
      </c>
      <c r="AA1608">
        <f t="shared" si="491"/>
        <v>0.5</v>
      </c>
      <c r="AB1608" t="s">
        <v>46</v>
      </c>
      <c r="AC1608">
        <f t="shared" si="492"/>
        <v>1</v>
      </c>
      <c r="AD1608">
        <f t="shared" si="493"/>
        <v>0</v>
      </c>
      <c r="AE1608" t="s">
        <v>50</v>
      </c>
      <c r="AF1608">
        <f>IF(AE1608="website",1,0)</f>
        <v>0</v>
      </c>
    </row>
    <row r="1609" spans="1:32">
      <c r="A1609" t="s">
        <v>2260</v>
      </c>
      <c r="B1609" t="s">
        <v>33</v>
      </c>
      <c r="C1609" s="3">
        <f t="shared" si="475"/>
        <v>0</v>
      </c>
      <c r="D1609">
        <f t="shared" si="476"/>
        <v>1</v>
      </c>
      <c r="E1609" t="s">
        <v>804</v>
      </c>
      <c r="F1609" t="s">
        <v>599</v>
      </c>
      <c r="G1609" s="1">
        <v>36478</v>
      </c>
      <c r="H1609" s="2">
        <f t="shared" ca="1" si="477"/>
        <v>26</v>
      </c>
      <c r="I1609" s="2">
        <f t="shared" ca="1" si="478"/>
        <v>1.4285714285714285E-2</v>
      </c>
      <c r="J1609" t="s">
        <v>36</v>
      </c>
      <c r="K1609" t="s">
        <v>248</v>
      </c>
      <c r="L1609">
        <f t="shared" si="479"/>
        <v>0</v>
      </c>
      <c r="M1609">
        <f t="shared" si="480"/>
        <v>0</v>
      </c>
      <c r="N1609">
        <f t="shared" si="481"/>
        <v>0</v>
      </c>
      <c r="O1609" t="s">
        <v>582</v>
      </c>
      <c r="P1609">
        <f t="shared" si="482"/>
        <v>0</v>
      </c>
      <c r="Q1609">
        <f t="shared" si="483"/>
        <v>0</v>
      </c>
      <c r="R1609">
        <f t="shared" si="484"/>
        <v>0</v>
      </c>
      <c r="S1609">
        <f t="shared" si="485"/>
        <v>0</v>
      </c>
      <c r="T1609">
        <f t="shared" si="486"/>
        <v>0</v>
      </c>
      <c r="U1609">
        <f t="shared" si="487"/>
        <v>0</v>
      </c>
      <c r="V1609">
        <f t="shared" si="488"/>
        <v>0</v>
      </c>
      <c r="W1609" t="s">
        <v>39</v>
      </c>
      <c r="X1609">
        <f t="shared" si="489"/>
        <v>1</v>
      </c>
      <c r="Y1609">
        <f t="shared" si="490"/>
        <v>0</v>
      </c>
      <c r="Z1609">
        <v>4</v>
      </c>
      <c r="AA1609">
        <f t="shared" si="491"/>
        <v>0.75</v>
      </c>
      <c r="AB1609" t="s">
        <v>40</v>
      </c>
      <c r="AC1609">
        <f t="shared" si="492"/>
        <v>0</v>
      </c>
      <c r="AD1609">
        <f t="shared" si="493"/>
        <v>0</v>
      </c>
      <c r="AE1609" t="s">
        <v>41</v>
      </c>
      <c r="AF1609">
        <f>IF(AE1609="website",1,0)</f>
        <v>1</v>
      </c>
    </row>
    <row r="1610" spans="1:32">
      <c r="A1610" t="s">
        <v>2261</v>
      </c>
      <c r="B1610" t="s">
        <v>33</v>
      </c>
      <c r="C1610" s="3">
        <f t="shared" si="475"/>
        <v>0</v>
      </c>
      <c r="D1610">
        <f t="shared" si="476"/>
        <v>1</v>
      </c>
      <c r="E1610" t="s">
        <v>750</v>
      </c>
      <c r="F1610" t="s">
        <v>885</v>
      </c>
      <c r="G1610" s="1">
        <v>23652</v>
      </c>
      <c r="H1610" s="2">
        <f t="shared" ca="1" si="477"/>
        <v>62</v>
      </c>
      <c r="I1610" s="2">
        <f t="shared" ca="1" si="478"/>
        <v>0.52857142857142858</v>
      </c>
      <c r="J1610" t="s">
        <v>45</v>
      </c>
      <c r="K1610" t="s">
        <v>37</v>
      </c>
      <c r="L1610">
        <f t="shared" si="479"/>
        <v>1</v>
      </c>
      <c r="M1610">
        <f t="shared" si="480"/>
        <v>0</v>
      </c>
      <c r="N1610">
        <f t="shared" si="481"/>
        <v>0</v>
      </c>
      <c r="O1610" t="s">
        <v>38</v>
      </c>
      <c r="P1610">
        <f t="shared" si="482"/>
        <v>1</v>
      </c>
      <c r="Q1610">
        <f t="shared" si="483"/>
        <v>0</v>
      </c>
      <c r="R1610">
        <f t="shared" si="484"/>
        <v>0</v>
      </c>
      <c r="S1610">
        <f t="shared" si="485"/>
        <v>0</v>
      </c>
      <c r="T1610">
        <f t="shared" si="486"/>
        <v>0</v>
      </c>
      <c r="U1610">
        <f t="shared" si="487"/>
        <v>0</v>
      </c>
      <c r="V1610">
        <f t="shared" si="488"/>
        <v>0</v>
      </c>
      <c r="W1610" t="s">
        <v>58</v>
      </c>
      <c r="X1610">
        <f t="shared" si="489"/>
        <v>0</v>
      </c>
      <c r="Y1610">
        <f t="shared" si="490"/>
        <v>1</v>
      </c>
      <c r="Z1610">
        <v>2</v>
      </c>
      <c r="AA1610">
        <f t="shared" si="491"/>
        <v>0.25</v>
      </c>
      <c r="AB1610" t="s">
        <v>46</v>
      </c>
      <c r="AC1610">
        <f t="shared" si="492"/>
        <v>0</v>
      </c>
      <c r="AD1610">
        <f t="shared" si="493"/>
        <v>0</v>
      </c>
      <c r="AE1610" t="s">
        <v>41</v>
      </c>
      <c r="AF1610">
        <f>IF(AE1610="website",1,0)</f>
        <v>1</v>
      </c>
    </row>
    <row r="1611" spans="1:32">
      <c r="A1611" t="s">
        <v>2262</v>
      </c>
      <c r="B1611" t="s">
        <v>33</v>
      </c>
      <c r="C1611" s="3">
        <f t="shared" si="475"/>
        <v>0</v>
      </c>
      <c r="D1611">
        <f t="shared" si="476"/>
        <v>1</v>
      </c>
      <c r="E1611" t="s">
        <v>719</v>
      </c>
      <c r="F1611" t="s">
        <v>633</v>
      </c>
      <c r="G1611" s="1">
        <v>24554</v>
      </c>
      <c r="H1611" s="2">
        <f t="shared" ca="1" si="477"/>
        <v>59</v>
      </c>
      <c r="I1611" s="2">
        <f t="shared" ca="1" si="478"/>
        <v>0.48571428571428571</v>
      </c>
      <c r="J1611" t="s">
        <v>45</v>
      </c>
      <c r="K1611" t="s">
        <v>37</v>
      </c>
      <c r="L1611">
        <f t="shared" si="479"/>
        <v>1</v>
      </c>
      <c r="M1611">
        <f t="shared" si="480"/>
        <v>0</v>
      </c>
      <c r="N1611">
        <f t="shared" si="481"/>
        <v>0</v>
      </c>
      <c r="O1611" t="s">
        <v>38</v>
      </c>
      <c r="P1611">
        <f t="shared" si="482"/>
        <v>1</v>
      </c>
      <c r="Q1611">
        <f t="shared" si="483"/>
        <v>0</v>
      </c>
      <c r="R1611">
        <f t="shared" si="484"/>
        <v>0</v>
      </c>
      <c r="S1611">
        <f t="shared" si="485"/>
        <v>0</v>
      </c>
      <c r="T1611">
        <f t="shared" si="486"/>
        <v>0</v>
      </c>
      <c r="U1611">
        <f t="shared" si="487"/>
        <v>0</v>
      </c>
      <c r="V1611">
        <f t="shared" si="488"/>
        <v>0</v>
      </c>
      <c r="W1611" t="s">
        <v>58</v>
      </c>
      <c r="X1611">
        <f t="shared" si="489"/>
        <v>0</v>
      </c>
      <c r="Y1611">
        <f t="shared" si="490"/>
        <v>1</v>
      </c>
      <c r="Z1611">
        <v>3</v>
      </c>
      <c r="AA1611">
        <f t="shared" si="491"/>
        <v>0.5</v>
      </c>
      <c r="AB1611" t="s">
        <v>46</v>
      </c>
      <c r="AC1611">
        <f t="shared" si="492"/>
        <v>0</v>
      </c>
      <c r="AD1611">
        <f t="shared" si="493"/>
        <v>0</v>
      </c>
      <c r="AE1611" t="s">
        <v>41</v>
      </c>
      <c r="AF1611">
        <f>IF(AE1611="website",1,0)</f>
        <v>1</v>
      </c>
    </row>
    <row r="1612" spans="1:32">
      <c r="A1612" t="s">
        <v>2263</v>
      </c>
      <c r="B1612" t="s">
        <v>33</v>
      </c>
      <c r="C1612" s="3">
        <f t="shared" si="475"/>
        <v>0</v>
      </c>
      <c r="D1612">
        <f t="shared" si="476"/>
        <v>1</v>
      </c>
      <c r="E1612" t="s">
        <v>581</v>
      </c>
      <c r="F1612" t="s">
        <v>773</v>
      </c>
      <c r="G1612" s="1">
        <v>27639</v>
      </c>
      <c r="H1612" s="2">
        <f t="shared" ca="1" si="477"/>
        <v>51</v>
      </c>
      <c r="I1612" s="2">
        <f t="shared" ca="1" si="478"/>
        <v>0.37142857142857144</v>
      </c>
      <c r="J1612" t="s">
        <v>36</v>
      </c>
      <c r="K1612" t="s">
        <v>37</v>
      </c>
      <c r="L1612">
        <f t="shared" si="479"/>
        <v>1</v>
      </c>
      <c r="M1612">
        <f t="shared" si="480"/>
        <v>0</v>
      </c>
      <c r="N1612">
        <f t="shared" si="481"/>
        <v>0</v>
      </c>
      <c r="O1612" t="s">
        <v>124</v>
      </c>
      <c r="P1612">
        <f t="shared" si="482"/>
        <v>0</v>
      </c>
      <c r="Q1612">
        <f t="shared" si="483"/>
        <v>0</v>
      </c>
      <c r="R1612">
        <f t="shared" si="484"/>
        <v>0</v>
      </c>
      <c r="S1612">
        <f t="shared" si="485"/>
        <v>0</v>
      </c>
      <c r="T1612">
        <f t="shared" si="486"/>
        <v>0</v>
      </c>
      <c r="U1612">
        <f t="shared" si="487"/>
        <v>1</v>
      </c>
      <c r="V1612">
        <f t="shared" si="488"/>
        <v>0</v>
      </c>
      <c r="W1612" t="s">
        <v>58</v>
      </c>
      <c r="X1612">
        <f t="shared" si="489"/>
        <v>0</v>
      </c>
      <c r="Y1612">
        <f t="shared" si="490"/>
        <v>1</v>
      </c>
      <c r="Z1612">
        <v>4</v>
      </c>
      <c r="AA1612">
        <f t="shared" si="491"/>
        <v>0.75</v>
      </c>
      <c r="AB1612" t="s">
        <v>46</v>
      </c>
      <c r="AC1612">
        <f t="shared" si="492"/>
        <v>0</v>
      </c>
      <c r="AD1612">
        <f t="shared" si="493"/>
        <v>0</v>
      </c>
      <c r="AE1612" t="s">
        <v>41</v>
      </c>
      <c r="AF1612">
        <f>IF(AE1612="website",1,0)</f>
        <v>1</v>
      </c>
    </row>
    <row r="1613" spans="1:32">
      <c r="A1613" t="s">
        <v>2264</v>
      </c>
      <c r="B1613" t="s">
        <v>33</v>
      </c>
      <c r="C1613" s="3">
        <f t="shared" si="475"/>
        <v>0</v>
      </c>
      <c r="D1613">
        <f t="shared" si="476"/>
        <v>1</v>
      </c>
      <c r="E1613" t="s">
        <v>671</v>
      </c>
      <c r="F1613" t="s">
        <v>664</v>
      </c>
      <c r="G1613" s="1">
        <v>32929</v>
      </c>
      <c r="H1613" s="2">
        <f t="shared" ca="1" si="477"/>
        <v>36</v>
      </c>
      <c r="I1613" s="2">
        <f t="shared" ca="1" si="478"/>
        <v>0.15714285714285714</v>
      </c>
      <c r="J1613" t="s">
        <v>45</v>
      </c>
      <c r="K1613" t="s">
        <v>37</v>
      </c>
      <c r="L1613">
        <f t="shared" si="479"/>
        <v>1</v>
      </c>
      <c r="M1613">
        <f t="shared" si="480"/>
        <v>0</v>
      </c>
      <c r="N1613">
        <f t="shared" si="481"/>
        <v>0</v>
      </c>
      <c r="O1613" t="s">
        <v>38</v>
      </c>
      <c r="P1613">
        <f t="shared" si="482"/>
        <v>1</v>
      </c>
      <c r="Q1613">
        <f t="shared" si="483"/>
        <v>0</v>
      </c>
      <c r="R1613">
        <f t="shared" si="484"/>
        <v>0</v>
      </c>
      <c r="S1613">
        <f t="shared" si="485"/>
        <v>0</v>
      </c>
      <c r="T1613">
        <f t="shared" si="486"/>
        <v>0</v>
      </c>
      <c r="U1613">
        <f t="shared" si="487"/>
        <v>0</v>
      </c>
      <c r="V1613">
        <f t="shared" si="488"/>
        <v>0</v>
      </c>
      <c r="W1613" t="s">
        <v>39</v>
      </c>
      <c r="X1613">
        <f t="shared" si="489"/>
        <v>1</v>
      </c>
      <c r="Y1613">
        <f t="shared" si="490"/>
        <v>0</v>
      </c>
      <c r="Z1613">
        <v>1</v>
      </c>
      <c r="AA1613">
        <f t="shared" si="491"/>
        <v>0</v>
      </c>
      <c r="AB1613" t="s">
        <v>46</v>
      </c>
      <c r="AC1613">
        <f t="shared" si="492"/>
        <v>1</v>
      </c>
      <c r="AD1613">
        <f t="shared" si="493"/>
        <v>0</v>
      </c>
      <c r="AE1613" t="s">
        <v>50</v>
      </c>
      <c r="AF1613">
        <f>IF(AE1613="website",1,0)</f>
        <v>0</v>
      </c>
    </row>
    <row r="1614" spans="1:32">
      <c r="A1614" t="s">
        <v>2265</v>
      </c>
      <c r="B1614" t="s">
        <v>33</v>
      </c>
      <c r="C1614" s="3">
        <f t="shared" si="475"/>
        <v>0</v>
      </c>
      <c r="D1614">
        <f t="shared" si="476"/>
        <v>1</v>
      </c>
      <c r="E1614" t="s">
        <v>635</v>
      </c>
      <c r="F1614" t="s">
        <v>928</v>
      </c>
      <c r="G1614" s="1">
        <v>35803</v>
      </c>
      <c r="H1614" s="2">
        <f t="shared" ca="1" si="477"/>
        <v>28</v>
      </c>
      <c r="I1614" s="2">
        <f t="shared" ca="1" si="478"/>
        <v>4.2857142857142858E-2</v>
      </c>
      <c r="J1614" t="s">
        <v>45</v>
      </c>
      <c r="K1614" t="s">
        <v>276</v>
      </c>
      <c r="L1614">
        <f t="shared" si="479"/>
        <v>0</v>
      </c>
      <c r="M1614">
        <f t="shared" si="480"/>
        <v>0</v>
      </c>
      <c r="N1614">
        <f t="shared" si="481"/>
        <v>0</v>
      </c>
      <c r="O1614" t="s">
        <v>1401</v>
      </c>
      <c r="P1614">
        <f t="shared" si="482"/>
        <v>0</v>
      </c>
      <c r="Q1614">
        <f t="shared" si="483"/>
        <v>0</v>
      </c>
      <c r="R1614">
        <f t="shared" si="484"/>
        <v>0</v>
      </c>
      <c r="S1614">
        <f t="shared" si="485"/>
        <v>0</v>
      </c>
      <c r="T1614">
        <f t="shared" si="486"/>
        <v>0</v>
      </c>
      <c r="U1614">
        <f t="shared" si="487"/>
        <v>0</v>
      </c>
      <c r="V1614">
        <f t="shared" si="488"/>
        <v>0</v>
      </c>
      <c r="W1614" t="s">
        <v>39</v>
      </c>
      <c r="X1614">
        <f t="shared" si="489"/>
        <v>1</v>
      </c>
      <c r="Y1614">
        <f t="shared" si="490"/>
        <v>0</v>
      </c>
      <c r="Z1614">
        <v>2</v>
      </c>
      <c r="AA1614">
        <f t="shared" si="491"/>
        <v>0.25</v>
      </c>
      <c r="AB1614" t="s">
        <v>40</v>
      </c>
      <c r="AC1614">
        <f t="shared" si="492"/>
        <v>1</v>
      </c>
      <c r="AD1614">
        <f t="shared" si="493"/>
        <v>0</v>
      </c>
      <c r="AE1614" t="s">
        <v>50</v>
      </c>
      <c r="AF1614">
        <f>IF(AE1614="website",1,0)</f>
        <v>0</v>
      </c>
    </row>
    <row r="1615" spans="1:32">
      <c r="A1615" t="s">
        <v>2266</v>
      </c>
      <c r="B1615" t="s">
        <v>33</v>
      </c>
      <c r="C1615" s="3">
        <f t="shared" si="475"/>
        <v>0</v>
      </c>
      <c r="D1615">
        <f t="shared" si="476"/>
        <v>1</v>
      </c>
      <c r="E1615" t="s">
        <v>564</v>
      </c>
      <c r="F1615" t="s">
        <v>579</v>
      </c>
      <c r="G1615" s="1">
        <v>24974</v>
      </c>
      <c r="H1615" s="2">
        <f t="shared" ca="1" si="477"/>
        <v>58</v>
      </c>
      <c r="I1615" s="2">
        <f t="shared" ca="1" si="478"/>
        <v>0.47142857142857142</v>
      </c>
      <c r="J1615" t="s">
        <v>36</v>
      </c>
      <c r="K1615" t="s">
        <v>37</v>
      </c>
      <c r="L1615">
        <f t="shared" si="479"/>
        <v>1</v>
      </c>
      <c r="M1615">
        <f t="shared" si="480"/>
        <v>0</v>
      </c>
      <c r="N1615">
        <f t="shared" si="481"/>
        <v>0</v>
      </c>
      <c r="O1615" t="s">
        <v>183</v>
      </c>
      <c r="P1615">
        <f t="shared" si="482"/>
        <v>0</v>
      </c>
      <c r="Q1615">
        <f t="shared" si="483"/>
        <v>0</v>
      </c>
      <c r="R1615">
        <f t="shared" si="484"/>
        <v>0</v>
      </c>
      <c r="S1615">
        <f t="shared" si="485"/>
        <v>0</v>
      </c>
      <c r="T1615">
        <f t="shared" si="486"/>
        <v>0</v>
      </c>
      <c r="U1615">
        <f t="shared" si="487"/>
        <v>0</v>
      </c>
      <c r="V1615">
        <f t="shared" si="488"/>
        <v>0</v>
      </c>
      <c r="W1615" t="s">
        <v>58</v>
      </c>
      <c r="X1615">
        <f t="shared" si="489"/>
        <v>0</v>
      </c>
      <c r="Y1615">
        <f t="shared" si="490"/>
        <v>1</v>
      </c>
      <c r="Z1615">
        <v>4</v>
      </c>
      <c r="AA1615">
        <f t="shared" si="491"/>
        <v>0.75</v>
      </c>
      <c r="AB1615" t="s">
        <v>46</v>
      </c>
      <c r="AC1615">
        <f t="shared" si="492"/>
        <v>0</v>
      </c>
      <c r="AD1615">
        <f t="shared" si="493"/>
        <v>0</v>
      </c>
      <c r="AE1615" t="s">
        <v>41</v>
      </c>
      <c r="AF1615">
        <f>IF(AE1615="website",1,0)</f>
        <v>1</v>
      </c>
    </row>
    <row r="1616" spans="1:32">
      <c r="A1616" t="s">
        <v>2267</v>
      </c>
      <c r="B1616" t="s">
        <v>33</v>
      </c>
      <c r="C1616" s="3">
        <f t="shared" si="475"/>
        <v>0</v>
      </c>
      <c r="D1616">
        <f t="shared" si="476"/>
        <v>1</v>
      </c>
      <c r="E1616" t="s">
        <v>671</v>
      </c>
      <c r="F1616" t="s">
        <v>1270</v>
      </c>
      <c r="G1616" s="1">
        <v>23224</v>
      </c>
      <c r="H1616" s="2">
        <f t="shared" ca="1" si="477"/>
        <v>63</v>
      </c>
      <c r="I1616" s="2">
        <f t="shared" ca="1" si="478"/>
        <v>0.54285714285714282</v>
      </c>
      <c r="J1616" t="s">
        <v>45</v>
      </c>
      <c r="K1616" t="s">
        <v>37</v>
      </c>
      <c r="L1616">
        <f t="shared" si="479"/>
        <v>1</v>
      </c>
      <c r="M1616">
        <f t="shared" si="480"/>
        <v>0</v>
      </c>
      <c r="N1616">
        <f t="shared" si="481"/>
        <v>0</v>
      </c>
      <c r="O1616" t="s">
        <v>183</v>
      </c>
      <c r="P1616">
        <f t="shared" si="482"/>
        <v>0</v>
      </c>
      <c r="Q1616">
        <f t="shared" si="483"/>
        <v>0</v>
      </c>
      <c r="R1616">
        <f t="shared" si="484"/>
        <v>0</v>
      </c>
      <c r="S1616">
        <f t="shared" si="485"/>
        <v>0</v>
      </c>
      <c r="T1616">
        <f t="shared" si="486"/>
        <v>0</v>
      </c>
      <c r="U1616">
        <f t="shared" si="487"/>
        <v>0</v>
      </c>
      <c r="V1616">
        <f t="shared" si="488"/>
        <v>0</v>
      </c>
      <c r="W1616" t="s">
        <v>39</v>
      </c>
      <c r="X1616">
        <f t="shared" si="489"/>
        <v>1</v>
      </c>
      <c r="Y1616">
        <f t="shared" si="490"/>
        <v>0</v>
      </c>
      <c r="Z1616">
        <v>5</v>
      </c>
      <c r="AA1616">
        <f t="shared" si="491"/>
        <v>1</v>
      </c>
      <c r="AB1616" t="s">
        <v>46</v>
      </c>
      <c r="AC1616">
        <f t="shared" si="492"/>
        <v>1</v>
      </c>
      <c r="AD1616">
        <f t="shared" si="493"/>
        <v>0</v>
      </c>
      <c r="AE1616" t="s">
        <v>50</v>
      </c>
      <c r="AF1616">
        <f>IF(AE1616="website",1,0)</f>
        <v>0</v>
      </c>
    </row>
    <row r="1617" spans="1:32">
      <c r="A1617" t="s">
        <v>2268</v>
      </c>
      <c r="B1617" t="s">
        <v>33</v>
      </c>
      <c r="C1617" s="3">
        <f t="shared" si="475"/>
        <v>0</v>
      </c>
      <c r="D1617">
        <f t="shared" si="476"/>
        <v>1</v>
      </c>
      <c r="E1617" t="s">
        <v>780</v>
      </c>
      <c r="F1617" t="s">
        <v>112</v>
      </c>
      <c r="G1617" s="1">
        <v>33482</v>
      </c>
      <c r="H1617" s="2">
        <f t="shared" ca="1" si="477"/>
        <v>35</v>
      </c>
      <c r="I1617" s="2">
        <f t="shared" ca="1" si="478"/>
        <v>0.14285714285714285</v>
      </c>
      <c r="J1617" t="s">
        <v>45</v>
      </c>
      <c r="K1617" t="s">
        <v>248</v>
      </c>
      <c r="L1617">
        <f t="shared" si="479"/>
        <v>0</v>
      </c>
      <c r="M1617">
        <f t="shared" si="480"/>
        <v>0</v>
      </c>
      <c r="N1617">
        <f t="shared" si="481"/>
        <v>0</v>
      </c>
      <c r="O1617" t="s">
        <v>836</v>
      </c>
      <c r="P1617">
        <f t="shared" si="482"/>
        <v>0</v>
      </c>
      <c r="Q1617">
        <f t="shared" si="483"/>
        <v>0</v>
      </c>
      <c r="R1617">
        <f t="shared" si="484"/>
        <v>0</v>
      </c>
      <c r="S1617">
        <f t="shared" si="485"/>
        <v>0</v>
      </c>
      <c r="T1617">
        <f t="shared" si="486"/>
        <v>0</v>
      </c>
      <c r="U1617">
        <f t="shared" si="487"/>
        <v>0</v>
      </c>
      <c r="V1617">
        <f t="shared" si="488"/>
        <v>0</v>
      </c>
      <c r="W1617" t="s">
        <v>58</v>
      </c>
      <c r="X1617">
        <f t="shared" si="489"/>
        <v>0</v>
      </c>
      <c r="Y1617">
        <f t="shared" si="490"/>
        <v>1</v>
      </c>
      <c r="Z1617">
        <v>5</v>
      </c>
      <c r="AA1617">
        <f t="shared" si="491"/>
        <v>1</v>
      </c>
      <c r="AB1617" t="s">
        <v>40</v>
      </c>
      <c r="AC1617">
        <f t="shared" si="492"/>
        <v>0</v>
      </c>
      <c r="AD1617">
        <f t="shared" si="493"/>
        <v>0</v>
      </c>
      <c r="AE1617" t="s">
        <v>41</v>
      </c>
      <c r="AF1617">
        <f>IF(AE1617="website",1,0)</f>
        <v>1</v>
      </c>
    </row>
    <row r="1618" spans="1:32">
      <c r="A1618" t="s">
        <v>2269</v>
      </c>
      <c r="B1618" t="s">
        <v>33</v>
      </c>
      <c r="C1618" s="3">
        <f t="shared" si="475"/>
        <v>0</v>
      </c>
      <c r="D1618">
        <f t="shared" si="476"/>
        <v>1</v>
      </c>
      <c r="E1618" t="s">
        <v>482</v>
      </c>
      <c r="F1618" t="s">
        <v>728</v>
      </c>
      <c r="G1618" s="1">
        <v>19276</v>
      </c>
      <c r="H1618" s="2">
        <f t="shared" ca="1" si="477"/>
        <v>73</v>
      </c>
      <c r="I1618" s="2">
        <f t="shared" ca="1" si="478"/>
        <v>0.68571428571428572</v>
      </c>
      <c r="J1618" t="s">
        <v>36</v>
      </c>
      <c r="K1618" t="s">
        <v>37</v>
      </c>
      <c r="L1618">
        <f t="shared" si="479"/>
        <v>1</v>
      </c>
      <c r="M1618">
        <f t="shared" si="480"/>
        <v>0</v>
      </c>
      <c r="N1618">
        <f t="shared" si="481"/>
        <v>0</v>
      </c>
      <c r="O1618" t="s">
        <v>38</v>
      </c>
      <c r="P1618">
        <f t="shared" si="482"/>
        <v>1</v>
      </c>
      <c r="Q1618">
        <f t="shared" si="483"/>
        <v>0</v>
      </c>
      <c r="R1618">
        <f t="shared" si="484"/>
        <v>0</v>
      </c>
      <c r="S1618">
        <f t="shared" si="485"/>
        <v>0</v>
      </c>
      <c r="T1618">
        <f t="shared" si="486"/>
        <v>0</v>
      </c>
      <c r="U1618">
        <f t="shared" si="487"/>
        <v>0</v>
      </c>
      <c r="V1618">
        <f t="shared" si="488"/>
        <v>0</v>
      </c>
      <c r="W1618" t="s">
        <v>39</v>
      </c>
      <c r="X1618">
        <f t="shared" si="489"/>
        <v>1</v>
      </c>
      <c r="Y1618">
        <f t="shared" si="490"/>
        <v>0</v>
      </c>
      <c r="Z1618">
        <v>3</v>
      </c>
      <c r="AA1618">
        <f t="shared" si="491"/>
        <v>0.5</v>
      </c>
      <c r="AB1618" t="s">
        <v>46</v>
      </c>
      <c r="AC1618">
        <f t="shared" si="492"/>
        <v>0</v>
      </c>
      <c r="AD1618">
        <f t="shared" si="493"/>
        <v>0</v>
      </c>
      <c r="AE1618" t="s">
        <v>41</v>
      </c>
      <c r="AF1618">
        <f>IF(AE1618="website",1,0)</f>
        <v>1</v>
      </c>
    </row>
    <row r="1619" spans="1:32">
      <c r="A1619" t="s">
        <v>2270</v>
      </c>
      <c r="B1619" t="s">
        <v>33</v>
      </c>
      <c r="C1619" s="3">
        <f t="shared" si="475"/>
        <v>0</v>
      </c>
      <c r="D1619">
        <f t="shared" si="476"/>
        <v>1</v>
      </c>
      <c r="E1619" t="s">
        <v>637</v>
      </c>
      <c r="F1619" t="s">
        <v>664</v>
      </c>
      <c r="G1619" s="1">
        <v>22972</v>
      </c>
      <c r="H1619" s="2">
        <f t="shared" ca="1" si="477"/>
        <v>63</v>
      </c>
      <c r="I1619" s="2">
        <f t="shared" ca="1" si="478"/>
        <v>0.54285714285714282</v>
      </c>
      <c r="J1619" t="s">
        <v>36</v>
      </c>
      <c r="K1619" t="s">
        <v>37</v>
      </c>
      <c r="L1619">
        <f t="shared" si="479"/>
        <v>1</v>
      </c>
      <c r="M1619">
        <f t="shared" si="480"/>
        <v>0</v>
      </c>
      <c r="N1619">
        <f t="shared" si="481"/>
        <v>0</v>
      </c>
      <c r="O1619" t="s">
        <v>565</v>
      </c>
      <c r="P1619">
        <f t="shared" si="482"/>
        <v>0</v>
      </c>
      <c r="Q1619">
        <f t="shared" si="483"/>
        <v>0</v>
      </c>
      <c r="R1619">
        <f t="shared" si="484"/>
        <v>0</v>
      </c>
      <c r="S1619">
        <f t="shared" si="485"/>
        <v>0</v>
      </c>
      <c r="T1619">
        <f t="shared" si="486"/>
        <v>0</v>
      </c>
      <c r="U1619">
        <f t="shared" si="487"/>
        <v>0</v>
      </c>
      <c r="V1619">
        <f t="shared" si="488"/>
        <v>0</v>
      </c>
      <c r="W1619" t="s">
        <v>39</v>
      </c>
      <c r="X1619">
        <f t="shared" si="489"/>
        <v>1</v>
      </c>
      <c r="Y1619">
        <f t="shared" si="490"/>
        <v>0</v>
      </c>
      <c r="Z1619">
        <v>2</v>
      </c>
      <c r="AA1619">
        <f t="shared" si="491"/>
        <v>0.25</v>
      </c>
      <c r="AB1619" t="s">
        <v>40</v>
      </c>
      <c r="AC1619">
        <f t="shared" si="492"/>
        <v>0</v>
      </c>
      <c r="AD1619">
        <f t="shared" si="493"/>
        <v>0</v>
      </c>
      <c r="AE1619" t="s">
        <v>41</v>
      </c>
      <c r="AF1619">
        <f>IF(AE1619="website",1,0)</f>
        <v>1</v>
      </c>
    </row>
    <row r="1620" spans="1:32">
      <c r="A1620" t="s">
        <v>2271</v>
      </c>
      <c r="B1620" t="s">
        <v>33</v>
      </c>
      <c r="C1620" s="3">
        <f t="shared" si="475"/>
        <v>0</v>
      </c>
      <c r="D1620">
        <f t="shared" si="476"/>
        <v>1</v>
      </c>
      <c r="E1620" t="s">
        <v>671</v>
      </c>
      <c r="F1620" t="s">
        <v>728</v>
      </c>
      <c r="G1620" s="1">
        <v>19291</v>
      </c>
      <c r="H1620" s="2">
        <f t="shared" ca="1" si="477"/>
        <v>73</v>
      </c>
      <c r="I1620" s="2">
        <f t="shared" ca="1" si="478"/>
        <v>0.68571428571428572</v>
      </c>
      <c r="J1620" t="s">
        <v>45</v>
      </c>
      <c r="K1620" t="s">
        <v>153</v>
      </c>
      <c r="L1620">
        <f t="shared" si="479"/>
        <v>0</v>
      </c>
      <c r="M1620">
        <f t="shared" si="480"/>
        <v>0</v>
      </c>
      <c r="N1620">
        <f t="shared" si="481"/>
        <v>0</v>
      </c>
      <c r="O1620" t="s">
        <v>945</v>
      </c>
      <c r="P1620">
        <f t="shared" si="482"/>
        <v>0</v>
      </c>
      <c r="Q1620">
        <f t="shared" si="483"/>
        <v>0</v>
      </c>
      <c r="R1620">
        <f t="shared" si="484"/>
        <v>0</v>
      </c>
      <c r="S1620">
        <f t="shared" si="485"/>
        <v>0</v>
      </c>
      <c r="T1620">
        <f t="shared" si="486"/>
        <v>0</v>
      </c>
      <c r="U1620">
        <f t="shared" si="487"/>
        <v>0</v>
      </c>
      <c r="V1620">
        <f t="shared" si="488"/>
        <v>0</v>
      </c>
      <c r="W1620" t="s">
        <v>39</v>
      </c>
      <c r="X1620">
        <f t="shared" si="489"/>
        <v>1</v>
      </c>
      <c r="Y1620">
        <f t="shared" si="490"/>
        <v>0</v>
      </c>
      <c r="Z1620">
        <v>2</v>
      </c>
      <c r="AA1620">
        <f t="shared" si="491"/>
        <v>0.25</v>
      </c>
      <c r="AB1620" t="s">
        <v>46</v>
      </c>
      <c r="AC1620">
        <f t="shared" si="492"/>
        <v>0</v>
      </c>
      <c r="AD1620">
        <f t="shared" si="493"/>
        <v>0</v>
      </c>
      <c r="AE1620" t="s">
        <v>41</v>
      </c>
      <c r="AF1620">
        <f>IF(AE1620="website",1,0)</f>
        <v>1</v>
      </c>
    </row>
    <row r="1621" spans="1:32">
      <c r="A1621" t="s">
        <v>2272</v>
      </c>
      <c r="B1621" t="s">
        <v>33</v>
      </c>
      <c r="C1621" s="3">
        <f t="shared" si="475"/>
        <v>0</v>
      </c>
      <c r="D1621">
        <f t="shared" si="476"/>
        <v>1</v>
      </c>
      <c r="E1621" t="s">
        <v>561</v>
      </c>
      <c r="F1621" t="s">
        <v>730</v>
      </c>
      <c r="G1621" s="1">
        <v>16199</v>
      </c>
      <c r="H1621" s="2">
        <f t="shared" ca="1" si="477"/>
        <v>82</v>
      </c>
      <c r="I1621" s="2">
        <f t="shared" ca="1" si="478"/>
        <v>0.81428571428571428</v>
      </c>
      <c r="J1621" t="s">
        <v>45</v>
      </c>
      <c r="K1621" t="s">
        <v>37</v>
      </c>
      <c r="L1621">
        <f t="shared" si="479"/>
        <v>1</v>
      </c>
      <c r="M1621">
        <f t="shared" si="480"/>
        <v>0</v>
      </c>
      <c r="N1621">
        <f t="shared" si="481"/>
        <v>0</v>
      </c>
      <c r="O1621" t="s">
        <v>38</v>
      </c>
      <c r="P1621">
        <f t="shared" si="482"/>
        <v>1</v>
      </c>
      <c r="Q1621">
        <f t="shared" si="483"/>
        <v>0</v>
      </c>
      <c r="R1621">
        <f t="shared" si="484"/>
        <v>0</v>
      </c>
      <c r="S1621">
        <f t="shared" si="485"/>
        <v>0</v>
      </c>
      <c r="T1621">
        <f t="shared" si="486"/>
        <v>0</v>
      </c>
      <c r="U1621">
        <f t="shared" si="487"/>
        <v>0</v>
      </c>
      <c r="V1621">
        <f t="shared" si="488"/>
        <v>0</v>
      </c>
      <c r="W1621" t="s">
        <v>39</v>
      </c>
      <c r="X1621">
        <f t="shared" si="489"/>
        <v>1</v>
      </c>
      <c r="Y1621">
        <f t="shared" si="490"/>
        <v>0</v>
      </c>
      <c r="Z1621">
        <v>1</v>
      </c>
      <c r="AA1621">
        <f t="shared" si="491"/>
        <v>0</v>
      </c>
      <c r="AB1621" t="s">
        <v>40</v>
      </c>
      <c r="AC1621">
        <f t="shared" si="492"/>
        <v>0</v>
      </c>
      <c r="AD1621">
        <f t="shared" si="493"/>
        <v>0</v>
      </c>
      <c r="AE1621" t="s">
        <v>41</v>
      </c>
      <c r="AF1621">
        <f>IF(AE1621="website",1,0)</f>
        <v>1</v>
      </c>
    </row>
    <row r="1622" spans="1:32">
      <c r="A1622" t="s">
        <v>2273</v>
      </c>
      <c r="B1622" t="s">
        <v>33</v>
      </c>
      <c r="C1622" s="3">
        <f t="shared" si="475"/>
        <v>0</v>
      </c>
      <c r="D1622">
        <f t="shared" si="476"/>
        <v>1</v>
      </c>
      <c r="E1622" t="s">
        <v>744</v>
      </c>
      <c r="F1622" t="s">
        <v>669</v>
      </c>
      <c r="G1622" s="1">
        <v>19890</v>
      </c>
      <c r="H1622" s="2">
        <f t="shared" ca="1" si="477"/>
        <v>72</v>
      </c>
      <c r="I1622" s="2">
        <f t="shared" ca="1" si="478"/>
        <v>0.67142857142857137</v>
      </c>
      <c r="J1622" t="s">
        <v>45</v>
      </c>
      <c r="K1622" t="s">
        <v>37</v>
      </c>
      <c r="L1622">
        <f t="shared" si="479"/>
        <v>1</v>
      </c>
      <c r="M1622">
        <f t="shared" si="480"/>
        <v>0</v>
      </c>
      <c r="N1622">
        <f t="shared" si="481"/>
        <v>0</v>
      </c>
      <c r="O1622" t="s">
        <v>76</v>
      </c>
      <c r="P1622">
        <f t="shared" si="482"/>
        <v>0</v>
      </c>
      <c r="Q1622">
        <f t="shared" si="483"/>
        <v>1</v>
      </c>
      <c r="R1622">
        <f t="shared" si="484"/>
        <v>0</v>
      </c>
      <c r="S1622">
        <f t="shared" si="485"/>
        <v>0</v>
      </c>
      <c r="T1622">
        <f t="shared" si="486"/>
        <v>0</v>
      </c>
      <c r="U1622">
        <f t="shared" si="487"/>
        <v>0</v>
      </c>
      <c r="V1622">
        <f t="shared" si="488"/>
        <v>0</v>
      </c>
      <c r="W1622" t="s">
        <v>58</v>
      </c>
      <c r="X1622">
        <f t="shared" si="489"/>
        <v>0</v>
      </c>
      <c r="Y1622">
        <f t="shared" si="490"/>
        <v>1</v>
      </c>
      <c r="Z1622">
        <v>2</v>
      </c>
      <c r="AA1622">
        <f t="shared" si="491"/>
        <v>0.25</v>
      </c>
      <c r="AB1622" t="s">
        <v>46</v>
      </c>
      <c r="AC1622">
        <f t="shared" si="492"/>
        <v>1</v>
      </c>
      <c r="AD1622">
        <f t="shared" si="493"/>
        <v>0</v>
      </c>
      <c r="AE1622" t="s">
        <v>50</v>
      </c>
      <c r="AF1622">
        <f>IF(AE1622="website",1,0)</f>
        <v>0</v>
      </c>
    </row>
    <row r="1623" spans="1:32">
      <c r="A1623" t="s">
        <v>2274</v>
      </c>
      <c r="B1623" t="s">
        <v>33</v>
      </c>
      <c r="C1623" s="3">
        <f t="shared" si="475"/>
        <v>0</v>
      </c>
      <c r="D1623">
        <f t="shared" si="476"/>
        <v>1</v>
      </c>
      <c r="E1623" t="s">
        <v>1695</v>
      </c>
      <c r="F1623" t="s">
        <v>117</v>
      </c>
      <c r="G1623" s="1">
        <v>22313</v>
      </c>
      <c r="H1623" s="2">
        <f t="shared" ca="1" si="477"/>
        <v>65</v>
      </c>
      <c r="I1623" s="2">
        <f t="shared" ca="1" si="478"/>
        <v>0.5714285714285714</v>
      </c>
      <c r="J1623" t="s">
        <v>36</v>
      </c>
      <c r="K1623" t="s">
        <v>37</v>
      </c>
      <c r="L1623">
        <f t="shared" si="479"/>
        <v>1</v>
      </c>
      <c r="M1623">
        <f t="shared" si="480"/>
        <v>0</v>
      </c>
      <c r="N1623">
        <f t="shared" si="481"/>
        <v>0</v>
      </c>
      <c r="O1623" t="s">
        <v>76</v>
      </c>
      <c r="P1623">
        <f t="shared" si="482"/>
        <v>0</v>
      </c>
      <c r="Q1623">
        <f t="shared" si="483"/>
        <v>1</v>
      </c>
      <c r="R1623">
        <f t="shared" si="484"/>
        <v>0</v>
      </c>
      <c r="S1623">
        <f t="shared" si="485"/>
        <v>0</v>
      </c>
      <c r="T1623">
        <f t="shared" si="486"/>
        <v>0</v>
      </c>
      <c r="U1623">
        <f t="shared" si="487"/>
        <v>0</v>
      </c>
      <c r="V1623">
        <f t="shared" si="488"/>
        <v>0</v>
      </c>
      <c r="W1623" t="s">
        <v>39</v>
      </c>
      <c r="X1623">
        <f t="shared" si="489"/>
        <v>1</v>
      </c>
      <c r="Y1623">
        <f t="shared" si="490"/>
        <v>0</v>
      </c>
      <c r="Z1623">
        <v>1</v>
      </c>
      <c r="AA1623">
        <f t="shared" si="491"/>
        <v>0</v>
      </c>
      <c r="AB1623" t="s">
        <v>40</v>
      </c>
      <c r="AC1623">
        <f t="shared" si="492"/>
        <v>0</v>
      </c>
      <c r="AD1623">
        <f t="shared" si="493"/>
        <v>0</v>
      </c>
      <c r="AE1623" t="s">
        <v>41</v>
      </c>
      <c r="AF1623">
        <f>IF(AE1623="website",1,0)</f>
        <v>1</v>
      </c>
    </row>
    <row r="1624" spans="1:32">
      <c r="A1624" t="s">
        <v>2275</v>
      </c>
      <c r="B1624" t="s">
        <v>33</v>
      </c>
      <c r="C1624" s="3">
        <f t="shared" si="475"/>
        <v>0</v>
      </c>
      <c r="D1624">
        <f t="shared" si="476"/>
        <v>1</v>
      </c>
      <c r="E1624" t="s">
        <v>699</v>
      </c>
      <c r="F1624" t="s">
        <v>549</v>
      </c>
      <c r="G1624" s="1">
        <v>34346</v>
      </c>
      <c r="H1624" s="2">
        <f t="shared" ca="1" si="477"/>
        <v>32</v>
      </c>
      <c r="I1624" s="2">
        <f t="shared" ca="1" si="478"/>
        <v>0.1</v>
      </c>
      <c r="J1624" t="s">
        <v>36</v>
      </c>
      <c r="K1624" t="s">
        <v>37</v>
      </c>
      <c r="L1624">
        <f t="shared" si="479"/>
        <v>1</v>
      </c>
      <c r="M1624">
        <f t="shared" si="480"/>
        <v>0</v>
      </c>
      <c r="N1624">
        <f t="shared" si="481"/>
        <v>0</v>
      </c>
      <c r="O1624" t="s">
        <v>76</v>
      </c>
      <c r="P1624">
        <f t="shared" si="482"/>
        <v>0</v>
      </c>
      <c r="Q1624">
        <f t="shared" si="483"/>
        <v>1</v>
      </c>
      <c r="R1624">
        <f t="shared" si="484"/>
        <v>0</v>
      </c>
      <c r="S1624">
        <f t="shared" si="485"/>
        <v>0</v>
      </c>
      <c r="T1624">
        <f t="shared" si="486"/>
        <v>0</v>
      </c>
      <c r="U1624">
        <f t="shared" si="487"/>
        <v>0</v>
      </c>
      <c r="V1624">
        <f t="shared" si="488"/>
        <v>0</v>
      </c>
      <c r="W1624" t="s">
        <v>39</v>
      </c>
      <c r="X1624">
        <f t="shared" si="489"/>
        <v>1</v>
      </c>
      <c r="Y1624">
        <f t="shared" si="490"/>
        <v>0</v>
      </c>
      <c r="Z1624">
        <v>4</v>
      </c>
      <c r="AA1624">
        <f t="shared" si="491"/>
        <v>0.75</v>
      </c>
      <c r="AB1624" t="s">
        <v>46</v>
      </c>
      <c r="AC1624">
        <f t="shared" si="492"/>
        <v>0</v>
      </c>
      <c r="AD1624">
        <f t="shared" si="493"/>
        <v>0</v>
      </c>
      <c r="AE1624" t="s">
        <v>41</v>
      </c>
      <c r="AF1624">
        <f>IF(AE1624="website",1,0)</f>
        <v>1</v>
      </c>
    </row>
    <row r="1625" spans="1:32">
      <c r="A1625" t="s">
        <v>2276</v>
      </c>
      <c r="B1625" t="s">
        <v>33</v>
      </c>
      <c r="C1625" s="3">
        <f t="shared" si="475"/>
        <v>0</v>
      </c>
      <c r="D1625">
        <f t="shared" si="476"/>
        <v>1</v>
      </c>
      <c r="E1625" t="s">
        <v>982</v>
      </c>
      <c r="F1625" t="s">
        <v>372</v>
      </c>
      <c r="G1625" s="1">
        <v>18632</v>
      </c>
      <c r="H1625" s="2">
        <f t="shared" ca="1" si="477"/>
        <v>75</v>
      </c>
      <c r="I1625" s="2">
        <f t="shared" ca="1" si="478"/>
        <v>0.7142857142857143</v>
      </c>
      <c r="J1625" t="s">
        <v>36</v>
      </c>
      <c r="K1625" t="s">
        <v>37</v>
      </c>
      <c r="L1625">
        <f t="shared" si="479"/>
        <v>1</v>
      </c>
      <c r="M1625">
        <f t="shared" si="480"/>
        <v>0</v>
      </c>
      <c r="N1625">
        <f t="shared" si="481"/>
        <v>0</v>
      </c>
      <c r="O1625" t="s">
        <v>38</v>
      </c>
      <c r="P1625">
        <f t="shared" si="482"/>
        <v>1</v>
      </c>
      <c r="Q1625">
        <f t="shared" si="483"/>
        <v>0</v>
      </c>
      <c r="R1625">
        <f t="shared" si="484"/>
        <v>0</v>
      </c>
      <c r="S1625">
        <f t="shared" si="485"/>
        <v>0</v>
      </c>
      <c r="T1625">
        <f t="shared" si="486"/>
        <v>0</v>
      </c>
      <c r="U1625">
        <f t="shared" si="487"/>
        <v>0</v>
      </c>
      <c r="V1625">
        <f t="shared" si="488"/>
        <v>0</v>
      </c>
      <c r="W1625" t="s">
        <v>39</v>
      </c>
      <c r="X1625">
        <f t="shared" si="489"/>
        <v>1</v>
      </c>
      <c r="Y1625">
        <f t="shared" si="490"/>
        <v>0</v>
      </c>
      <c r="Z1625">
        <v>4</v>
      </c>
      <c r="AA1625">
        <f t="shared" si="491"/>
        <v>0.75</v>
      </c>
      <c r="AB1625" t="s">
        <v>40</v>
      </c>
      <c r="AC1625">
        <f t="shared" si="492"/>
        <v>0</v>
      </c>
      <c r="AD1625">
        <f t="shared" si="493"/>
        <v>0</v>
      </c>
      <c r="AE1625" t="s">
        <v>41</v>
      </c>
      <c r="AF1625">
        <f>IF(AE1625="website",1,0)</f>
        <v>1</v>
      </c>
    </row>
    <row r="1626" spans="1:32">
      <c r="A1626" t="s">
        <v>2277</v>
      </c>
      <c r="B1626" t="s">
        <v>33</v>
      </c>
      <c r="C1626" s="3">
        <f t="shared" si="475"/>
        <v>0</v>
      </c>
      <c r="D1626">
        <f t="shared" si="476"/>
        <v>1</v>
      </c>
      <c r="E1626" t="s">
        <v>1125</v>
      </c>
      <c r="F1626" t="s">
        <v>61</v>
      </c>
      <c r="G1626" s="1">
        <v>36559</v>
      </c>
      <c r="H1626" s="2">
        <f t="shared" ca="1" si="477"/>
        <v>26</v>
      </c>
      <c r="I1626" s="2">
        <f t="shared" ca="1" si="478"/>
        <v>1.4285714285714285E-2</v>
      </c>
      <c r="J1626" t="s">
        <v>45</v>
      </c>
      <c r="K1626" t="s">
        <v>819</v>
      </c>
      <c r="L1626">
        <f t="shared" si="479"/>
        <v>0</v>
      </c>
      <c r="M1626">
        <f t="shared" si="480"/>
        <v>0</v>
      </c>
      <c r="N1626">
        <f t="shared" si="481"/>
        <v>0</v>
      </c>
      <c r="O1626" t="s">
        <v>1562</v>
      </c>
      <c r="P1626">
        <f t="shared" si="482"/>
        <v>0</v>
      </c>
      <c r="Q1626">
        <f t="shared" si="483"/>
        <v>0</v>
      </c>
      <c r="R1626">
        <f t="shared" si="484"/>
        <v>0</v>
      </c>
      <c r="S1626">
        <f t="shared" si="485"/>
        <v>0</v>
      </c>
      <c r="T1626">
        <f t="shared" si="486"/>
        <v>0</v>
      </c>
      <c r="U1626">
        <f t="shared" si="487"/>
        <v>0</v>
      </c>
      <c r="V1626">
        <f t="shared" si="488"/>
        <v>0</v>
      </c>
      <c r="W1626" t="s">
        <v>39</v>
      </c>
      <c r="X1626">
        <f t="shared" si="489"/>
        <v>1</v>
      </c>
      <c r="Y1626">
        <f t="shared" si="490"/>
        <v>0</v>
      </c>
      <c r="Z1626">
        <v>4</v>
      </c>
      <c r="AA1626">
        <f t="shared" si="491"/>
        <v>0.75</v>
      </c>
      <c r="AB1626" t="s">
        <v>46</v>
      </c>
      <c r="AC1626">
        <f t="shared" si="492"/>
        <v>1</v>
      </c>
      <c r="AD1626">
        <f t="shared" si="493"/>
        <v>0</v>
      </c>
      <c r="AE1626" t="s">
        <v>50</v>
      </c>
      <c r="AF1626">
        <f>IF(AE1626="website",1,0)</f>
        <v>0</v>
      </c>
    </row>
    <row r="1627" spans="1:32">
      <c r="A1627" t="s">
        <v>2278</v>
      </c>
      <c r="B1627" t="s">
        <v>33</v>
      </c>
      <c r="C1627" s="3">
        <f t="shared" si="475"/>
        <v>0</v>
      </c>
      <c r="D1627">
        <f t="shared" si="476"/>
        <v>1</v>
      </c>
      <c r="E1627" t="s">
        <v>982</v>
      </c>
      <c r="F1627" t="s">
        <v>730</v>
      </c>
      <c r="G1627" s="1">
        <v>25623</v>
      </c>
      <c r="H1627" s="2">
        <f t="shared" ca="1" si="477"/>
        <v>56</v>
      </c>
      <c r="I1627" s="2">
        <f t="shared" ca="1" si="478"/>
        <v>0.44285714285714284</v>
      </c>
      <c r="J1627" t="s">
        <v>36</v>
      </c>
      <c r="K1627" t="s">
        <v>626</v>
      </c>
      <c r="L1627">
        <f t="shared" si="479"/>
        <v>0</v>
      </c>
      <c r="M1627">
        <f t="shared" si="480"/>
        <v>0</v>
      </c>
      <c r="N1627">
        <f t="shared" si="481"/>
        <v>0</v>
      </c>
      <c r="O1627" t="s">
        <v>660</v>
      </c>
      <c r="P1627">
        <f t="shared" si="482"/>
        <v>0</v>
      </c>
      <c r="Q1627">
        <f t="shared" si="483"/>
        <v>0</v>
      </c>
      <c r="R1627">
        <f t="shared" si="484"/>
        <v>0</v>
      </c>
      <c r="S1627">
        <f t="shared" si="485"/>
        <v>0</v>
      </c>
      <c r="T1627">
        <f t="shared" si="486"/>
        <v>0</v>
      </c>
      <c r="U1627">
        <f t="shared" si="487"/>
        <v>0</v>
      </c>
      <c r="V1627">
        <f t="shared" si="488"/>
        <v>0</v>
      </c>
      <c r="W1627" t="s">
        <v>39</v>
      </c>
      <c r="X1627">
        <f t="shared" si="489"/>
        <v>1</v>
      </c>
      <c r="Y1627">
        <f t="shared" si="490"/>
        <v>0</v>
      </c>
      <c r="Z1627">
        <v>2</v>
      </c>
      <c r="AA1627">
        <f t="shared" si="491"/>
        <v>0.25</v>
      </c>
      <c r="AB1627" t="s">
        <v>40</v>
      </c>
      <c r="AC1627">
        <f t="shared" si="492"/>
        <v>0</v>
      </c>
      <c r="AD1627">
        <f t="shared" si="493"/>
        <v>0</v>
      </c>
      <c r="AE1627" t="s">
        <v>41</v>
      </c>
      <c r="AF1627">
        <f>IF(AE1627="website",1,0)</f>
        <v>1</v>
      </c>
    </row>
    <row r="1628" spans="1:32">
      <c r="A1628" t="s">
        <v>2279</v>
      </c>
      <c r="B1628" t="s">
        <v>33</v>
      </c>
      <c r="C1628" s="3">
        <f t="shared" si="475"/>
        <v>0</v>
      </c>
      <c r="D1628">
        <f t="shared" si="476"/>
        <v>1</v>
      </c>
      <c r="E1628" t="s">
        <v>787</v>
      </c>
      <c r="F1628" t="s">
        <v>773</v>
      </c>
      <c r="G1628" s="1">
        <v>26890</v>
      </c>
      <c r="H1628" s="2">
        <f t="shared" ca="1" si="477"/>
        <v>53</v>
      </c>
      <c r="I1628" s="2">
        <f t="shared" ca="1" si="478"/>
        <v>0.4</v>
      </c>
      <c r="J1628" t="s">
        <v>45</v>
      </c>
      <c r="K1628" t="s">
        <v>37</v>
      </c>
      <c r="L1628">
        <f t="shared" si="479"/>
        <v>1</v>
      </c>
      <c r="M1628">
        <f t="shared" si="480"/>
        <v>0</v>
      </c>
      <c r="N1628">
        <f t="shared" si="481"/>
        <v>0</v>
      </c>
      <c r="O1628" t="s">
        <v>38</v>
      </c>
      <c r="P1628">
        <f t="shared" si="482"/>
        <v>1</v>
      </c>
      <c r="Q1628">
        <f t="shared" si="483"/>
        <v>0</v>
      </c>
      <c r="R1628">
        <f t="shared" si="484"/>
        <v>0</v>
      </c>
      <c r="S1628">
        <f t="shared" si="485"/>
        <v>0</v>
      </c>
      <c r="T1628">
        <f t="shared" si="486"/>
        <v>0</v>
      </c>
      <c r="U1628">
        <f t="shared" si="487"/>
        <v>0</v>
      </c>
      <c r="V1628">
        <f t="shared" si="488"/>
        <v>0</v>
      </c>
      <c r="W1628" t="s">
        <v>58</v>
      </c>
      <c r="X1628">
        <f t="shared" si="489"/>
        <v>0</v>
      </c>
      <c r="Y1628">
        <f t="shared" si="490"/>
        <v>1</v>
      </c>
      <c r="Z1628">
        <v>1</v>
      </c>
      <c r="AA1628">
        <f t="shared" si="491"/>
        <v>0</v>
      </c>
      <c r="AB1628" t="s">
        <v>46</v>
      </c>
      <c r="AC1628">
        <f t="shared" si="492"/>
        <v>0</v>
      </c>
      <c r="AD1628">
        <f t="shared" si="493"/>
        <v>0</v>
      </c>
      <c r="AE1628" t="s">
        <v>41</v>
      </c>
      <c r="AF1628">
        <f>IF(AE1628="website",1,0)</f>
        <v>1</v>
      </c>
    </row>
    <row r="1629" spans="1:32">
      <c r="A1629" t="s">
        <v>2280</v>
      </c>
      <c r="B1629" t="s">
        <v>55</v>
      </c>
      <c r="C1629" s="3">
        <f t="shared" si="475"/>
        <v>1</v>
      </c>
      <c r="D1629">
        <f t="shared" si="476"/>
        <v>0</v>
      </c>
      <c r="E1629" t="s">
        <v>1127</v>
      </c>
      <c r="F1629" t="s">
        <v>57</v>
      </c>
      <c r="G1629" s="1">
        <v>34255</v>
      </c>
      <c r="H1629" s="2">
        <f t="shared" ca="1" si="477"/>
        <v>32</v>
      </c>
      <c r="I1629" s="2">
        <f t="shared" ca="1" si="478"/>
        <v>0.1</v>
      </c>
      <c r="J1629" t="s">
        <v>36</v>
      </c>
      <c r="K1629" t="s">
        <v>626</v>
      </c>
      <c r="L1629">
        <f t="shared" si="479"/>
        <v>0</v>
      </c>
      <c r="M1629">
        <f t="shared" si="480"/>
        <v>0</v>
      </c>
      <c r="N1629">
        <f t="shared" si="481"/>
        <v>0</v>
      </c>
      <c r="O1629" t="s">
        <v>740</v>
      </c>
      <c r="P1629">
        <f t="shared" si="482"/>
        <v>0</v>
      </c>
      <c r="Q1629">
        <f t="shared" si="483"/>
        <v>0</v>
      </c>
      <c r="R1629">
        <f t="shared" si="484"/>
        <v>0</v>
      </c>
      <c r="S1629">
        <f t="shared" si="485"/>
        <v>0</v>
      </c>
      <c r="T1629">
        <f t="shared" si="486"/>
        <v>0</v>
      </c>
      <c r="U1629">
        <f t="shared" si="487"/>
        <v>0</v>
      </c>
      <c r="V1629">
        <f t="shared" si="488"/>
        <v>0</v>
      </c>
      <c r="W1629" t="s">
        <v>39</v>
      </c>
      <c r="X1629">
        <f t="shared" si="489"/>
        <v>1</v>
      </c>
      <c r="Y1629">
        <f t="shared" si="490"/>
        <v>0</v>
      </c>
      <c r="Z1629">
        <v>4</v>
      </c>
      <c r="AA1629">
        <f t="shared" si="491"/>
        <v>0.75</v>
      </c>
      <c r="AB1629" t="s">
        <v>40</v>
      </c>
      <c r="AC1629">
        <f t="shared" si="492"/>
        <v>0</v>
      </c>
      <c r="AD1629">
        <f t="shared" si="493"/>
        <v>0</v>
      </c>
      <c r="AE1629" t="s">
        <v>41</v>
      </c>
      <c r="AF1629">
        <f>IF(AE1629="website",1,0)</f>
        <v>1</v>
      </c>
    </row>
    <row r="1630" spans="1:32">
      <c r="A1630" t="s">
        <v>2281</v>
      </c>
      <c r="B1630" t="s">
        <v>33</v>
      </c>
      <c r="C1630" s="3">
        <f t="shared" si="475"/>
        <v>0</v>
      </c>
      <c r="D1630">
        <f t="shared" si="476"/>
        <v>1</v>
      </c>
      <c r="E1630" t="s">
        <v>747</v>
      </c>
      <c r="F1630" t="s">
        <v>653</v>
      </c>
      <c r="G1630" s="1">
        <v>20693</v>
      </c>
      <c r="H1630" s="2">
        <f t="shared" ca="1" si="477"/>
        <v>70</v>
      </c>
      <c r="I1630" s="2">
        <f t="shared" ca="1" si="478"/>
        <v>0.6428571428571429</v>
      </c>
      <c r="J1630" t="s">
        <v>36</v>
      </c>
      <c r="K1630" t="s">
        <v>37</v>
      </c>
      <c r="L1630">
        <f t="shared" si="479"/>
        <v>1</v>
      </c>
      <c r="M1630">
        <f t="shared" si="480"/>
        <v>0</v>
      </c>
      <c r="N1630">
        <f t="shared" si="481"/>
        <v>0</v>
      </c>
      <c r="O1630" t="s">
        <v>183</v>
      </c>
      <c r="P1630">
        <f t="shared" si="482"/>
        <v>0</v>
      </c>
      <c r="Q1630">
        <f t="shared" si="483"/>
        <v>0</v>
      </c>
      <c r="R1630">
        <f t="shared" si="484"/>
        <v>0</v>
      </c>
      <c r="S1630">
        <f t="shared" si="485"/>
        <v>0</v>
      </c>
      <c r="T1630">
        <f t="shared" si="486"/>
        <v>0</v>
      </c>
      <c r="U1630">
        <f t="shared" si="487"/>
        <v>0</v>
      </c>
      <c r="V1630">
        <f t="shared" si="488"/>
        <v>0</v>
      </c>
      <c r="W1630" t="s">
        <v>39</v>
      </c>
      <c r="X1630">
        <f t="shared" si="489"/>
        <v>1</v>
      </c>
      <c r="Y1630">
        <f t="shared" si="490"/>
        <v>0</v>
      </c>
      <c r="Z1630">
        <v>5</v>
      </c>
      <c r="AA1630">
        <f t="shared" si="491"/>
        <v>1</v>
      </c>
      <c r="AB1630" t="s">
        <v>46</v>
      </c>
      <c r="AC1630">
        <f t="shared" si="492"/>
        <v>1</v>
      </c>
      <c r="AD1630">
        <f t="shared" si="493"/>
        <v>0</v>
      </c>
      <c r="AE1630" t="s">
        <v>50</v>
      </c>
      <c r="AF1630">
        <f>IF(AE1630="website",1,0)</f>
        <v>0</v>
      </c>
    </row>
    <row r="1631" spans="1:32">
      <c r="A1631" t="s">
        <v>2282</v>
      </c>
      <c r="B1631" t="s">
        <v>55</v>
      </c>
      <c r="C1631" s="3">
        <f t="shared" si="475"/>
        <v>1</v>
      </c>
      <c r="D1631">
        <f t="shared" si="476"/>
        <v>0</v>
      </c>
      <c r="E1631" t="s">
        <v>1025</v>
      </c>
      <c r="F1631" t="s">
        <v>57</v>
      </c>
      <c r="G1631" s="1">
        <v>34460</v>
      </c>
      <c r="H1631" s="2">
        <f t="shared" ca="1" si="477"/>
        <v>32</v>
      </c>
      <c r="I1631" s="2">
        <f t="shared" ca="1" si="478"/>
        <v>0.1</v>
      </c>
      <c r="J1631" t="s">
        <v>36</v>
      </c>
      <c r="K1631" t="s">
        <v>37</v>
      </c>
      <c r="L1631">
        <f t="shared" si="479"/>
        <v>1</v>
      </c>
      <c r="M1631">
        <f t="shared" si="480"/>
        <v>0</v>
      </c>
      <c r="N1631">
        <f t="shared" si="481"/>
        <v>0</v>
      </c>
      <c r="O1631" t="s">
        <v>305</v>
      </c>
      <c r="P1631">
        <f t="shared" si="482"/>
        <v>0</v>
      </c>
      <c r="Q1631">
        <f t="shared" si="483"/>
        <v>0</v>
      </c>
      <c r="R1631">
        <f t="shared" si="484"/>
        <v>0</v>
      </c>
      <c r="S1631">
        <f t="shared" si="485"/>
        <v>0</v>
      </c>
      <c r="T1631">
        <f t="shared" si="486"/>
        <v>0</v>
      </c>
      <c r="U1631">
        <f t="shared" si="487"/>
        <v>0</v>
      </c>
      <c r="V1631">
        <f t="shared" si="488"/>
        <v>0</v>
      </c>
      <c r="W1631" t="s">
        <v>58</v>
      </c>
      <c r="X1631">
        <f t="shared" si="489"/>
        <v>0</v>
      </c>
      <c r="Y1631">
        <f t="shared" si="490"/>
        <v>1</v>
      </c>
      <c r="Z1631">
        <v>1</v>
      </c>
      <c r="AA1631">
        <f t="shared" si="491"/>
        <v>0</v>
      </c>
      <c r="AB1631" t="s">
        <v>40</v>
      </c>
      <c r="AC1631">
        <f t="shared" si="492"/>
        <v>0</v>
      </c>
      <c r="AD1631">
        <f t="shared" si="493"/>
        <v>0</v>
      </c>
      <c r="AE1631" t="s">
        <v>41</v>
      </c>
      <c r="AF1631">
        <f>IF(AE1631="website",1,0)</f>
        <v>1</v>
      </c>
    </row>
    <row r="1632" spans="1:32">
      <c r="A1632" t="s">
        <v>2283</v>
      </c>
      <c r="B1632" t="s">
        <v>33</v>
      </c>
      <c r="C1632" s="3">
        <f t="shared" si="475"/>
        <v>0</v>
      </c>
      <c r="D1632">
        <f t="shared" si="476"/>
        <v>1</v>
      </c>
      <c r="E1632" t="s">
        <v>817</v>
      </c>
      <c r="F1632" t="s">
        <v>726</v>
      </c>
      <c r="G1632" s="1">
        <v>24178</v>
      </c>
      <c r="H1632" s="2">
        <f t="shared" ca="1" si="477"/>
        <v>60</v>
      </c>
      <c r="I1632" s="2">
        <f t="shared" ca="1" si="478"/>
        <v>0.5</v>
      </c>
      <c r="J1632" t="s">
        <v>36</v>
      </c>
      <c r="K1632" t="s">
        <v>248</v>
      </c>
      <c r="L1632">
        <f t="shared" si="479"/>
        <v>0</v>
      </c>
      <c r="M1632">
        <f t="shared" si="480"/>
        <v>0</v>
      </c>
      <c r="N1632">
        <f t="shared" si="481"/>
        <v>0</v>
      </c>
      <c r="O1632" t="s">
        <v>249</v>
      </c>
      <c r="P1632">
        <f t="shared" si="482"/>
        <v>0</v>
      </c>
      <c r="Q1632">
        <f t="shared" si="483"/>
        <v>0</v>
      </c>
      <c r="R1632">
        <f t="shared" si="484"/>
        <v>0</v>
      </c>
      <c r="S1632">
        <f t="shared" si="485"/>
        <v>0</v>
      </c>
      <c r="T1632">
        <f t="shared" si="486"/>
        <v>0</v>
      </c>
      <c r="U1632">
        <f t="shared" si="487"/>
        <v>0</v>
      </c>
      <c r="V1632">
        <f t="shared" si="488"/>
        <v>0</v>
      </c>
      <c r="W1632" t="s">
        <v>39</v>
      </c>
      <c r="X1632">
        <f t="shared" si="489"/>
        <v>1</v>
      </c>
      <c r="Y1632">
        <f t="shared" si="490"/>
        <v>0</v>
      </c>
      <c r="Z1632">
        <v>5</v>
      </c>
      <c r="AA1632">
        <f t="shared" si="491"/>
        <v>1</v>
      </c>
      <c r="AB1632" t="s">
        <v>46</v>
      </c>
      <c r="AC1632">
        <f t="shared" si="492"/>
        <v>0</v>
      </c>
      <c r="AD1632">
        <f t="shared" si="493"/>
        <v>0</v>
      </c>
      <c r="AE1632" t="s">
        <v>41</v>
      </c>
      <c r="AF1632">
        <f>IF(AE1632="website",1,0)</f>
        <v>1</v>
      </c>
    </row>
    <row r="1633" spans="1:32">
      <c r="A1633" t="s">
        <v>2284</v>
      </c>
      <c r="B1633" t="s">
        <v>33</v>
      </c>
      <c r="C1633" s="3">
        <f t="shared" si="475"/>
        <v>0</v>
      </c>
      <c r="D1633">
        <f t="shared" si="476"/>
        <v>1</v>
      </c>
      <c r="E1633" t="s">
        <v>1061</v>
      </c>
      <c r="F1633" t="s">
        <v>61</v>
      </c>
      <c r="G1633" s="1">
        <v>23204</v>
      </c>
      <c r="H1633" s="2">
        <f t="shared" ca="1" si="477"/>
        <v>63</v>
      </c>
      <c r="I1633" s="2">
        <f t="shared" ca="1" si="478"/>
        <v>0.54285714285714282</v>
      </c>
      <c r="J1633" t="s">
        <v>36</v>
      </c>
      <c r="K1633" t="s">
        <v>37</v>
      </c>
      <c r="L1633">
        <f t="shared" si="479"/>
        <v>1</v>
      </c>
      <c r="M1633">
        <f t="shared" si="480"/>
        <v>0</v>
      </c>
      <c r="N1633">
        <f t="shared" si="481"/>
        <v>0</v>
      </c>
      <c r="O1633" t="s">
        <v>38</v>
      </c>
      <c r="P1633">
        <f t="shared" si="482"/>
        <v>1</v>
      </c>
      <c r="Q1633">
        <f t="shared" si="483"/>
        <v>0</v>
      </c>
      <c r="R1633">
        <f t="shared" si="484"/>
        <v>0</v>
      </c>
      <c r="S1633">
        <f t="shared" si="485"/>
        <v>0</v>
      </c>
      <c r="T1633">
        <f t="shared" si="486"/>
        <v>0</v>
      </c>
      <c r="U1633">
        <f t="shared" si="487"/>
        <v>0</v>
      </c>
      <c r="V1633">
        <f t="shared" si="488"/>
        <v>0</v>
      </c>
      <c r="W1633" t="s">
        <v>58</v>
      </c>
      <c r="X1633">
        <f t="shared" si="489"/>
        <v>0</v>
      </c>
      <c r="Y1633">
        <f t="shared" si="490"/>
        <v>1</v>
      </c>
      <c r="Z1633">
        <v>3</v>
      </c>
      <c r="AA1633">
        <f t="shared" si="491"/>
        <v>0.5</v>
      </c>
      <c r="AB1633" t="s">
        <v>40</v>
      </c>
      <c r="AC1633">
        <f t="shared" si="492"/>
        <v>1</v>
      </c>
      <c r="AD1633">
        <f t="shared" si="493"/>
        <v>0</v>
      </c>
      <c r="AE1633" t="s">
        <v>50</v>
      </c>
      <c r="AF1633">
        <f>IF(AE1633="website",1,0)</f>
        <v>0</v>
      </c>
    </row>
    <row r="1634" spans="1:32">
      <c r="A1634" t="s">
        <v>2285</v>
      </c>
      <c r="B1634" t="s">
        <v>33</v>
      </c>
      <c r="C1634" s="3">
        <f t="shared" si="475"/>
        <v>0</v>
      </c>
      <c r="D1634">
        <f t="shared" si="476"/>
        <v>1</v>
      </c>
      <c r="E1634" t="s">
        <v>759</v>
      </c>
      <c r="F1634" t="s">
        <v>378</v>
      </c>
      <c r="G1634" s="1">
        <v>28309</v>
      </c>
      <c r="H1634" s="2">
        <f t="shared" ca="1" si="477"/>
        <v>49</v>
      </c>
      <c r="I1634" s="2">
        <f t="shared" ca="1" si="478"/>
        <v>0.34285714285714286</v>
      </c>
      <c r="J1634" t="s">
        <v>36</v>
      </c>
      <c r="K1634" t="s">
        <v>65</v>
      </c>
      <c r="L1634">
        <f t="shared" si="479"/>
        <v>0</v>
      </c>
      <c r="M1634">
        <f t="shared" si="480"/>
        <v>1</v>
      </c>
      <c r="N1634">
        <f t="shared" si="481"/>
        <v>0</v>
      </c>
      <c r="O1634" t="s">
        <v>686</v>
      </c>
      <c r="P1634">
        <f t="shared" si="482"/>
        <v>0</v>
      </c>
      <c r="Q1634">
        <f t="shared" si="483"/>
        <v>0</v>
      </c>
      <c r="R1634">
        <f t="shared" si="484"/>
        <v>0</v>
      </c>
      <c r="S1634">
        <f t="shared" si="485"/>
        <v>0</v>
      </c>
      <c r="T1634">
        <f t="shared" si="486"/>
        <v>0</v>
      </c>
      <c r="U1634">
        <f t="shared" si="487"/>
        <v>0</v>
      </c>
      <c r="V1634">
        <f t="shared" si="488"/>
        <v>0</v>
      </c>
      <c r="W1634" t="s">
        <v>39</v>
      </c>
      <c r="X1634">
        <f t="shared" si="489"/>
        <v>1</v>
      </c>
      <c r="Y1634">
        <f t="shared" si="490"/>
        <v>0</v>
      </c>
      <c r="Z1634">
        <v>2</v>
      </c>
      <c r="AA1634">
        <f t="shared" si="491"/>
        <v>0.25</v>
      </c>
      <c r="AB1634" t="s">
        <v>46</v>
      </c>
      <c r="AC1634">
        <f t="shared" si="492"/>
        <v>0</v>
      </c>
      <c r="AD1634">
        <f t="shared" si="493"/>
        <v>0</v>
      </c>
      <c r="AE1634" t="s">
        <v>41</v>
      </c>
      <c r="AF1634">
        <f>IF(AE1634="website",1,0)</f>
        <v>1</v>
      </c>
    </row>
    <row r="1635" spans="1:32">
      <c r="A1635" t="s">
        <v>2286</v>
      </c>
      <c r="B1635" t="s">
        <v>33</v>
      </c>
      <c r="C1635" s="3">
        <f t="shared" si="475"/>
        <v>0</v>
      </c>
      <c r="D1635">
        <f t="shared" si="476"/>
        <v>1</v>
      </c>
      <c r="E1635" t="s">
        <v>759</v>
      </c>
      <c r="F1635" t="s">
        <v>904</v>
      </c>
      <c r="G1635" s="1">
        <v>16082</v>
      </c>
      <c r="H1635" s="2">
        <f t="shared" ca="1" si="477"/>
        <v>82</v>
      </c>
      <c r="I1635" s="2">
        <f t="shared" ca="1" si="478"/>
        <v>0.81428571428571428</v>
      </c>
      <c r="J1635" t="s">
        <v>36</v>
      </c>
      <c r="K1635" t="s">
        <v>37</v>
      </c>
      <c r="L1635">
        <f t="shared" si="479"/>
        <v>1</v>
      </c>
      <c r="M1635">
        <f t="shared" si="480"/>
        <v>0</v>
      </c>
      <c r="N1635">
        <f t="shared" si="481"/>
        <v>0</v>
      </c>
      <c r="O1635" t="s">
        <v>785</v>
      </c>
      <c r="P1635">
        <f t="shared" si="482"/>
        <v>0</v>
      </c>
      <c r="Q1635">
        <f t="shared" si="483"/>
        <v>0</v>
      </c>
      <c r="R1635">
        <f t="shared" si="484"/>
        <v>0</v>
      </c>
      <c r="S1635">
        <f t="shared" si="485"/>
        <v>0</v>
      </c>
      <c r="T1635">
        <f t="shared" si="486"/>
        <v>0</v>
      </c>
      <c r="U1635">
        <f t="shared" si="487"/>
        <v>0</v>
      </c>
      <c r="V1635">
        <f t="shared" si="488"/>
        <v>0</v>
      </c>
      <c r="W1635" t="s">
        <v>58</v>
      </c>
      <c r="X1635">
        <f t="shared" si="489"/>
        <v>0</v>
      </c>
      <c r="Y1635">
        <f t="shared" si="490"/>
        <v>1</v>
      </c>
      <c r="Z1635">
        <v>2</v>
      </c>
      <c r="AA1635">
        <f t="shared" si="491"/>
        <v>0.25</v>
      </c>
      <c r="AB1635" t="s">
        <v>46</v>
      </c>
      <c r="AC1635">
        <f t="shared" si="492"/>
        <v>0</v>
      </c>
      <c r="AD1635">
        <f t="shared" si="493"/>
        <v>0</v>
      </c>
      <c r="AE1635" t="s">
        <v>41</v>
      </c>
      <c r="AF1635">
        <f>IF(AE1635="website",1,0)</f>
        <v>1</v>
      </c>
    </row>
    <row r="1636" spans="1:32">
      <c r="A1636" t="s">
        <v>2287</v>
      </c>
      <c r="B1636" t="s">
        <v>33</v>
      </c>
      <c r="C1636" s="3">
        <f t="shared" si="475"/>
        <v>0</v>
      </c>
      <c r="D1636">
        <f t="shared" si="476"/>
        <v>1</v>
      </c>
      <c r="E1636" t="s">
        <v>590</v>
      </c>
      <c r="F1636" t="s">
        <v>620</v>
      </c>
      <c r="G1636" s="1">
        <v>17650</v>
      </c>
      <c r="H1636" s="2">
        <f t="shared" ca="1" si="477"/>
        <v>78</v>
      </c>
      <c r="I1636" s="2">
        <f t="shared" ca="1" si="478"/>
        <v>0.75714285714285712</v>
      </c>
      <c r="J1636" t="s">
        <v>45</v>
      </c>
      <c r="K1636" t="s">
        <v>626</v>
      </c>
      <c r="L1636">
        <f t="shared" si="479"/>
        <v>0</v>
      </c>
      <c r="M1636">
        <f t="shared" si="480"/>
        <v>0</v>
      </c>
      <c r="N1636">
        <f t="shared" si="481"/>
        <v>0</v>
      </c>
      <c r="O1636" t="s">
        <v>1117</v>
      </c>
      <c r="P1636">
        <f t="shared" si="482"/>
        <v>0</v>
      </c>
      <c r="Q1636">
        <f t="shared" si="483"/>
        <v>0</v>
      </c>
      <c r="R1636">
        <f t="shared" si="484"/>
        <v>0</v>
      </c>
      <c r="S1636">
        <f t="shared" si="485"/>
        <v>0</v>
      </c>
      <c r="T1636">
        <f t="shared" si="486"/>
        <v>0</v>
      </c>
      <c r="U1636">
        <f t="shared" si="487"/>
        <v>0</v>
      </c>
      <c r="V1636">
        <f t="shared" si="488"/>
        <v>0</v>
      </c>
      <c r="W1636" t="s">
        <v>39</v>
      </c>
      <c r="X1636">
        <f t="shared" si="489"/>
        <v>1</v>
      </c>
      <c r="Y1636">
        <f t="shared" si="490"/>
        <v>0</v>
      </c>
      <c r="Z1636">
        <v>1</v>
      </c>
      <c r="AA1636">
        <f t="shared" si="491"/>
        <v>0</v>
      </c>
      <c r="AB1636" t="s">
        <v>46</v>
      </c>
      <c r="AC1636">
        <f t="shared" si="492"/>
        <v>0</v>
      </c>
      <c r="AD1636">
        <f t="shared" si="493"/>
        <v>0</v>
      </c>
      <c r="AE1636" t="s">
        <v>41</v>
      </c>
      <c r="AF1636">
        <f>IF(AE1636="website",1,0)</f>
        <v>1</v>
      </c>
    </row>
    <row r="1637" spans="1:32">
      <c r="A1637" t="s">
        <v>2288</v>
      </c>
      <c r="B1637" t="s">
        <v>55</v>
      </c>
      <c r="C1637" s="3">
        <f t="shared" si="475"/>
        <v>1</v>
      </c>
      <c r="D1637">
        <f t="shared" si="476"/>
        <v>0</v>
      </c>
      <c r="E1637" t="s">
        <v>872</v>
      </c>
      <c r="F1637" t="s">
        <v>57</v>
      </c>
      <c r="G1637" s="1">
        <v>31787</v>
      </c>
      <c r="H1637" s="2">
        <f t="shared" ca="1" si="477"/>
        <v>39</v>
      </c>
      <c r="I1637" s="2">
        <f t="shared" ca="1" si="478"/>
        <v>0.2</v>
      </c>
      <c r="J1637" t="s">
        <v>36</v>
      </c>
      <c r="K1637" t="s">
        <v>37</v>
      </c>
      <c r="L1637">
        <f t="shared" si="479"/>
        <v>1</v>
      </c>
      <c r="M1637">
        <f t="shared" si="480"/>
        <v>0</v>
      </c>
      <c r="N1637">
        <f t="shared" si="481"/>
        <v>0</v>
      </c>
      <c r="O1637" t="s">
        <v>97</v>
      </c>
      <c r="P1637">
        <f t="shared" si="482"/>
        <v>0</v>
      </c>
      <c r="Q1637">
        <f t="shared" si="483"/>
        <v>0</v>
      </c>
      <c r="R1637">
        <f t="shared" si="484"/>
        <v>0</v>
      </c>
      <c r="S1637">
        <f t="shared" si="485"/>
        <v>0</v>
      </c>
      <c r="T1637">
        <f t="shared" si="486"/>
        <v>1</v>
      </c>
      <c r="U1637">
        <f t="shared" si="487"/>
        <v>0</v>
      </c>
      <c r="V1637">
        <f t="shared" si="488"/>
        <v>0</v>
      </c>
      <c r="W1637" t="s">
        <v>39</v>
      </c>
      <c r="X1637">
        <f t="shared" si="489"/>
        <v>1</v>
      </c>
      <c r="Y1637">
        <f t="shared" si="490"/>
        <v>0</v>
      </c>
      <c r="Z1637">
        <v>5</v>
      </c>
      <c r="AA1637">
        <f t="shared" si="491"/>
        <v>1</v>
      </c>
      <c r="AB1637" t="s">
        <v>40</v>
      </c>
      <c r="AC1637">
        <f t="shared" si="492"/>
        <v>0</v>
      </c>
      <c r="AD1637">
        <f t="shared" si="493"/>
        <v>0</v>
      </c>
      <c r="AE1637" t="s">
        <v>41</v>
      </c>
      <c r="AF1637">
        <f>IF(AE1637="website",1,0)</f>
        <v>1</v>
      </c>
    </row>
    <row r="1638" spans="1:32">
      <c r="A1638" t="s">
        <v>2289</v>
      </c>
      <c r="B1638" t="s">
        <v>33</v>
      </c>
      <c r="C1638" s="3">
        <f t="shared" si="475"/>
        <v>0</v>
      </c>
      <c r="D1638">
        <f t="shared" si="476"/>
        <v>1</v>
      </c>
      <c r="E1638" t="s">
        <v>561</v>
      </c>
      <c r="F1638" t="s">
        <v>876</v>
      </c>
      <c r="G1638" s="1">
        <v>25245</v>
      </c>
      <c r="H1638" s="2">
        <f t="shared" ca="1" si="477"/>
        <v>57</v>
      </c>
      <c r="I1638" s="2">
        <f t="shared" ca="1" si="478"/>
        <v>0.45714285714285713</v>
      </c>
      <c r="J1638" t="s">
        <v>45</v>
      </c>
      <c r="K1638" t="s">
        <v>158</v>
      </c>
      <c r="L1638">
        <f t="shared" si="479"/>
        <v>0</v>
      </c>
      <c r="M1638">
        <f t="shared" si="480"/>
        <v>0</v>
      </c>
      <c r="N1638">
        <f t="shared" si="481"/>
        <v>0</v>
      </c>
      <c r="O1638" t="s">
        <v>732</v>
      </c>
      <c r="P1638">
        <f t="shared" si="482"/>
        <v>0</v>
      </c>
      <c r="Q1638">
        <f t="shared" si="483"/>
        <v>0</v>
      </c>
      <c r="R1638">
        <f t="shared" si="484"/>
        <v>0</v>
      </c>
      <c r="S1638">
        <f t="shared" si="485"/>
        <v>0</v>
      </c>
      <c r="T1638">
        <f t="shared" si="486"/>
        <v>0</v>
      </c>
      <c r="U1638">
        <f t="shared" si="487"/>
        <v>0</v>
      </c>
      <c r="V1638">
        <f t="shared" si="488"/>
        <v>0</v>
      </c>
      <c r="W1638" t="s">
        <v>39</v>
      </c>
      <c r="X1638">
        <f t="shared" si="489"/>
        <v>1</v>
      </c>
      <c r="Y1638">
        <f t="shared" si="490"/>
        <v>0</v>
      </c>
      <c r="Z1638">
        <v>5</v>
      </c>
      <c r="AA1638">
        <f t="shared" si="491"/>
        <v>1</v>
      </c>
      <c r="AB1638" t="s">
        <v>46</v>
      </c>
      <c r="AC1638">
        <f t="shared" si="492"/>
        <v>1</v>
      </c>
      <c r="AD1638">
        <f t="shared" si="493"/>
        <v>0</v>
      </c>
      <c r="AE1638" t="s">
        <v>50</v>
      </c>
      <c r="AF1638">
        <f>IF(AE1638="website",1,0)</f>
        <v>0</v>
      </c>
    </row>
    <row r="1639" spans="1:32">
      <c r="A1639" t="s">
        <v>2290</v>
      </c>
      <c r="B1639" t="s">
        <v>33</v>
      </c>
      <c r="C1639" s="3">
        <f t="shared" si="475"/>
        <v>0</v>
      </c>
      <c r="D1639">
        <f t="shared" si="476"/>
        <v>1</v>
      </c>
      <c r="E1639" t="s">
        <v>1133</v>
      </c>
      <c r="F1639" t="s">
        <v>591</v>
      </c>
      <c r="G1639" s="1">
        <v>28838</v>
      </c>
      <c r="H1639" s="2">
        <f t="shared" ca="1" si="477"/>
        <v>47</v>
      </c>
      <c r="I1639" s="2">
        <f t="shared" ca="1" si="478"/>
        <v>0.31428571428571428</v>
      </c>
      <c r="J1639" t="s">
        <v>36</v>
      </c>
      <c r="K1639" t="s">
        <v>626</v>
      </c>
      <c r="L1639">
        <f t="shared" si="479"/>
        <v>0</v>
      </c>
      <c r="M1639">
        <f t="shared" si="480"/>
        <v>0</v>
      </c>
      <c r="N1639">
        <f t="shared" si="481"/>
        <v>0</v>
      </c>
      <c r="O1639" t="s">
        <v>1188</v>
      </c>
      <c r="P1639">
        <f t="shared" si="482"/>
        <v>0</v>
      </c>
      <c r="Q1639">
        <f t="shared" si="483"/>
        <v>0</v>
      </c>
      <c r="R1639">
        <f t="shared" si="484"/>
        <v>0</v>
      </c>
      <c r="S1639">
        <f t="shared" si="485"/>
        <v>0</v>
      </c>
      <c r="T1639">
        <f t="shared" si="486"/>
        <v>0</v>
      </c>
      <c r="U1639">
        <f t="shared" si="487"/>
        <v>0</v>
      </c>
      <c r="V1639">
        <f t="shared" si="488"/>
        <v>0</v>
      </c>
      <c r="W1639" t="s">
        <v>58</v>
      </c>
      <c r="X1639">
        <f t="shared" si="489"/>
        <v>0</v>
      </c>
      <c r="Y1639">
        <f t="shared" si="490"/>
        <v>1</v>
      </c>
      <c r="Z1639">
        <v>1</v>
      </c>
      <c r="AA1639">
        <f t="shared" si="491"/>
        <v>0</v>
      </c>
      <c r="AB1639" t="s">
        <v>40</v>
      </c>
      <c r="AC1639">
        <f t="shared" si="492"/>
        <v>1</v>
      </c>
      <c r="AD1639">
        <f t="shared" si="493"/>
        <v>0</v>
      </c>
      <c r="AE1639" t="s">
        <v>50</v>
      </c>
      <c r="AF1639">
        <f>IF(AE1639="website",1,0)</f>
        <v>0</v>
      </c>
    </row>
    <row r="1640" spans="1:32">
      <c r="A1640" t="s">
        <v>2291</v>
      </c>
      <c r="B1640" t="s">
        <v>33</v>
      </c>
      <c r="C1640" s="3">
        <f t="shared" si="475"/>
        <v>0</v>
      </c>
      <c r="D1640">
        <f t="shared" si="476"/>
        <v>1</v>
      </c>
      <c r="E1640" t="s">
        <v>708</v>
      </c>
      <c r="F1640" t="s">
        <v>953</v>
      </c>
      <c r="G1640" s="1">
        <v>15975</v>
      </c>
      <c r="H1640" s="2">
        <f t="shared" ca="1" si="477"/>
        <v>83</v>
      </c>
      <c r="I1640" s="2">
        <f t="shared" ca="1" si="478"/>
        <v>0.82857142857142863</v>
      </c>
      <c r="J1640" t="s">
        <v>45</v>
      </c>
      <c r="K1640" t="s">
        <v>37</v>
      </c>
      <c r="L1640">
        <f t="shared" si="479"/>
        <v>1</v>
      </c>
      <c r="M1640">
        <f t="shared" si="480"/>
        <v>0</v>
      </c>
      <c r="N1640">
        <f t="shared" si="481"/>
        <v>0</v>
      </c>
      <c r="O1640" t="s">
        <v>137</v>
      </c>
      <c r="P1640">
        <f t="shared" si="482"/>
        <v>0</v>
      </c>
      <c r="Q1640">
        <f t="shared" si="483"/>
        <v>0</v>
      </c>
      <c r="R1640">
        <f t="shared" si="484"/>
        <v>0</v>
      </c>
      <c r="S1640">
        <f t="shared" si="485"/>
        <v>0</v>
      </c>
      <c r="T1640">
        <f t="shared" si="486"/>
        <v>0</v>
      </c>
      <c r="U1640">
        <f t="shared" si="487"/>
        <v>0</v>
      </c>
      <c r="V1640">
        <f t="shared" si="488"/>
        <v>0</v>
      </c>
      <c r="W1640" t="s">
        <v>39</v>
      </c>
      <c r="X1640">
        <f t="shared" si="489"/>
        <v>1</v>
      </c>
      <c r="Y1640">
        <f t="shared" si="490"/>
        <v>0</v>
      </c>
      <c r="Z1640">
        <v>1</v>
      </c>
      <c r="AA1640">
        <f t="shared" si="491"/>
        <v>0</v>
      </c>
      <c r="AB1640" t="s">
        <v>46</v>
      </c>
      <c r="AC1640">
        <f t="shared" si="492"/>
        <v>0</v>
      </c>
      <c r="AD1640">
        <f t="shared" si="493"/>
        <v>0</v>
      </c>
      <c r="AE1640" t="s">
        <v>41</v>
      </c>
      <c r="AF1640">
        <f>IF(AE1640="website",1,0)</f>
        <v>1</v>
      </c>
    </row>
    <row r="1641" spans="1:32">
      <c r="A1641" t="s">
        <v>2292</v>
      </c>
      <c r="B1641" t="s">
        <v>33</v>
      </c>
      <c r="C1641" s="3">
        <f t="shared" si="475"/>
        <v>0</v>
      </c>
      <c r="D1641">
        <f t="shared" si="476"/>
        <v>1</v>
      </c>
      <c r="E1641" t="s">
        <v>259</v>
      </c>
      <c r="F1641" t="s">
        <v>613</v>
      </c>
      <c r="G1641" s="1">
        <v>24415</v>
      </c>
      <c r="H1641" s="2">
        <f t="shared" ca="1" si="477"/>
        <v>59</v>
      </c>
      <c r="I1641" s="2">
        <f t="shared" ca="1" si="478"/>
        <v>0.48571428571428571</v>
      </c>
      <c r="J1641" t="s">
        <v>36</v>
      </c>
      <c r="K1641" t="s">
        <v>37</v>
      </c>
      <c r="L1641">
        <f t="shared" si="479"/>
        <v>1</v>
      </c>
      <c r="M1641">
        <f t="shared" si="480"/>
        <v>0</v>
      </c>
      <c r="N1641">
        <f t="shared" si="481"/>
        <v>0</v>
      </c>
      <c r="O1641" t="s">
        <v>38</v>
      </c>
      <c r="P1641">
        <f t="shared" si="482"/>
        <v>1</v>
      </c>
      <c r="Q1641">
        <f t="shared" si="483"/>
        <v>0</v>
      </c>
      <c r="R1641">
        <f t="shared" si="484"/>
        <v>0</v>
      </c>
      <c r="S1641">
        <f t="shared" si="485"/>
        <v>0</v>
      </c>
      <c r="T1641">
        <f t="shared" si="486"/>
        <v>0</v>
      </c>
      <c r="U1641">
        <f t="shared" si="487"/>
        <v>0</v>
      </c>
      <c r="V1641">
        <f t="shared" si="488"/>
        <v>0</v>
      </c>
      <c r="W1641" t="s">
        <v>39</v>
      </c>
      <c r="X1641">
        <f t="shared" si="489"/>
        <v>1</v>
      </c>
      <c r="Y1641">
        <f t="shared" si="490"/>
        <v>0</v>
      </c>
      <c r="Z1641">
        <v>1</v>
      </c>
      <c r="AA1641">
        <f t="shared" si="491"/>
        <v>0</v>
      </c>
      <c r="AB1641" t="s">
        <v>40</v>
      </c>
      <c r="AC1641">
        <f t="shared" si="492"/>
        <v>0</v>
      </c>
      <c r="AD1641">
        <f t="shared" si="493"/>
        <v>0</v>
      </c>
      <c r="AE1641" t="s">
        <v>41</v>
      </c>
      <c r="AF1641">
        <f>IF(AE1641="website",1,0)</f>
        <v>1</v>
      </c>
    </row>
    <row r="1642" spans="1:32">
      <c r="A1642" t="s">
        <v>2293</v>
      </c>
      <c r="B1642" t="s">
        <v>33</v>
      </c>
      <c r="C1642" s="3">
        <f t="shared" si="475"/>
        <v>0</v>
      </c>
      <c r="D1642">
        <f t="shared" si="476"/>
        <v>1</v>
      </c>
      <c r="E1642" t="s">
        <v>527</v>
      </c>
      <c r="F1642" t="s">
        <v>685</v>
      </c>
      <c r="G1642" s="1">
        <v>26343</v>
      </c>
      <c r="H1642" s="2">
        <f t="shared" ca="1" si="477"/>
        <v>54</v>
      </c>
      <c r="I1642" s="2">
        <f t="shared" ca="1" si="478"/>
        <v>0.41428571428571431</v>
      </c>
      <c r="J1642" t="s">
        <v>45</v>
      </c>
      <c r="K1642" t="s">
        <v>37</v>
      </c>
      <c r="L1642">
        <f t="shared" si="479"/>
        <v>1</v>
      </c>
      <c r="M1642">
        <f t="shared" si="480"/>
        <v>0</v>
      </c>
      <c r="N1642">
        <f t="shared" si="481"/>
        <v>0</v>
      </c>
      <c r="O1642" t="s">
        <v>183</v>
      </c>
      <c r="P1642">
        <f t="shared" si="482"/>
        <v>0</v>
      </c>
      <c r="Q1642">
        <f t="shared" si="483"/>
        <v>0</v>
      </c>
      <c r="R1642">
        <f t="shared" si="484"/>
        <v>0</v>
      </c>
      <c r="S1642">
        <f t="shared" si="485"/>
        <v>0</v>
      </c>
      <c r="T1642">
        <f t="shared" si="486"/>
        <v>0</v>
      </c>
      <c r="U1642">
        <f t="shared" si="487"/>
        <v>0</v>
      </c>
      <c r="V1642">
        <f t="shared" si="488"/>
        <v>0</v>
      </c>
      <c r="W1642" t="s">
        <v>39</v>
      </c>
      <c r="X1642">
        <f t="shared" si="489"/>
        <v>1</v>
      </c>
      <c r="Y1642">
        <f t="shared" si="490"/>
        <v>0</v>
      </c>
      <c r="Z1642">
        <v>1</v>
      </c>
      <c r="AA1642">
        <f t="shared" si="491"/>
        <v>0</v>
      </c>
      <c r="AB1642" t="s">
        <v>46</v>
      </c>
      <c r="AC1642">
        <f t="shared" si="492"/>
        <v>1</v>
      </c>
      <c r="AD1642">
        <f t="shared" si="493"/>
        <v>0</v>
      </c>
      <c r="AE1642" t="s">
        <v>50</v>
      </c>
      <c r="AF1642">
        <f>IF(AE1642="website",1,0)</f>
        <v>0</v>
      </c>
    </row>
    <row r="1643" spans="1:32">
      <c r="A1643" t="s">
        <v>2294</v>
      </c>
      <c r="B1643" t="s">
        <v>33</v>
      </c>
      <c r="C1643" s="3">
        <f t="shared" si="475"/>
        <v>0</v>
      </c>
      <c r="D1643">
        <f t="shared" si="476"/>
        <v>1</v>
      </c>
      <c r="E1643" t="s">
        <v>847</v>
      </c>
      <c r="F1643" t="s">
        <v>613</v>
      </c>
      <c r="G1643" s="1">
        <v>29787</v>
      </c>
      <c r="H1643" s="2">
        <f t="shared" ca="1" si="477"/>
        <v>45</v>
      </c>
      <c r="I1643" s="2">
        <f t="shared" ca="1" si="478"/>
        <v>0.2857142857142857</v>
      </c>
      <c r="J1643" t="s">
        <v>36</v>
      </c>
      <c r="K1643" t="s">
        <v>65</v>
      </c>
      <c r="L1643">
        <f t="shared" si="479"/>
        <v>0</v>
      </c>
      <c r="M1643">
        <f t="shared" si="480"/>
        <v>1</v>
      </c>
      <c r="N1643">
        <f t="shared" si="481"/>
        <v>0</v>
      </c>
      <c r="O1643" t="s">
        <v>642</v>
      </c>
      <c r="P1643">
        <f t="shared" si="482"/>
        <v>0</v>
      </c>
      <c r="Q1643">
        <f t="shared" si="483"/>
        <v>0</v>
      </c>
      <c r="R1643">
        <f t="shared" si="484"/>
        <v>0</v>
      </c>
      <c r="S1643">
        <f t="shared" si="485"/>
        <v>0</v>
      </c>
      <c r="T1643">
        <f t="shared" si="486"/>
        <v>0</v>
      </c>
      <c r="U1643">
        <f t="shared" si="487"/>
        <v>0</v>
      </c>
      <c r="V1643">
        <f t="shared" si="488"/>
        <v>0</v>
      </c>
      <c r="W1643" t="s">
        <v>39</v>
      </c>
      <c r="X1643">
        <f t="shared" si="489"/>
        <v>1</v>
      </c>
      <c r="Y1643">
        <f t="shared" si="490"/>
        <v>0</v>
      </c>
      <c r="Z1643">
        <v>5</v>
      </c>
      <c r="AA1643">
        <f t="shared" si="491"/>
        <v>1</v>
      </c>
      <c r="AB1643" t="s">
        <v>46</v>
      </c>
      <c r="AC1643">
        <f t="shared" si="492"/>
        <v>0</v>
      </c>
      <c r="AD1643">
        <f t="shared" si="493"/>
        <v>0</v>
      </c>
      <c r="AE1643" t="s">
        <v>41</v>
      </c>
      <c r="AF1643">
        <f>IF(AE1643="website",1,0)</f>
        <v>1</v>
      </c>
    </row>
    <row r="1644" spans="1:32">
      <c r="A1644" t="s">
        <v>2295</v>
      </c>
      <c r="B1644" t="s">
        <v>33</v>
      </c>
      <c r="C1644" s="3">
        <f t="shared" si="475"/>
        <v>0</v>
      </c>
      <c r="D1644">
        <f t="shared" si="476"/>
        <v>1</v>
      </c>
      <c r="E1644" t="s">
        <v>744</v>
      </c>
      <c r="F1644" t="s">
        <v>709</v>
      </c>
      <c r="G1644" s="1">
        <v>28499</v>
      </c>
      <c r="H1644" s="2">
        <f t="shared" ca="1" si="477"/>
        <v>48</v>
      </c>
      <c r="I1644" s="2">
        <f t="shared" ca="1" si="478"/>
        <v>0.32857142857142857</v>
      </c>
      <c r="J1644" t="s">
        <v>45</v>
      </c>
      <c r="K1644" t="s">
        <v>626</v>
      </c>
      <c r="L1644">
        <f t="shared" si="479"/>
        <v>0</v>
      </c>
      <c r="M1644">
        <f t="shared" si="480"/>
        <v>0</v>
      </c>
      <c r="N1644">
        <f t="shared" si="481"/>
        <v>0</v>
      </c>
      <c r="O1644" t="s">
        <v>627</v>
      </c>
      <c r="P1644">
        <f t="shared" si="482"/>
        <v>0</v>
      </c>
      <c r="Q1644">
        <f t="shared" si="483"/>
        <v>0</v>
      </c>
      <c r="R1644">
        <f t="shared" si="484"/>
        <v>0</v>
      </c>
      <c r="S1644">
        <f t="shared" si="485"/>
        <v>0</v>
      </c>
      <c r="T1644">
        <f t="shared" si="486"/>
        <v>0</v>
      </c>
      <c r="U1644">
        <f t="shared" si="487"/>
        <v>0</v>
      </c>
      <c r="V1644">
        <f t="shared" si="488"/>
        <v>0</v>
      </c>
      <c r="W1644" t="s">
        <v>39</v>
      </c>
      <c r="X1644">
        <f t="shared" si="489"/>
        <v>1</v>
      </c>
      <c r="Y1644">
        <f t="shared" si="490"/>
        <v>0</v>
      </c>
      <c r="Z1644">
        <v>4</v>
      </c>
      <c r="AA1644">
        <f t="shared" si="491"/>
        <v>0.75</v>
      </c>
      <c r="AB1644" t="s">
        <v>46</v>
      </c>
      <c r="AC1644">
        <f t="shared" si="492"/>
        <v>1</v>
      </c>
      <c r="AD1644">
        <f t="shared" si="493"/>
        <v>0</v>
      </c>
      <c r="AE1644" t="s">
        <v>50</v>
      </c>
      <c r="AF1644">
        <f>IF(AE1644="website",1,0)</f>
        <v>0</v>
      </c>
    </row>
    <row r="1645" spans="1:32">
      <c r="A1645" t="s">
        <v>2296</v>
      </c>
      <c r="B1645" t="s">
        <v>33</v>
      </c>
      <c r="C1645" s="3">
        <f t="shared" si="475"/>
        <v>0</v>
      </c>
      <c r="D1645">
        <f t="shared" si="476"/>
        <v>1</v>
      </c>
      <c r="E1645" t="s">
        <v>712</v>
      </c>
      <c r="F1645" t="s">
        <v>757</v>
      </c>
      <c r="G1645" s="1">
        <v>16245</v>
      </c>
      <c r="H1645" s="2">
        <f t="shared" ca="1" si="477"/>
        <v>82</v>
      </c>
      <c r="I1645" s="2">
        <f t="shared" ca="1" si="478"/>
        <v>0.81428571428571428</v>
      </c>
      <c r="J1645" t="s">
        <v>36</v>
      </c>
      <c r="K1645" t="s">
        <v>37</v>
      </c>
      <c r="L1645">
        <f t="shared" si="479"/>
        <v>1</v>
      </c>
      <c r="M1645">
        <f t="shared" si="480"/>
        <v>0</v>
      </c>
      <c r="N1645">
        <f t="shared" si="481"/>
        <v>0</v>
      </c>
      <c r="O1645" t="s">
        <v>38</v>
      </c>
      <c r="P1645">
        <f t="shared" si="482"/>
        <v>1</v>
      </c>
      <c r="Q1645">
        <f t="shared" si="483"/>
        <v>0</v>
      </c>
      <c r="R1645">
        <f t="shared" si="484"/>
        <v>0</v>
      </c>
      <c r="S1645">
        <f t="shared" si="485"/>
        <v>0</v>
      </c>
      <c r="T1645">
        <f t="shared" si="486"/>
        <v>0</v>
      </c>
      <c r="U1645">
        <f t="shared" si="487"/>
        <v>0</v>
      </c>
      <c r="V1645">
        <f t="shared" si="488"/>
        <v>0</v>
      </c>
      <c r="W1645" t="s">
        <v>39</v>
      </c>
      <c r="X1645">
        <f t="shared" si="489"/>
        <v>1</v>
      </c>
      <c r="Y1645">
        <f t="shared" si="490"/>
        <v>0</v>
      </c>
      <c r="Z1645">
        <v>1</v>
      </c>
      <c r="AA1645">
        <f t="shared" si="491"/>
        <v>0</v>
      </c>
      <c r="AB1645" t="s">
        <v>46</v>
      </c>
      <c r="AC1645">
        <f t="shared" si="492"/>
        <v>0</v>
      </c>
      <c r="AD1645">
        <f t="shared" si="493"/>
        <v>1</v>
      </c>
      <c r="AE1645" t="s">
        <v>90</v>
      </c>
      <c r="AF1645">
        <f>IF(AE1645="website",1,0)</f>
        <v>0</v>
      </c>
    </row>
    <row r="1646" spans="1:32">
      <c r="A1646" t="s">
        <v>2297</v>
      </c>
      <c r="B1646" t="s">
        <v>33</v>
      </c>
      <c r="C1646" s="3">
        <f t="shared" si="475"/>
        <v>0</v>
      </c>
      <c r="D1646">
        <f t="shared" si="476"/>
        <v>1</v>
      </c>
      <c r="E1646" t="s">
        <v>681</v>
      </c>
      <c r="F1646" t="s">
        <v>585</v>
      </c>
      <c r="G1646" s="1">
        <v>34738</v>
      </c>
      <c r="H1646" s="2">
        <f t="shared" ca="1" si="477"/>
        <v>31</v>
      </c>
      <c r="I1646" s="2">
        <f t="shared" ca="1" si="478"/>
        <v>8.5714285714285715E-2</v>
      </c>
      <c r="J1646" t="s">
        <v>36</v>
      </c>
      <c r="K1646" t="s">
        <v>819</v>
      </c>
      <c r="L1646">
        <f t="shared" si="479"/>
        <v>0</v>
      </c>
      <c r="M1646">
        <f t="shared" si="480"/>
        <v>0</v>
      </c>
      <c r="N1646">
        <f t="shared" si="481"/>
        <v>0</v>
      </c>
      <c r="O1646" t="s">
        <v>820</v>
      </c>
      <c r="P1646">
        <f t="shared" si="482"/>
        <v>0</v>
      </c>
      <c r="Q1646">
        <f t="shared" si="483"/>
        <v>0</v>
      </c>
      <c r="R1646">
        <f t="shared" si="484"/>
        <v>0</v>
      </c>
      <c r="S1646">
        <f t="shared" si="485"/>
        <v>0</v>
      </c>
      <c r="T1646">
        <f t="shared" si="486"/>
        <v>0</v>
      </c>
      <c r="U1646">
        <f t="shared" si="487"/>
        <v>0</v>
      </c>
      <c r="V1646">
        <f t="shared" si="488"/>
        <v>0</v>
      </c>
      <c r="W1646" t="s">
        <v>58</v>
      </c>
      <c r="X1646">
        <f t="shared" si="489"/>
        <v>0</v>
      </c>
      <c r="Y1646">
        <f t="shared" si="490"/>
        <v>1</v>
      </c>
      <c r="Z1646">
        <v>1</v>
      </c>
      <c r="AA1646">
        <f t="shared" si="491"/>
        <v>0</v>
      </c>
      <c r="AB1646" t="s">
        <v>46</v>
      </c>
      <c r="AC1646">
        <f t="shared" si="492"/>
        <v>0</v>
      </c>
      <c r="AD1646">
        <f t="shared" si="493"/>
        <v>0</v>
      </c>
      <c r="AE1646" t="s">
        <v>41</v>
      </c>
      <c r="AF1646">
        <f>IF(AE1646="website",1,0)</f>
        <v>1</v>
      </c>
    </row>
    <row r="1647" spans="1:32">
      <c r="A1647" t="s">
        <v>2298</v>
      </c>
      <c r="B1647" t="s">
        <v>33</v>
      </c>
      <c r="C1647" s="3">
        <f t="shared" si="475"/>
        <v>0</v>
      </c>
      <c r="D1647">
        <f t="shared" si="476"/>
        <v>1</v>
      </c>
      <c r="E1647" t="s">
        <v>772</v>
      </c>
      <c r="F1647" t="s">
        <v>726</v>
      </c>
      <c r="G1647" s="1">
        <v>35956</v>
      </c>
      <c r="H1647" s="2">
        <f t="shared" ca="1" si="477"/>
        <v>28</v>
      </c>
      <c r="I1647" s="2">
        <f t="shared" ca="1" si="478"/>
        <v>4.2857142857142858E-2</v>
      </c>
      <c r="J1647" t="s">
        <v>45</v>
      </c>
      <c r="K1647" t="s">
        <v>37</v>
      </c>
      <c r="L1647">
        <f t="shared" si="479"/>
        <v>1</v>
      </c>
      <c r="M1647">
        <f t="shared" si="480"/>
        <v>0</v>
      </c>
      <c r="N1647">
        <f t="shared" si="481"/>
        <v>0</v>
      </c>
      <c r="O1647" t="s">
        <v>565</v>
      </c>
      <c r="P1647">
        <f t="shared" si="482"/>
        <v>0</v>
      </c>
      <c r="Q1647">
        <f t="shared" si="483"/>
        <v>0</v>
      </c>
      <c r="R1647">
        <f t="shared" si="484"/>
        <v>0</v>
      </c>
      <c r="S1647">
        <f t="shared" si="485"/>
        <v>0</v>
      </c>
      <c r="T1647">
        <f t="shared" si="486"/>
        <v>0</v>
      </c>
      <c r="U1647">
        <f t="shared" si="487"/>
        <v>0</v>
      </c>
      <c r="V1647">
        <f t="shared" si="488"/>
        <v>0</v>
      </c>
      <c r="W1647" t="s">
        <v>58</v>
      </c>
      <c r="X1647">
        <f t="shared" si="489"/>
        <v>0</v>
      </c>
      <c r="Y1647">
        <f t="shared" si="490"/>
        <v>1</v>
      </c>
      <c r="Z1647">
        <v>4</v>
      </c>
      <c r="AA1647">
        <f t="shared" si="491"/>
        <v>0.75</v>
      </c>
      <c r="AB1647" t="s">
        <v>40</v>
      </c>
      <c r="AC1647">
        <f t="shared" si="492"/>
        <v>1</v>
      </c>
      <c r="AD1647">
        <f t="shared" si="493"/>
        <v>0</v>
      </c>
      <c r="AE1647" t="s">
        <v>50</v>
      </c>
      <c r="AF1647">
        <f>IF(AE1647="website",1,0)</f>
        <v>0</v>
      </c>
    </row>
    <row r="1648" spans="1:32">
      <c r="A1648" t="s">
        <v>2299</v>
      </c>
      <c r="B1648" t="s">
        <v>33</v>
      </c>
      <c r="C1648" s="3">
        <f t="shared" si="475"/>
        <v>0</v>
      </c>
      <c r="D1648">
        <f t="shared" si="476"/>
        <v>1</v>
      </c>
      <c r="E1648" t="s">
        <v>792</v>
      </c>
      <c r="F1648" t="s">
        <v>691</v>
      </c>
      <c r="G1648" s="1">
        <v>16766</v>
      </c>
      <c r="H1648" s="2">
        <f t="shared" ca="1" si="477"/>
        <v>80</v>
      </c>
      <c r="I1648" s="2">
        <f t="shared" ca="1" si="478"/>
        <v>0.7857142857142857</v>
      </c>
      <c r="J1648" t="s">
        <v>45</v>
      </c>
      <c r="K1648" t="s">
        <v>37</v>
      </c>
      <c r="L1648">
        <f t="shared" si="479"/>
        <v>1</v>
      </c>
      <c r="M1648">
        <f t="shared" si="480"/>
        <v>0</v>
      </c>
      <c r="N1648">
        <f t="shared" si="481"/>
        <v>0</v>
      </c>
      <c r="O1648" t="s">
        <v>559</v>
      </c>
      <c r="P1648">
        <f t="shared" si="482"/>
        <v>0</v>
      </c>
      <c r="Q1648">
        <f t="shared" si="483"/>
        <v>0</v>
      </c>
      <c r="R1648">
        <f t="shared" si="484"/>
        <v>0</v>
      </c>
      <c r="S1648">
        <f t="shared" si="485"/>
        <v>0</v>
      </c>
      <c r="T1648">
        <f t="shared" si="486"/>
        <v>0</v>
      </c>
      <c r="U1648">
        <f t="shared" si="487"/>
        <v>0</v>
      </c>
      <c r="V1648">
        <f t="shared" si="488"/>
        <v>0</v>
      </c>
      <c r="W1648" t="s">
        <v>39</v>
      </c>
      <c r="X1648">
        <f t="shared" si="489"/>
        <v>1</v>
      </c>
      <c r="Y1648">
        <f t="shared" si="490"/>
        <v>0</v>
      </c>
      <c r="Z1648">
        <v>4</v>
      </c>
      <c r="AA1648">
        <f t="shared" si="491"/>
        <v>0.75</v>
      </c>
      <c r="AB1648" t="s">
        <v>40</v>
      </c>
      <c r="AC1648">
        <f t="shared" si="492"/>
        <v>1</v>
      </c>
      <c r="AD1648">
        <f t="shared" si="493"/>
        <v>0</v>
      </c>
      <c r="AE1648" t="s">
        <v>50</v>
      </c>
      <c r="AF1648">
        <f>IF(AE1648="website",1,0)</f>
        <v>0</v>
      </c>
    </row>
    <row r="1649" spans="1:32">
      <c r="A1649" t="s">
        <v>2300</v>
      </c>
      <c r="B1649" t="s">
        <v>33</v>
      </c>
      <c r="C1649" s="3">
        <f t="shared" si="475"/>
        <v>0</v>
      </c>
      <c r="D1649">
        <f t="shared" si="476"/>
        <v>1</v>
      </c>
      <c r="E1649" t="s">
        <v>699</v>
      </c>
      <c r="F1649" t="s">
        <v>669</v>
      </c>
      <c r="G1649" s="1">
        <v>18162</v>
      </c>
      <c r="H1649" s="2">
        <f t="shared" ca="1" si="477"/>
        <v>77</v>
      </c>
      <c r="I1649" s="2">
        <f t="shared" ca="1" si="478"/>
        <v>0.74285714285714288</v>
      </c>
      <c r="J1649" t="s">
        <v>36</v>
      </c>
      <c r="K1649" t="s">
        <v>819</v>
      </c>
      <c r="L1649">
        <f t="shared" si="479"/>
        <v>0</v>
      </c>
      <c r="M1649">
        <f t="shared" si="480"/>
        <v>0</v>
      </c>
      <c r="N1649">
        <f t="shared" si="481"/>
        <v>0</v>
      </c>
      <c r="O1649" t="s">
        <v>820</v>
      </c>
      <c r="P1649">
        <f t="shared" si="482"/>
        <v>0</v>
      </c>
      <c r="Q1649">
        <f t="shared" si="483"/>
        <v>0</v>
      </c>
      <c r="R1649">
        <f t="shared" si="484"/>
        <v>0</v>
      </c>
      <c r="S1649">
        <f t="shared" si="485"/>
        <v>0</v>
      </c>
      <c r="T1649">
        <f t="shared" si="486"/>
        <v>0</v>
      </c>
      <c r="U1649">
        <f t="shared" si="487"/>
        <v>0</v>
      </c>
      <c r="V1649">
        <f t="shared" si="488"/>
        <v>0</v>
      </c>
      <c r="W1649" t="s">
        <v>39</v>
      </c>
      <c r="X1649">
        <f t="shared" si="489"/>
        <v>1</v>
      </c>
      <c r="Y1649">
        <f t="shared" si="490"/>
        <v>0</v>
      </c>
      <c r="Z1649">
        <v>3</v>
      </c>
      <c r="AA1649">
        <f t="shared" si="491"/>
        <v>0.5</v>
      </c>
      <c r="AB1649" t="s">
        <v>46</v>
      </c>
      <c r="AC1649">
        <f t="shared" si="492"/>
        <v>0</v>
      </c>
      <c r="AD1649">
        <f t="shared" si="493"/>
        <v>0</v>
      </c>
      <c r="AE1649" t="s">
        <v>41</v>
      </c>
      <c r="AF1649">
        <f>IF(AE1649="website",1,0)</f>
        <v>1</v>
      </c>
    </row>
    <row r="1650" spans="1:32">
      <c r="A1650" t="s">
        <v>2301</v>
      </c>
      <c r="B1650" t="s">
        <v>33</v>
      </c>
      <c r="C1650" s="3">
        <f t="shared" si="475"/>
        <v>0</v>
      </c>
      <c r="D1650">
        <f t="shared" si="476"/>
        <v>1</v>
      </c>
      <c r="E1650" t="s">
        <v>776</v>
      </c>
      <c r="F1650" t="s">
        <v>664</v>
      </c>
      <c r="G1650" s="1">
        <v>30012</v>
      </c>
      <c r="H1650" s="2">
        <f t="shared" ca="1" si="477"/>
        <v>44</v>
      </c>
      <c r="I1650" s="2">
        <f t="shared" ca="1" si="478"/>
        <v>0.27142857142857141</v>
      </c>
      <c r="J1650" t="s">
        <v>36</v>
      </c>
      <c r="K1650" t="s">
        <v>37</v>
      </c>
      <c r="L1650">
        <f t="shared" si="479"/>
        <v>1</v>
      </c>
      <c r="M1650">
        <f t="shared" si="480"/>
        <v>0</v>
      </c>
      <c r="N1650">
        <f t="shared" si="481"/>
        <v>0</v>
      </c>
      <c r="O1650" t="s">
        <v>76</v>
      </c>
      <c r="P1650">
        <f t="shared" si="482"/>
        <v>0</v>
      </c>
      <c r="Q1650">
        <f t="shared" si="483"/>
        <v>1</v>
      </c>
      <c r="R1650">
        <f t="shared" si="484"/>
        <v>0</v>
      </c>
      <c r="S1650">
        <f t="shared" si="485"/>
        <v>0</v>
      </c>
      <c r="T1650">
        <f t="shared" si="486"/>
        <v>0</v>
      </c>
      <c r="U1650">
        <f t="shared" si="487"/>
        <v>0</v>
      </c>
      <c r="V1650">
        <f t="shared" si="488"/>
        <v>0</v>
      </c>
      <c r="W1650" t="s">
        <v>39</v>
      </c>
      <c r="X1650">
        <f t="shared" si="489"/>
        <v>1</v>
      </c>
      <c r="Y1650">
        <f t="shared" si="490"/>
        <v>0</v>
      </c>
      <c r="Z1650">
        <v>4</v>
      </c>
      <c r="AA1650">
        <f t="shared" si="491"/>
        <v>0.75</v>
      </c>
      <c r="AB1650" t="s">
        <v>40</v>
      </c>
      <c r="AC1650">
        <f t="shared" si="492"/>
        <v>1</v>
      </c>
      <c r="AD1650">
        <f t="shared" si="493"/>
        <v>0</v>
      </c>
      <c r="AE1650" t="s">
        <v>50</v>
      </c>
      <c r="AF1650">
        <f>IF(AE1650="website",1,0)</f>
        <v>0</v>
      </c>
    </row>
    <row r="1651" spans="1:32">
      <c r="A1651" t="s">
        <v>2302</v>
      </c>
      <c r="B1651" t="s">
        <v>33</v>
      </c>
      <c r="C1651" s="3">
        <f t="shared" si="475"/>
        <v>0</v>
      </c>
      <c r="D1651">
        <f t="shared" si="476"/>
        <v>1</v>
      </c>
      <c r="E1651" t="s">
        <v>858</v>
      </c>
      <c r="F1651" t="s">
        <v>928</v>
      </c>
      <c r="G1651" s="1">
        <v>25294</v>
      </c>
      <c r="H1651" s="2">
        <f t="shared" ca="1" si="477"/>
        <v>57</v>
      </c>
      <c r="I1651" s="2">
        <f t="shared" ca="1" si="478"/>
        <v>0.45714285714285713</v>
      </c>
      <c r="J1651" t="s">
        <v>45</v>
      </c>
      <c r="K1651" t="s">
        <v>37</v>
      </c>
      <c r="L1651">
        <f t="shared" si="479"/>
        <v>1</v>
      </c>
      <c r="M1651">
        <f t="shared" si="480"/>
        <v>0</v>
      </c>
      <c r="N1651">
        <f t="shared" si="481"/>
        <v>0</v>
      </c>
      <c r="O1651" t="s">
        <v>565</v>
      </c>
      <c r="P1651">
        <f t="shared" si="482"/>
        <v>0</v>
      </c>
      <c r="Q1651">
        <f t="shared" si="483"/>
        <v>0</v>
      </c>
      <c r="R1651">
        <f t="shared" si="484"/>
        <v>0</v>
      </c>
      <c r="S1651">
        <f t="shared" si="485"/>
        <v>0</v>
      </c>
      <c r="T1651">
        <f t="shared" si="486"/>
        <v>0</v>
      </c>
      <c r="U1651">
        <f t="shared" si="487"/>
        <v>0</v>
      </c>
      <c r="V1651">
        <f t="shared" si="488"/>
        <v>0</v>
      </c>
      <c r="W1651" t="s">
        <v>58</v>
      </c>
      <c r="X1651">
        <f t="shared" si="489"/>
        <v>0</v>
      </c>
      <c r="Y1651">
        <f t="shared" si="490"/>
        <v>1</v>
      </c>
      <c r="Z1651">
        <v>2</v>
      </c>
      <c r="AA1651">
        <f t="shared" si="491"/>
        <v>0.25</v>
      </c>
      <c r="AB1651" t="s">
        <v>46</v>
      </c>
      <c r="AC1651">
        <f t="shared" si="492"/>
        <v>0</v>
      </c>
      <c r="AD1651">
        <f t="shared" si="493"/>
        <v>0</v>
      </c>
      <c r="AE1651" t="s">
        <v>41</v>
      </c>
      <c r="AF1651">
        <f>IF(AE1651="website",1,0)</f>
        <v>1</v>
      </c>
    </row>
    <row r="1652" spans="1:32">
      <c r="A1652" t="s">
        <v>2303</v>
      </c>
      <c r="B1652" t="s">
        <v>33</v>
      </c>
      <c r="C1652" s="3">
        <f t="shared" si="475"/>
        <v>0</v>
      </c>
      <c r="D1652">
        <f t="shared" si="476"/>
        <v>1</v>
      </c>
      <c r="E1652" t="s">
        <v>635</v>
      </c>
      <c r="F1652" t="s">
        <v>818</v>
      </c>
      <c r="G1652" s="1">
        <v>16760</v>
      </c>
      <c r="H1652" s="2">
        <f t="shared" ca="1" si="477"/>
        <v>80</v>
      </c>
      <c r="I1652" s="2">
        <f t="shared" ca="1" si="478"/>
        <v>0.7857142857142857</v>
      </c>
      <c r="J1652" t="s">
        <v>45</v>
      </c>
      <c r="K1652" t="s">
        <v>37</v>
      </c>
      <c r="L1652">
        <f t="shared" si="479"/>
        <v>1</v>
      </c>
      <c r="M1652">
        <f t="shared" si="480"/>
        <v>0</v>
      </c>
      <c r="N1652">
        <f t="shared" si="481"/>
        <v>0</v>
      </c>
      <c r="O1652" t="s">
        <v>38</v>
      </c>
      <c r="P1652">
        <f t="shared" si="482"/>
        <v>1</v>
      </c>
      <c r="Q1652">
        <f t="shared" si="483"/>
        <v>0</v>
      </c>
      <c r="R1652">
        <f t="shared" si="484"/>
        <v>0</v>
      </c>
      <c r="S1652">
        <f t="shared" si="485"/>
        <v>0</v>
      </c>
      <c r="T1652">
        <f t="shared" si="486"/>
        <v>0</v>
      </c>
      <c r="U1652">
        <f t="shared" si="487"/>
        <v>0</v>
      </c>
      <c r="V1652">
        <f t="shared" si="488"/>
        <v>0</v>
      </c>
      <c r="W1652" t="s">
        <v>58</v>
      </c>
      <c r="X1652">
        <f t="shared" si="489"/>
        <v>0</v>
      </c>
      <c r="Y1652">
        <f t="shared" si="490"/>
        <v>1</v>
      </c>
      <c r="Z1652">
        <v>4</v>
      </c>
      <c r="AA1652">
        <f t="shared" si="491"/>
        <v>0.75</v>
      </c>
      <c r="AB1652" t="s">
        <v>46</v>
      </c>
      <c r="AC1652">
        <f t="shared" si="492"/>
        <v>0</v>
      </c>
      <c r="AD1652">
        <f t="shared" si="493"/>
        <v>0</v>
      </c>
      <c r="AE1652" t="s">
        <v>41</v>
      </c>
      <c r="AF1652">
        <f>IF(AE1652="website",1,0)</f>
        <v>1</v>
      </c>
    </row>
    <row r="1653" spans="1:32">
      <c r="A1653" t="s">
        <v>2304</v>
      </c>
      <c r="B1653" t="s">
        <v>33</v>
      </c>
      <c r="C1653" s="3">
        <f t="shared" si="475"/>
        <v>0</v>
      </c>
      <c r="D1653">
        <f t="shared" si="476"/>
        <v>1</v>
      </c>
      <c r="E1653" t="s">
        <v>792</v>
      </c>
      <c r="F1653" t="s">
        <v>552</v>
      </c>
      <c r="G1653" s="1">
        <v>23391</v>
      </c>
      <c r="H1653" s="2">
        <f t="shared" ca="1" si="477"/>
        <v>62</v>
      </c>
      <c r="I1653" s="2">
        <f t="shared" ca="1" si="478"/>
        <v>0.52857142857142858</v>
      </c>
      <c r="J1653" t="s">
        <v>45</v>
      </c>
      <c r="K1653" t="s">
        <v>37</v>
      </c>
      <c r="L1653">
        <f t="shared" si="479"/>
        <v>1</v>
      </c>
      <c r="M1653">
        <f t="shared" si="480"/>
        <v>0</v>
      </c>
      <c r="N1653">
        <f t="shared" si="481"/>
        <v>0</v>
      </c>
      <c r="O1653" t="s">
        <v>124</v>
      </c>
      <c r="P1653">
        <f t="shared" si="482"/>
        <v>0</v>
      </c>
      <c r="Q1653">
        <f t="shared" si="483"/>
        <v>0</v>
      </c>
      <c r="R1653">
        <f t="shared" si="484"/>
        <v>0</v>
      </c>
      <c r="S1653">
        <f t="shared" si="485"/>
        <v>0</v>
      </c>
      <c r="T1653">
        <f t="shared" si="486"/>
        <v>0</v>
      </c>
      <c r="U1653">
        <f t="shared" si="487"/>
        <v>1</v>
      </c>
      <c r="V1653">
        <f t="shared" si="488"/>
        <v>0</v>
      </c>
      <c r="W1653" t="s">
        <v>58</v>
      </c>
      <c r="X1653">
        <f t="shared" si="489"/>
        <v>0</v>
      </c>
      <c r="Y1653">
        <f t="shared" si="490"/>
        <v>1</v>
      </c>
      <c r="Z1653">
        <v>4</v>
      </c>
      <c r="AA1653">
        <f t="shared" si="491"/>
        <v>0.75</v>
      </c>
      <c r="AB1653" t="s">
        <v>40</v>
      </c>
      <c r="AC1653">
        <f t="shared" si="492"/>
        <v>0</v>
      </c>
      <c r="AD1653">
        <f t="shared" si="493"/>
        <v>1</v>
      </c>
      <c r="AE1653" t="s">
        <v>90</v>
      </c>
      <c r="AF1653">
        <f>IF(AE1653="website",1,0)</f>
        <v>0</v>
      </c>
    </row>
    <row r="1654" spans="1:32">
      <c r="A1654" t="s">
        <v>2305</v>
      </c>
      <c r="B1654" t="s">
        <v>33</v>
      </c>
      <c r="C1654" s="3">
        <f t="shared" si="475"/>
        <v>0</v>
      </c>
      <c r="D1654">
        <f t="shared" si="476"/>
        <v>1</v>
      </c>
      <c r="E1654" t="s">
        <v>759</v>
      </c>
      <c r="F1654" t="s">
        <v>633</v>
      </c>
      <c r="G1654" s="1">
        <v>27243</v>
      </c>
      <c r="H1654" s="2">
        <f t="shared" ca="1" si="477"/>
        <v>52</v>
      </c>
      <c r="I1654" s="2">
        <f t="shared" ca="1" si="478"/>
        <v>0.38571428571428573</v>
      </c>
      <c r="J1654" t="s">
        <v>36</v>
      </c>
      <c r="K1654" t="s">
        <v>37</v>
      </c>
      <c r="L1654">
        <f t="shared" si="479"/>
        <v>1</v>
      </c>
      <c r="M1654">
        <f t="shared" si="480"/>
        <v>0</v>
      </c>
      <c r="N1654">
        <f t="shared" si="481"/>
        <v>0</v>
      </c>
      <c r="O1654" t="s">
        <v>137</v>
      </c>
      <c r="P1654">
        <f t="shared" si="482"/>
        <v>0</v>
      </c>
      <c r="Q1654">
        <f t="shared" si="483"/>
        <v>0</v>
      </c>
      <c r="R1654">
        <f t="shared" si="484"/>
        <v>0</v>
      </c>
      <c r="S1654">
        <f t="shared" si="485"/>
        <v>0</v>
      </c>
      <c r="T1654">
        <f t="shared" si="486"/>
        <v>0</v>
      </c>
      <c r="U1654">
        <f t="shared" si="487"/>
        <v>0</v>
      </c>
      <c r="V1654">
        <f t="shared" si="488"/>
        <v>0</v>
      </c>
      <c r="W1654" t="s">
        <v>58</v>
      </c>
      <c r="X1654">
        <f t="shared" si="489"/>
        <v>0</v>
      </c>
      <c r="Y1654">
        <f t="shared" si="490"/>
        <v>1</v>
      </c>
      <c r="Z1654">
        <v>4</v>
      </c>
      <c r="AA1654">
        <f t="shared" si="491"/>
        <v>0.75</v>
      </c>
      <c r="AB1654" t="s">
        <v>40</v>
      </c>
      <c r="AC1654">
        <f t="shared" si="492"/>
        <v>0</v>
      </c>
      <c r="AD1654">
        <f t="shared" si="493"/>
        <v>0</v>
      </c>
      <c r="AE1654" t="s">
        <v>41</v>
      </c>
      <c r="AF1654">
        <f>IF(AE1654="website",1,0)</f>
        <v>1</v>
      </c>
    </row>
    <row r="1655" spans="1:32">
      <c r="A1655" t="s">
        <v>2306</v>
      </c>
      <c r="B1655" t="s">
        <v>33</v>
      </c>
      <c r="C1655" s="3">
        <f t="shared" si="475"/>
        <v>0</v>
      </c>
      <c r="D1655">
        <f t="shared" si="476"/>
        <v>1</v>
      </c>
      <c r="E1655" t="s">
        <v>921</v>
      </c>
      <c r="F1655" t="s">
        <v>645</v>
      </c>
      <c r="G1655" s="1">
        <v>24933</v>
      </c>
      <c r="H1655" s="2">
        <f t="shared" ca="1" si="477"/>
        <v>58</v>
      </c>
      <c r="I1655" s="2">
        <f t="shared" ca="1" si="478"/>
        <v>0.47142857142857142</v>
      </c>
      <c r="J1655" t="s">
        <v>36</v>
      </c>
      <c r="K1655" t="s">
        <v>37</v>
      </c>
      <c r="L1655">
        <f t="shared" si="479"/>
        <v>1</v>
      </c>
      <c r="M1655">
        <f t="shared" si="480"/>
        <v>0</v>
      </c>
      <c r="N1655">
        <f t="shared" si="481"/>
        <v>0</v>
      </c>
      <c r="O1655" t="s">
        <v>38</v>
      </c>
      <c r="P1655">
        <f t="shared" si="482"/>
        <v>1</v>
      </c>
      <c r="Q1655">
        <f t="shared" si="483"/>
        <v>0</v>
      </c>
      <c r="R1655">
        <f t="shared" si="484"/>
        <v>0</v>
      </c>
      <c r="S1655">
        <f t="shared" si="485"/>
        <v>0</v>
      </c>
      <c r="T1655">
        <f t="shared" si="486"/>
        <v>0</v>
      </c>
      <c r="U1655">
        <f t="shared" si="487"/>
        <v>0</v>
      </c>
      <c r="V1655">
        <f t="shared" si="488"/>
        <v>0</v>
      </c>
      <c r="W1655" t="s">
        <v>39</v>
      </c>
      <c r="X1655">
        <f t="shared" si="489"/>
        <v>1</v>
      </c>
      <c r="Y1655">
        <f t="shared" si="490"/>
        <v>0</v>
      </c>
      <c r="Z1655">
        <v>1</v>
      </c>
      <c r="AA1655">
        <f t="shared" si="491"/>
        <v>0</v>
      </c>
      <c r="AB1655" t="s">
        <v>46</v>
      </c>
      <c r="AC1655">
        <f t="shared" si="492"/>
        <v>0</v>
      </c>
      <c r="AD1655">
        <f t="shared" si="493"/>
        <v>0</v>
      </c>
      <c r="AE1655" t="s">
        <v>41</v>
      </c>
      <c r="AF1655">
        <f>IF(AE1655="website",1,0)</f>
        <v>1</v>
      </c>
    </row>
    <row r="1656" spans="1:32">
      <c r="A1656" t="s">
        <v>2307</v>
      </c>
      <c r="B1656" t="s">
        <v>33</v>
      </c>
      <c r="C1656" s="3">
        <f t="shared" si="475"/>
        <v>0</v>
      </c>
      <c r="D1656">
        <f t="shared" si="476"/>
        <v>1</v>
      </c>
      <c r="E1656" t="s">
        <v>759</v>
      </c>
      <c r="F1656" t="s">
        <v>856</v>
      </c>
      <c r="G1656" s="1">
        <v>23878</v>
      </c>
      <c r="H1656" s="2">
        <f t="shared" ca="1" si="477"/>
        <v>61</v>
      </c>
      <c r="I1656" s="2">
        <f t="shared" ca="1" si="478"/>
        <v>0.51428571428571423</v>
      </c>
      <c r="J1656" t="s">
        <v>36</v>
      </c>
      <c r="K1656" t="s">
        <v>37</v>
      </c>
      <c r="L1656">
        <f t="shared" si="479"/>
        <v>1</v>
      </c>
      <c r="M1656">
        <f t="shared" si="480"/>
        <v>0</v>
      </c>
      <c r="N1656">
        <f t="shared" si="481"/>
        <v>0</v>
      </c>
      <c r="O1656" t="s">
        <v>592</v>
      </c>
      <c r="P1656">
        <f t="shared" si="482"/>
        <v>0</v>
      </c>
      <c r="Q1656">
        <f t="shared" si="483"/>
        <v>0</v>
      </c>
      <c r="R1656">
        <f t="shared" si="484"/>
        <v>0</v>
      </c>
      <c r="S1656">
        <f t="shared" si="485"/>
        <v>0</v>
      </c>
      <c r="T1656">
        <f t="shared" si="486"/>
        <v>0</v>
      </c>
      <c r="U1656">
        <f t="shared" si="487"/>
        <v>0</v>
      </c>
      <c r="V1656">
        <f t="shared" si="488"/>
        <v>0</v>
      </c>
      <c r="W1656" t="s">
        <v>58</v>
      </c>
      <c r="X1656">
        <f t="shared" si="489"/>
        <v>0</v>
      </c>
      <c r="Y1656">
        <f t="shared" si="490"/>
        <v>1</v>
      </c>
      <c r="Z1656">
        <v>2</v>
      </c>
      <c r="AA1656">
        <f t="shared" si="491"/>
        <v>0.25</v>
      </c>
      <c r="AB1656" t="s">
        <v>46</v>
      </c>
      <c r="AC1656">
        <f t="shared" si="492"/>
        <v>0</v>
      </c>
      <c r="AD1656">
        <f t="shared" si="493"/>
        <v>0</v>
      </c>
      <c r="AE1656" t="s">
        <v>41</v>
      </c>
      <c r="AF1656">
        <f>IF(AE1656="website",1,0)</f>
        <v>1</v>
      </c>
    </row>
    <row r="1657" spans="1:32">
      <c r="A1657" t="s">
        <v>2308</v>
      </c>
      <c r="B1657" t="s">
        <v>33</v>
      </c>
      <c r="C1657" s="3">
        <f t="shared" si="475"/>
        <v>0</v>
      </c>
      <c r="D1657">
        <f t="shared" si="476"/>
        <v>1</v>
      </c>
      <c r="E1657" t="s">
        <v>561</v>
      </c>
      <c r="F1657" t="s">
        <v>728</v>
      </c>
      <c r="G1657" s="1">
        <v>33363</v>
      </c>
      <c r="H1657" s="2">
        <f t="shared" ca="1" si="477"/>
        <v>35</v>
      </c>
      <c r="I1657" s="2">
        <f t="shared" ca="1" si="478"/>
        <v>0.14285714285714285</v>
      </c>
      <c r="J1657" t="s">
        <v>45</v>
      </c>
      <c r="K1657" t="s">
        <v>153</v>
      </c>
      <c r="L1657">
        <f t="shared" si="479"/>
        <v>0</v>
      </c>
      <c r="M1657">
        <f t="shared" si="480"/>
        <v>0</v>
      </c>
      <c r="N1657">
        <f t="shared" si="481"/>
        <v>0</v>
      </c>
      <c r="O1657" t="s">
        <v>945</v>
      </c>
      <c r="P1657">
        <f t="shared" si="482"/>
        <v>0</v>
      </c>
      <c r="Q1657">
        <f t="shared" si="483"/>
        <v>0</v>
      </c>
      <c r="R1657">
        <f t="shared" si="484"/>
        <v>0</v>
      </c>
      <c r="S1657">
        <f t="shared" si="485"/>
        <v>0</v>
      </c>
      <c r="T1657">
        <f t="shared" si="486"/>
        <v>0</v>
      </c>
      <c r="U1657">
        <f t="shared" si="487"/>
        <v>0</v>
      </c>
      <c r="V1657">
        <f t="shared" si="488"/>
        <v>0</v>
      </c>
      <c r="W1657" t="s">
        <v>58</v>
      </c>
      <c r="X1657">
        <f t="shared" si="489"/>
        <v>0</v>
      </c>
      <c r="Y1657">
        <f t="shared" si="490"/>
        <v>1</v>
      </c>
      <c r="Z1657">
        <v>4</v>
      </c>
      <c r="AA1657">
        <f t="shared" si="491"/>
        <v>0.75</v>
      </c>
      <c r="AB1657" t="s">
        <v>40</v>
      </c>
      <c r="AC1657">
        <f t="shared" si="492"/>
        <v>0</v>
      </c>
      <c r="AD1657">
        <f t="shared" si="493"/>
        <v>0</v>
      </c>
      <c r="AE1657" t="s">
        <v>41</v>
      </c>
      <c r="AF1657">
        <f>IF(AE1657="website",1,0)</f>
        <v>1</v>
      </c>
    </row>
    <row r="1658" spans="1:32">
      <c r="A1658" t="s">
        <v>2309</v>
      </c>
      <c r="B1658" t="s">
        <v>33</v>
      </c>
      <c r="C1658" s="3">
        <f t="shared" si="475"/>
        <v>0</v>
      </c>
      <c r="D1658">
        <f t="shared" si="476"/>
        <v>1</v>
      </c>
      <c r="E1658" t="s">
        <v>1307</v>
      </c>
      <c r="F1658" t="s">
        <v>607</v>
      </c>
      <c r="G1658" s="1">
        <v>21324</v>
      </c>
      <c r="H1658" s="2">
        <f t="shared" ca="1" si="477"/>
        <v>68</v>
      </c>
      <c r="I1658" s="2">
        <f t="shared" ca="1" si="478"/>
        <v>0.61428571428571432</v>
      </c>
      <c r="J1658" t="s">
        <v>45</v>
      </c>
      <c r="K1658" t="s">
        <v>37</v>
      </c>
      <c r="L1658">
        <f t="shared" si="479"/>
        <v>1</v>
      </c>
      <c r="M1658">
        <f t="shared" si="480"/>
        <v>0</v>
      </c>
      <c r="N1658">
        <f t="shared" si="481"/>
        <v>0</v>
      </c>
      <c r="O1658" t="s">
        <v>38</v>
      </c>
      <c r="P1658">
        <f t="shared" si="482"/>
        <v>1</v>
      </c>
      <c r="Q1658">
        <f t="shared" si="483"/>
        <v>0</v>
      </c>
      <c r="R1658">
        <f t="shared" si="484"/>
        <v>0</v>
      </c>
      <c r="S1658">
        <f t="shared" si="485"/>
        <v>0</v>
      </c>
      <c r="T1658">
        <f t="shared" si="486"/>
        <v>0</v>
      </c>
      <c r="U1658">
        <f t="shared" si="487"/>
        <v>0</v>
      </c>
      <c r="V1658">
        <f t="shared" si="488"/>
        <v>0</v>
      </c>
      <c r="W1658" t="s">
        <v>39</v>
      </c>
      <c r="X1658">
        <f t="shared" si="489"/>
        <v>1</v>
      </c>
      <c r="Y1658">
        <f t="shared" si="490"/>
        <v>0</v>
      </c>
      <c r="Z1658">
        <v>2</v>
      </c>
      <c r="AA1658">
        <f t="shared" si="491"/>
        <v>0.25</v>
      </c>
      <c r="AB1658" t="s">
        <v>46</v>
      </c>
      <c r="AC1658">
        <f t="shared" si="492"/>
        <v>0</v>
      </c>
      <c r="AD1658">
        <f t="shared" si="493"/>
        <v>0</v>
      </c>
      <c r="AE1658" t="s">
        <v>41</v>
      </c>
      <c r="AF1658">
        <f>IF(AE1658="website",1,0)</f>
        <v>1</v>
      </c>
    </row>
    <row r="1659" spans="1:32">
      <c r="A1659" t="s">
        <v>2310</v>
      </c>
      <c r="B1659" t="s">
        <v>33</v>
      </c>
      <c r="C1659" s="3">
        <f t="shared" si="475"/>
        <v>0</v>
      </c>
      <c r="D1659">
        <f t="shared" si="476"/>
        <v>1</v>
      </c>
      <c r="E1659" t="s">
        <v>708</v>
      </c>
      <c r="F1659" t="s">
        <v>726</v>
      </c>
      <c r="G1659" s="1">
        <v>25787</v>
      </c>
      <c r="H1659" s="2">
        <f t="shared" ca="1" si="477"/>
        <v>56</v>
      </c>
      <c r="I1659" s="2">
        <f t="shared" ca="1" si="478"/>
        <v>0.44285714285714284</v>
      </c>
      <c r="J1659" t="s">
        <v>45</v>
      </c>
      <c r="K1659" t="s">
        <v>37</v>
      </c>
      <c r="L1659">
        <f t="shared" si="479"/>
        <v>1</v>
      </c>
      <c r="M1659">
        <f t="shared" si="480"/>
        <v>0</v>
      </c>
      <c r="N1659">
        <f t="shared" si="481"/>
        <v>0</v>
      </c>
      <c r="O1659" t="s">
        <v>38</v>
      </c>
      <c r="P1659">
        <f t="shared" si="482"/>
        <v>1</v>
      </c>
      <c r="Q1659">
        <f t="shared" si="483"/>
        <v>0</v>
      </c>
      <c r="R1659">
        <f t="shared" si="484"/>
        <v>0</v>
      </c>
      <c r="S1659">
        <f t="shared" si="485"/>
        <v>0</v>
      </c>
      <c r="T1659">
        <f t="shared" si="486"/>
        <v>0</v>
      </c>
      <c r="U1659">
        <f t="shared" si="487"/>
        <v>0</v>
      </c>
      <c r="V1659">
        <f t="shared" si="488"/>
        <v>0</v>
      </c>
      <c r="W1659" t="s">
        <v>39</v>
      </c>
      <c r="X1659">
        <f t="shared" si="489"/>
        <v>1</v>
      </c>
      <c r="Y1659">
        <f t="shared" si="490"/>
        <v>0</v>
      </c>
      <c r="Z1659">
        <v>5</v>
      </c>
      <c r="AA1659">
        <f t="shared" si="491"/>
        <v>1</v>
      </c>
      <c r="AB1659" t="s">
        <v>46</v>
      </c>
      <c r="AC1659">
        <f t="shared" si="492"/>
        <v>1</v>
      </c>
      <c r="AD1659">
        <f t="shared" si="493"/>
        <v>0</v>
      </c>
      <c r="AE1659" t="s">
        <v>50</v>
      </c>
      <c r="AF1659">
        <f>IF(AE1659="website",1,0)</f>
        <v>0</v>
      </c>
    </row>
    <row r="1660" spans="1:32">
      <c r="A1660" t="s">
        <v>2311</v>
      </c>
      <c r="B1660" t="s">
        <v>33</v>
      </c>
      <c r="C1660" s="3">
        <f t="shared" si="475"/>
        <v>0</v>
      </c>
      <c r="D1660">
        <f t="shared" si="476"/>
        <v>1</v>
      </c>
      <c r="E1660" t="s">
        <v>910</v>
      </c>
      <c r="F1660" t="s">
        <v>798</v>
      </c>
      <c r="G1660" s="1">
        <v>17050</v>
      </c>
      <c r="H1660" s="2">
        <f t="shared" ca="1" si="477"/>
        <v>80</v>
      </c>
      <c r="I1660" s="2">
        <f t="shared" ca="1" si="478"/>
        <v>0.7857142857142857</v>
      </c>
      <c r="J1660" t="s">
        <v>45</v>
      </c>
      <c r="K1660" t="s">
        <v>276</v>
      </c>
      <c r="L1660">
        <f t="shared" si="479"/>
        <v>0</v>
      </c>
      <c r="M1660">
        <f t="shared" si="480"/>
        <v>0</v>
      </c>
      <c r="N1660">
        <f t="shared" si="481"/>
        <v>0</v>
      </c>
      <c r="O1660" t="s">
        <v>793</v>
      </c>
      <c r="P1660">
        <f t="shared" si="482"/>
        <v>0</v>
      </c>
      <c r="Q1660">
        <f t="shared" si="483"/>
        <v>0</v>
      </c>
      <c r="R1660">
        <f t="shared" si="484"/>
        <v>0</v>
      </c>
      <c r="S1660">
        <f t="shared" si="485"/>
        <v>0</v>
      </c>
      <c r="T1660">
        <f t="shared" si="486"/>
        <v>0</v>
      </c>
      <c r="U1660">
        <f t="shared" si="487"/>
        <v>0</v>
      </c>
      <c r="V1660">
        <f t="shared" si="488"/>
        <v>0</v>
      </c>
      <c r="W1660" t="s">
        <v>39</v>
      </c>
      <c r="X1660">
        <f t="shared" si="489"/>
        <v>1</v>
      </c>
      <c r="Y1660">
        <f t="shared" si="490"/>
        <v>0</v>
      </c>
      <c r="Z1660">
        <v>4</v>
      </c>
      <c r="AA1660">
        <f t="shared" si="491"/>
        <v>0.75</v>
      </c>
      <c r="AB1660" t="s">
        <v>46</v>
      </c>
      <c r="AC1660">
        <f t="shared" si="492"/>
        <v>0</v>
      </c>
      <c r="AD1660">
        <f t="shared" si="493"/>
        <v>0</v>
      </c>
      <c r="AE1660" t="s">
        <v>41</v>
      </c>
      <c r="AF1660">
        <f>IF(AE1660="website",1,0)</f>
        <v>1</v>
      </c>
    </row>
    <row r="1661" spans="1:32">
      <c r="A1661" t="s">
        <v>2312</v>
      </c>
      <c r="B1661" t="s">
        <v>33</v>
      </c>
      <c r="C1661" s="3">
        <f t="shared" si="475"/>
        <v>0</v>
      </c>
      <c r="D1661">
        <f t="shared" si="476"/>
        <v>1</v>
      </c>
      <c r="E1661" t="s">
        <v>226</v>
      </c>
      <c r="F1661" t="s">
        <v>695</v>
      </c>
      <c r="G1661" s="1">
        <v>14728</v>
      </c>
      <c r="H1661" s="2">
        <f t="shared" ca="1" si="477"/>
        <v>86</v>
      </c>
      <c r="I1661" s="2">
        <f t="shared" ca="1" si="478"/>
        <v>0.87142857142857144</v>
      </c>
      <c r="J1661" t="s">
        <v>45</v>
      </c>
      <c r="K1661" t="s">
        <v>37</v>
      </c>
      <c r="L1661">
        <f t="shared" si="479"/>
        <v>1</v>
      </c>
      <c r="M1661">
        <f t="shared" si="480"/>
        <v>0</v>
      </c>
      <c r="N1661">
        <f t="shared" si="481"/>
        <v>0</v>
      </c>
      <c r="O1661" t="s">
        <v>124</v>
      </c>
      <c r="P1661">
        <f t="shared" si="482"/>
        <v>0</v>
      </c>
      <c r="Q1661">
        <f t="shared" si="483"/>
        <v>0</v>
      </c>
      <c r="R1661">
        <f t="shared" si="484"/>
        <v>0</v>
      </c>
      <c r="S1661">
        <f t="shared" si="485"/>
        <v>0</v>
      </c>
      <c r="T1661">
        <f t="shared" si="486"/>
        <v>0</v>
      </c>
      <c r="U1661">
        <f t="shared" si="487"/>
        <v>1</v>
      </c>
      <c r="V1661">
        <f t="shared" si="488"/>
        <v>0</v>
      </c>
      <c r="W1661" t="s">
        <v>39</v>
      </c>
      <c r="X1661">
        <f t="shared" si="489"/>
        <v>1</v>
      </c>
      <c r="Y1661">
        <f t="shared" si="490"/>
        <v>0</v>
      </c>
      <c r="Z1661">
        <v>4</v>
      </c>
      <c r="AA1661">
        <f t="shared" si="491"/>
        <v>0.75</v>
      </c>
      <c r="AB1661" t="s">
        <v>40</v>
      </c>
      <c r="AC1661">
        <f t="shared" si="492"/>
        <v>0</v>
      </c>
      <c r="AD1661">
        <f t="shared" si="493"/>
        <v>0</v>
      </c>
      <c r="AE1661" t="s">
        <v>41</v>
      </c>
      <c r="AF1661">
        <f>IF(AE1661="website",1,0)</f>
        <v>1</v>
      </c>
    </row>
    <row r="1662" spans="1:32">
      <c r="A1662" t="s">
        <v>2313</v>
      </c>
      <c r="B1662" t="s">
        <v>33</v>
      </c>
      <c r="C1662" s="3">
        <f t="shared" si="475"/>
        <v>0</v>
      </c>
      <c r="D1662">
        <f t="shared" si="476"/>
        <v>1</v>
      </c>
      <c r="E1662" t="s">
        <v>708</v>
      </c>
      <c r="F1662" t="s">
        <v>856</v>
      </c>
      <c r="G1662" s="1">
        <v>27626</v>
      </c>
      <c r="H1662" s="2">
        <f t="shared" ca="1" si="477"/>
        <v>51</v>
      </c>
      <c r="I1662" s="2">
        <f t="shared" ca="1" si="478"/>
        <v>0.37142857142857144</v>
      </c>
      <c r="J1662" t="s">
        <v>45</v>
      </c>
      <c r="K1662" t="s">
        <v>37</v>
      </c>
      <c r="L1662">
        <f t="shared" si="479"/>
        <v>1</v>
      </c>
      <c r="M1662">
        <f t="shared" si="480"/>
        <v>0</v>
      </c>
      <c r="N1662">
        <f t="shared" si="481"/>
        <v>0</v>
      </c>
      <c r="O1662" t="s">
        <v>565</v>
      </c>
      <c r="P1662">
        <f t="shared" si="482"/>
        <v>0</v>
      </c>
      <c r="Q1662">
        <f t="shared" si="483"/>
        <v>0</v>
      </c>
      <c r="R1662">
        <f t="shared" si="484"/>
        <v>0</v>
      </c>
      <c r="S1662">
        <f t="shared" si="485"/>
        <v>0</v>
      </c>
      <c r="T1662">
        <f t="shared" si="486"/>
        <v>0</v>
      </c>
      <c r="U1662">
        <f t="shared" si="487"/>
        <v>0</v>
      </c>
      <c r="V1662">
        <f t="shared" si="488"/>
        <v>0</v>
      </c>
      <c r="W1662" t="s">
        <v>39</v>
      </c>
      <c r="X1662">
        <f t="shared" si="489"/>
        <v>1</v>
      </c>
      <c r="Y1662">
        <f t="shared" si="490"/>
        <v>0</v>
      </c>
      <c r="Z1662">
        <v>4</v>
      </c>
      <c r="AA1662">
        <f t="shared" si="491"/>
        <v>0.75</v>
      </c>
      <c r="AB1662" t="s">
        <v>46</v>
      </c>
      <c r="AC1662">
        <f t="shared" si="492"/>
        <v>1</v>
      </c>
      <c r="AD1662">
        <f t="shared" si="493"/>
        <v>0</v>
      </c>
      <c r="AE1662" t="s">
        <v>50</v>
      </c>
      <c r="AF1662">
        <f>IF(AE1662="website",1,0)</f>
        <v>0</v>
      </c>
    </row>
    <row r="1663" spans="1:32">
      <c r="A1663" t="s">
        <v>2314</v>
      </c>
      <c r="B1663" t="s">
        <v>33</v>
      </c>
      <c r="C1663" s="3">
        <f t="shared" si="475"/>
        <v>0</v>
      </c>
      <c r="D1663">
        <f t="shared" si="476"/>
        <v>1</v>
      </c>
      <c r="E1663" t="s">
        <v>1073</v>
      </c>
      <c r="F1663" t="s">
        <v>748</v>
      </c>
      <c r="G1663" s="1">
        <v>24608</v>
      </c>
      <c r="H1663" s="2">
        <f t="shared" ca="1" si="477"/>
        <v>59</v>
      </c>
      <c r="I1663" s="2">
        <f t="shared" ca="1" si="478"/>
        <v>0.48571428571428571</v>
      </c>
      <c r="J1663" t="s">
        <v>45</v>
      </c>
      <c r="K1663" t="s">
        <v>172</v>
      </c>
      <c r="L1663">
        <f t="shared" si="479"/>
        <v>0</v>
      </c>
      <c r="M1663">
        <f t="shared" si="480"/>
        <v>0</v>
      </c>
      <c r="N1663">
        <f t="shared" si="481"/>
        <v>0</v>
      </c>
      <c r="O1663" t="s">
        <v>833</v>
      </c>
      <c r="P1663">
        <f t="shared" si="482"/>
        <v>0</v>
      </c>
      <c r="Q1663">
        <f t="shared" si="483"/>
        <v>0</v>
      </c>
      <c r="R1663">
        <f t="shared" si="484"/>
        <v>0</v>
      </c>
      <c r="S1663">
        <f t="shared" si="485"/>
        <v>0</v>
      </c>
      <c r="T1663">
        <f t="shared" si="486"/>
        <v>0</v>
      </c>
      <c r="U1663">
        <f t="shared" si="487"/>
        <v>0</v>
      </c>
      <c r="V1663">
        <f t="shared" si="488"/>
        <v>0</v>
      </c>
      <c r="W1663" t="s">
        <v>39</v>
      </c>
      <c r="X1663">
        <f t="shared" si="489"/>
        <v>1</v>
      </c>
      <c r="Y1663">
        <f t="shared" si="490"/>
        <v>0</v>
      </c>
      <c r="Z1663">
        <v>4</v>
      </c>
      <c r="AA1663">
        <f t="shared" si="491"/>
        <v>0.75</v>
      </c>
      <c r="AB1663" t="s">
        <v>46</v>
      </c>
      <c r="AC1663">
        <f t="shared" si="492"/>
        <v>0</v>
      </c>
      <c r="AD1663">
        <f t="shared" si="493"/>
        <v>0</v>
      </c>
      <c r="AE1663" t="s">
        <v>41</v>
      </c>
      <c r="AF1663">
        <f>IF(AE1663="website",1,0)</f>
        <v>1</v>
      </c>
    </row>
    <row r="1664" spans="1:32">
      <c r="A1664" t="s">
        <v>2315</v>
      </c>
      <c r="B1664" t="s">
        <v>33</v>
      </c>
      <c r="C1664" s="3">
        <f t="shared" si="475"/>
        <v>0</v>
      </c>
      <c r="D1664">
        <f t="shared" si="476"/>
        <v>1</v>
      </c>
      <c r="E1664" t="s">
        <v>910</v>
      </c>
      <c r="F1664" t="s">
        <v>714</v>
      </c>
      <c r="G1664" s="1">
        <v>28258</v>
      </c>
      <c r="H1664" s="2">
        <f t="shared" ca="1" si="477"/>
        <v>49</v>
      </c>
      <c r="I1664" s="2">
        <f t="shared" ca="1" si="478"/>
        <v>0.34285714285714286</v>
      </c>
      <c r="J1664" t="s">
        <v>45</v>
      </c>
      <c r="K1664" t="s">
        <v>37</v>
      </c>
      <c r="L1664">
        <f t="shared" si="479"/>
        <v>1</v>
      </c>
      <c r="M1664">
        <f t="shared" si="480"/>
        <v>0</v>
      </c>
      <c r="N1664">
        <f t="shared" si="481"/>
        <v>0</v>
      </c>
      <c r="O1664" t="s">
        <v>137</v>
      </c>
      <c r="P1664">
        <f t="shared" si="482"/>
        <v>0</v>
      </c>
      <c r="Q1664">
        <f t="shared" si="483"/>
        <v>0</v>
      </c>
      <c r="R1664">
        <f t="shared" si="484"/>
        <v>0</v>
      </c>
      <c r="S1664">
        <f t="shared" si="485"/>
        <v>0</v>
      </c>
      <c r="T1664">
        <f t="shared" si="486"/>
        <v>0</v>
      </c>
      <c r="U1664">
        <f t="shared" si="487"/>
        <v>0</v>
      </c>
      <c r="V1664">
        <f t="shared" si="488"/>
        <v>0</v>
      </c>
      <c r="W1664" t="s">
        <v>58</v>
      </c>
      <c r="X1664">
        <f t="shared" si="489"/>
        <v>0</v>
      </c>
      <c r="Y1664">
        <f t="shared" si="490"/>
        <v>1</v>
      </c>
      <c r="Z1664">
        <v>3</v>
      </c>
      <c r="AA1664">
        <f t="shared" si="491"/>
        <v>0.5</v>
      </c>
      <c r="AB1664" t="s">
        <v>46</v>
      </c>
      <c r="AC1664">
        <f t="shared" si="492"/>
        <v>1</v>
      </c>
      <c r="AD1664">
        <f t="shared" si="493"/>
        <v>0</v>
      </c>
      <c r="AE1664" t="s">
        <v>50</v>
      </c>
      <c r="AF1664">
        <f>IF(AE1664="website",1,0)</f>
        <v>0</v>
      </c>
    </row>
    <row r="1665" spans="1:32">
      <c r="A1665" t="s">
        <v>2316</v>
      </c>
      <c r="B1665" t="s">
        <v>33</v>
      </c>
      <c r="C1665" s="3">
        <f t="shared" si="475"/>
        <v>0</v>
      </c>
      <c r="D1665">
        <f t="shared" si="476"/>
        <v>1</v>
      </c>
      <c r="E1665" t="s">
        <v>921</v>
      </c>
      <c r="F1665" t="s">
        <v>823</v>
      </c>
      <c r="G1665" s="1">
        <v>25409</v>
      </c>
      <c r="H1665" s="2">
        <f t="shared" ca="1" si="477"/>
        <v>57</v>
      </c>
      <c r="I1665" s="2">
        <f t="shared" ca="1" si="478"/>
        <v>0.45714285714285713</v>
      </c>
      <c r="J1665" t="s">
        <v>36</v>
      </c>
      <c r="K1665" t="s">
        <v>626</v>
      </c>
      <c r="L1665">
        <f t="shared" si="479"/>
        <v>0</v>
      </c>
      <c r="M1665">
        <f t="shared" si="480"/>
        <v>0</v>
      </c>
      <c r="N1665">
        <f t="shared" si="481"/>
        <v>0</v>
      </c>
      <c r="O1665" t="s">
        <v>1188</v>
      </c>
      <c r="P1665">
        <f t="shared" si="482"/>
        <v>0</v>
      </c>
      <c r="Q1665">
        <f t="shared" si="483"/>
        <v>0</v>
      </c>
      <c r="R1665">
        <f t="shared" si="484"/>
        <v>0</v>
      </c>
      <c r="S1665">
        <f t="shared" si="485"/>
        <v>0</v>
      </c>
      <c r="T1665">
        <f t="shared" si="486"/>
        <v>0</v>
      </c>
      <c r="U1665">
        <f t="shared" si="487"/>
        <v>0</v>
      </c>
      <c r="V1665">
        <f t="shared" si="488"/>
        <v>0</v>
      </c>
      <c r="W1665" t="s">
        <v>58</v>
      </c>
      <c r="X1665">
        <f t="shared" si="489"/>
        <v>0</v>
      </c>
      <c r="Y1665">
        <f t="shared" si="490"/>
        <v>1</v>
      </c>
      <c r="Z1665">
        <v>5</v>
      </c>
      <c r="AA1665">
        <f t="shared" si="491"/>
        <v>1</v>
      </c>
      <c r="AB1665" t="s">
        <v>46</v>
      </c>
      <c r="AC1665">
        <f t="shared" si="492"/>
        <v>1</v>
      </c>
      <c r="AD1665">
        <f t="shared" si="493"/>
        <v>0</v>
      </c>
      <c r="AE1665" t="s">
        <v>50</v>
      </c>
      <c r="AF1665">
        <f>IF(AE1665="website",1,0)</f>
        <v>0</v>
      </c>
    </row>
    <row r="1666" spans="1:32">
      <c r="A1666" t="s">
        <v>2317</v>
      </c>
      <c r="B1666" t="s">
        <v>33</v>
      </c>
      <c r="C1666" s="3">
        <f t="shared" ref="C1666:C1729" si="494">IF(B1666="company",1,0)</f>
        <v>0</v>
      </c>
      <c r="D1666">
        <f t="shared" ref="D1666:D1729" si="495">IF(B1666="individual",1,0)</f>
        <v>1</v>
      </c>
      <c r="E1666" t="s">
        <v>1125</v>
      </c>
      <c r="F1666" t="s">
        <v>818</v>
      </c>
      <c r="G1666" s="1">
        <v>35049</v>
      </c>
      <c r="H1666" s="2">
        <f t="shared" ref="H1666:H1729" ca="1" si="496">DATEDIF(G1666,TODAY(),"Y")</f>
        <v>30</v>
      </c>
      <c r="I1666" s="2">
        <f t="shared" ref="I1666:I1729" ca="1" si="497">(H1666-MIN(H:H))/(MAX(H:H)-MIN(H:H))</f>
        <v>7.1428571428571425E-2</v>
      </c>
      <c r="J1666" t="s">
        <v>45</v>
      </c>
      <c r="K1666" t="s">
        <v>37</v>
      </c>
      <c r="L1666">
        <f t="shared" ref="L1666:L1729" si="498">IF(K1666="usa",1,0)</f>
        <v>1</v>
      </c>
      <c r="M1666">
        <f t="shared" ref="M1666:M1729" si="499">IF(K1666="canada",1,0)</f>
        <v>0</v>
      </c>
      <c r="N1666">
        <f t="shared" ref="N1666:N1729" si="500">IF(K1666="germany",1,0)</f>
        <v>0</v>
      </c>
      <c r="O1666" t="s">
        <v>97</v>
      </c>
      <c r="P1666">
        <f t="shared" ref="P1666:P1729" si="501">IF(O1666="california",1,0)</f>
        <v>0</v>
      </c>
      <c r="Q1666">
        <f t="shared" ref="Q1666:Q1729" si="502">IF(O1666="oregon",1,0)</f>
        <v>0</v>
      </c>
      <c r="R1666">
        <f t="shared" ref="R1666:R1729" si="503">IF(O1666="quebec",1,0)</f>
        <v>0</v>
      </c>
      <c r="S1666">
        <f t="shared" ref="S1666:S1729" si="504">IF(O1666="berlin",1,0)</f>
        <v>0</v>
      </c>
      <c r="T1666">
        <f t="shared" ref="T1666:T1729" si="505">IF(O1666="arizona",1,0)</f>
        <v>1</v>
      </c>
      <c r="U1666">
        <f t="shared" ref="U1666:U1729" si="506">IF(O1666="nevada",1,0)</f>
        <v>0</v>
      </c>
      <c r="V1666">
        <f t="shared" ref="V1666:V1729" si="507">IF(O1666="colardo",1,0)</f>
        <v>0</v>
      </c>
      <c r="W1666" t="s">
        <v>39</v>
      </c>
      <c r="X1666">
        <f t="shared" ref="X1666:X1729" si="508">IF(W1666="home",1,0)</f>
        <v>1</v>
      </c>
      <c r="Y1666">
        <f t="shared" ref="Y1666:Y1729" si="509">IF(W1666="investment",1,0)</f>
        <v>0</v>
      </c>
      <c r="Z1666">
        <v>5</v>
      </c>
      <c r="AA1666">
        <f t="shared" ref="AA1666:AA1729" si="510">(Z1666-1)/4</f>
        <v>1</v>
      </c>
      <c r="AB1666" t="s">
        <v>46</v>
      </c>
      <c r="AC1666">
        <f t="shared" ref="AC1666:AC1729" si="511">IF(AE1666="agency",1,0)</f>
        <v>0</v>
      </c>
      <c r="AD1666">
        <f t="shared" ref="AD1666:AD1729" si="512">IF(AE1666="client",1,0)</f>
        <v>0</v>
      </c>
      <c r="AE1666" t="s">
        <v>41</v>
      </c>
      <c r="AF1666">
        <f>IF(AE1666="website",1,0)</f>
        <v>1</v>
      </c>
    </row>
    <row r="1667" spans="1:32">
      <c r="A1667" t="s">
        <v>2318</v>
      </c>
      <c r="B1667" t="s">
        <v>33</v>
      </c>
      <c r="C1667" s="3">
        <f t="shared" si="494"/>
        <v>0</v>
      </c>
      <c r="D1667">
        <f t="shared" si="495"/>
        <v>1</v>
      </c>
      <c r="E1667" t="s">
        <v>988</v>
      </c>
      <c r="F1667" t="s">
        <v>308</v>
      </c>
      <c r="G1667" s="1">
        <v>22897</v>
      </c>
      <c r="H1667" s="2">
        <f t="shared" ca="1" si="496"/>
        <v>64</v>
      </c>
      <c r="I1667" s="2">
        <f t="shared" ca="1" si="497"/>
        <v>0.55714285714285716</v>
      </c>
      <c r="J1667" t="s">
        <v>36</v>
      </c>
      <c r="K1667" t="s">
        <v>37</v>
      </c>
      <c r="L1667">
        <f t="shared" si="498"/>
        <v>1</v>
      </c>
      <c r="M1667">
        <f t="shared" si="499"/>
        <v>0</v>
      </c>
      <c r="N1667">
        <f t="shared" si="500"/>
        <v>0</v>
      </c>
      <c r="O1667" t="s">
        <v>559</v>
      </c>
      <c r="P1667">
        <f t="shared" si="501"/>
        <v>0</v>
      </c>
      <c r="Q1667">
        <f t="shared" si="502"/>
        <v>0</v>
      </c>
      <c r="R1667">
        <f t="shared" si="503"/>
        <v>0</v>
      </c>
      <c r="S1667">
        <f t="shared" si="504"/>
        <v>0</v>
      </c>
      <c r="T1667">
        <f t="shared" si="505"/>
        <v>0</v>
      </c>
      <c r="U1667">
        <f t="shared" si="506"/>
        <v>0</v>
      </c>
      <c r="V1667">
        <f t="shared" si="507"/>
        <v>0</v>
      </c>
      <c r="W1667" t="s">
        <v>39</v>
      </c>
      <c r="X1667">
        <f t="shared" si="508"/>
        <v>1</v>
      </c>
      <c r="Y1667">
        <f t="shared" si="509"/>
        <v>0</v>
      </c>
      <c r="Z1667">
        <v>2</v>
      </c>
      <c r="AA1667">
        <f t="shared" si="510"/>
        <v>0.25</v>
      </c>
      <c r="AB1667" t="s">
        <v>46</v>
      </c>
      <c r="AC1667">
        <f t="shared" si="511"/>
        <v>0</v>
      </c>
      <c r="AD1667">
        <f t="shared" si="512"/>
        <v>0</v>
      </c>
      <c r="AE1667" t="s">
        <v>41</v>
      </c>
      <c r="AF1667">
        <f>IF(AE1667="website",1,0)</f>
        <v>1</v>
      </c>
    </row>
    <row r="1668" spans="1:32">
      <c r="A1668" t="s">
        <v>2319</v>
      </c>
      <c r="B1668" t="s">
        <v>33</v>
      </c>
      <c r="C1668" s="3">
        <f t="shared" si="494"/>
        <v>0</v>
      </c>
      <c r="D1668">
        <f t="shared" si="495"/>
        <v>1</v>
      </c>
      <c r="E1668" t="s">
        <v>747</v>
      </c>
      <c r="F1668" t="s">
        <v>876</v>
      </c>
      <c r="G1668" s="1">
        <v>24790</v>
      </c>
      <c r="H1668" s="2">
        <f t="shared" ca="1" si="496"/>
        <v>58</v>
      </c>
      <c r="I1668" s="2">
        <f t="shared" ca="1" si="497"/>
        <v>0.47142857142857142</v>
      </c>
      <c r="J1668" t="s">
        <v>36</v>
      </c>
      <c r="K1668" t="s">
        <v>37</v>
      </c>
      <c r="L1668">
        <f t="shared" si="498"/>
        <v>1</v>
      </c>
      <c r="M1668">
        <f t="shared" si="499"/>
        <v>0</v>
      </c>
      <c r="N1668">
        <f t="shared" si="500"/>
        <v>0</v>
      </c>
      <c r="O1668" t="s">
        <v>38</v>
      </c>
      <c r="P1668">
        <f t="shared" si="501"/>
        <v>1</v>
      </c>
      <c r="Q1668">
        <f t="shared" si="502"/>
        <v>0</v>
      </c>
      <c r="R1668">
        <f t="shared" si="503"/>
        <v>0</v>
      </c>
      <c r="S1668">
        <f t="shared" si="504"/>
        <v>0</v>
      </c>
      <c r="T1668">
        <f t="shared" si="505"/>
        <v>0</v>
      </c>
      <c r="U1668">
        <f t="shared" si="506"/>
        <v>0</v>
      </c>
      <c r="V1668">
        <f t="shared" si="507"/>
        <v>0</v>
      </c>
      <c r="W1668" t="s">
        <v>58</v>
      </c>
      <c r="X1668">
        <f t="shared" si="508"/>
        <v>0</v>
      </c>
      <c r="Y1668">
        <f t="shared" si="509"/>
        <v>1</v>
      </c>
      <c r="Z1668">
        <v>4</v>
      </c>
      <c r="AA1668">
        <f t="shared" si="510"/>
        <v>0.75</v>
      </c>
      <c r="AB1668" t="s">
        <v>46</v>
      </c>
      <c r="AC1668">
        <f t="shared" si="511"/>
        <v>1</v>
      </c>
      <c r="AD1668">
        <f t="shared" si="512"/>
        <v>0</v>
      </c>
      <c r="AE1668" t="s">
        <v>50</v>
      </c>
      <c r="AF1668">
        <f>IF(AE1668="website",1,0)</f>
        <v>0</v>
      </c>
    </row>
    <row r="1669" spans="1:32">
      <c r="A1669" t="s">
        <v>2320</v>
      </c>
      <c r="B1669" t="s">
        <v>33</v>
      </c>
      <c r="C1669" s="3">
        <f t="shared" si="494"/>
        <v>0</v>
      </c>
      <c r="D1669">
        <f t="shared" si="495"/>
        <v>1</v>
      </c>
      <c r="E1669" t="s">
        <v>941</v>
      </c>
      <c r="F1669" t="s">
        <v>554</v>
      </c>
      <c r="G1669" s="1">
        <v>21136</v>
      </c>
      <c r="H1669" s="2">
        <f t="shared" ca="1" si="496"/>
        <v>68</v>
      </c>
      <c r="I1669" s="2">
        <f t="shared" ca="1" si="497"/>
        <v>0.61428571428571432</v>
      </c>
      <c r="J1669" t="s">
        <v>45</v>
      </c>
      <c r="K1669" t="s">
        <v>819</v>
      </c>
      <c r="L1669">
        <f t="shared" si="498"/>
        <v>0</v>
      </c>
      <c r="M1669">
        <f t="shared" si="499"/>
        <v>0</v>
      </c>
      <c r="N1669">
        <f t="shared" si="500"/>
        <v>0</v>
      </c>
      <c r="O1669" t="s">
        <v>1061</v>
      </c>
      <c r="P1669">
        <f t="shared" si="501"/>
        <v>0</v>
      </c>
      <c r="Q1669">
        <f t="shared" si="502"/>
        <v>0</v>
      </c>
      <c r="R1669">
        <f t="shared" si="503"/>
        <v>0</v>
      </c>
      <c r="S1669">
        <f t="shared" si="504"/>
        <v>0</v>
      </c>
      <c r="T1669">
        <f t="shared" si="505"/>
        <v>0</v>
      </c>
      <c r="U1669">
        <f t="shared" si="506"/>
        <v>0</v>
      </c>
      <c r="V1669">
        <f t="shared" si="507"/>
        <v>0</v>
      </c>
      <c r="W1669" t="s">
        <v>39</v>
      </c>
      <c r="X1669">
        <f t="shared" si="508"/>
        <v>1</v>
      </c>
      <c r="Y1669">
        <f t="shared" si="509"/>
        <v>0</v>
      </c>
      <c r="Z1669">
        <v>5</v>
      </c>
      <c r="AA1669">
        <f t="shared" si="510"/>
        <v>1</v>
      </c>
      <c r="AB1669" t="s">
        <v>46</v>
      </c>
      <c r="AC1669">
        <f t="shared" si="511"/>
        <v>0</v>
      </c>
      <c r="AD1669">
        <f t="shared" si="512"/>
        <v>0</v>
      </c>
      <c r="AE1669" t="s">
        <v>41</v>
      </c>
      <c r="AF1669">
        <f>IF(AE1669="website",1,0)</f>
        <v>1</v>
      </c>
    </row>
    <row r="1670" spans="1:32">
      <c r="A1670" t="s">
        <v>2321</v>
      </c>
      <c r="B1670" t="s">
        <v>33</v>
      </c>
      <c r="C1670" s="3">
        <f t="shared" si="494"/>
        <v>0</v>
      </c>
      <c r="D1670">
        <f t="shared" si="495"/>
        <v>1</v>
      </c>
      <c r="E1670" t="s">
        <v>972</v>
      </c>
      <c r="F1670" t="s">
        <v>745</v>
      </c>
      <c r="G1670" s="1">
        <v>22013</v>
      </c>
      <c r="H1670" s="2">
        <f t="shared" ca="1" si="496"/>
        <v>66</v>
      </c>
      <c r="I1670" s="2">
        <f t="shared" ca="1" si="497"/>
        <v>0.58571428571428574</v>
      </c>
      <c r="J1670" t="s">
        <v>45</v>
      </c>
      <c r="K1670" t="s">
        <v>65</v>
      </c>
      <c r="L1670">
        <f t="shared" si="498"/>
        <v>0</v>
      </c>
      <c r="M1670">
        <f t="shared" si="499"/>
        <v>1</v>
      </c>
      <c r="N1670">
        <f t="shared" si="500"/>
        <v>0</v>
      </c>
      <c r="O1670" t="s">
        <v>843</v>
      </c>
      <c r="P1670">
        <f t="shared" si="501"/>
        <v>0</v>
      </c>
      <c r="Q1670">
        <f t="shared" si="502"/>
        <v>0</v>
      </c>
      <c r="R1670">
        <f t="shared" si="503"/>
        <v>0</v>
      </c>
      <c r="S1670">
        <f t="shared" si="504"/>
        <v>0</v>
      </c>
      <c r="T1670">
        <f t="shared" si="505"/>
        <v>0</v>
      </c>
      <c r="U1670">
        <f t="shared" si="506"/>
        <v>0</v>
      </c>
      <c r="V1670">
        <f t="shared" si="507"/>
        <v>0</v>
      </c>
      <c r="W1670" t="s">
        <v>58</v>
      </c>
      <c r="X1670">
        <f t="shared" si="508"/>
        <v>0</v>
      </c>
      <c r="Y1670">
        <f t="shared" si="509"/>
        <v>1</v>
      </c>
      <c r="Z1670">
        <v>3</v>
      </c>
      <c r="AA1670">
        <f t="shared" si="510"/>
        <v>0.5</v>
      </c>
      <c r="AB1670" t="s">
        <v>40</v>
      </c>
      <c r="AC1670">
        <f t="shared" si="511"/>
        <v>1</v>
      </c>
      <c r="AD1670">
        <f t="shared" si="512"/>
        <v>0</v>
      </c>
      <c r="AE1670" t="s">
        <v>50</v>
      </c>
      <c r="AF1670">
        <f>IF(AE1670="website",1,0)</f>
        <v>0</v>
      </c>
    </row>
    <row r="1671" spans="1:32">
      <c r="A1671" t="s">
        <v>2322</v>
      </c>
      <c r="B1671" t="s">
        <v>33</v>
      </c>
      <c r="C1671" s="3">
        <f t="shared" si="494"/>
        <v>0</v>
      </c>
      <c r="D1671">
        <f t="shared" si="495"/>
        <v>1</v>
      </c>
      <c r="E1671" t="s">
        <v>1695</v>
      </c>
      <c r="F1671" t="s">
        <v>825</v>
      </c>
      <c r="G1671" s="1">
        <v>25911</v>
      </c>
      <c r="H1671" s="2">
        <f t="shared" ca="1" si="496"/>
        <v>55</v>
      </c>
      <c r="I1671" s="2">
        <f t="shared" ca="1" si="497"/>
        <v>0.42857142857142855</v>
      </c>
      <c r="J1671" t="s">
        <v>36</v>
      </c>
      <c r="K1671" t="s">
        <v>37</v>
      </c>
      <c r="L1671">
        <f t="shared" si="498"/>
        <v>1</v>
      </c>
      <c r="M1671">
        <f t="shared" si="499"/>
        <v>0</v>
      </c>
      <c r="N1671">
        <f t="shared" si="500"/>
        <v>0</v>
      </c>
      <c r="O1671" t="s">
        <v>137</v>
      </c>
      <c r="P1671">
        <f t="shared" si="501"/>
        <v>0</v>
      </c>
      <c r="Q1671">
        <f t="shared" si="502"/>
        <v>0</v>
      </c>
      <c r="R1671">
        <f t="shared" si="503"/>
        <v>0</v>
      </c>
      <c r="S1671">
        <f t="shared" si="504"/>
        <v>0</v>
      </c>
      <c r="T1671">
        <f t="shared" si="505"/>
        <v>0</v>
      </c>
      <c r="U1671">
        <f t="shared" si="506"/>
        <v>0</v>
      </c>
      <c r="V1671">
        <f t="shared" si="507"/>
        <v>0</v>
      </c>
      <c r="W1671" t="s">
        <v>39</v>
      </c>
      <c r="X1671">
        <f t="shared" si="508"/>
        <v>1</v>
      </c>
      <c r="Y1671">
        <f t="shared" si="509"/>
        <v>0</v>
      </c>
      <c r="Z1671">
        <v>3</v>
      </c>
      <c r="AA1671">
        <f t="shared" si="510"/>
        <v>0.5</v>
      </c>
      <c r="AB1671" t="s">
        <v>40</v>
      </c>
      <c r="AC1671">
        <f t="shared" si="511"/>
        <v>0</v>
      </c>
      <c r="AD1671">
        <f t="shared" si="512"/>
        <v>0</v>
      </c>
      <c r="AE1671" t="s">
        <v>41</v>
      </c>
      <c r="AF1671">
        <f>IF(AE1671="website",1,0)</f>
        <v>1</v>
      </c>
    </row>
    <row r="1672" spans="1:32">
      <c r="A1672" t="s">
        <v>2323</v>
      </c>
      <c r="B1672" t="s">
        <v>33</v>
      </c>
      <c r="C1672" s="3">
        <f t="shared" si="494"/>
        <v>0</v>
      </c>
      <c r="D1672">
        <f t="shared" si="495"/>
        <v>1</v>
      </c>
      <c r="E1672" t="s">
        <v>587</v>
      </c>
      <c r="F1672" t="s">
        <v>339</v>
      </c>
      <c r="G1672" s="1">
        <v>17789</v>
      </c>
      <c r="H1672" s="2">
        <f t="shared" ca="1" si="496"/>
        <v>78</v>
      </c>
      <c r="I1672" s="2">
        <f t="shared" ca="1" si="497"/>
        <v>0.75714285714285712</v>
      </c>
      <c r="J1672" t="s">
        <v>36</v>
      </c>
      <c r="K1672" t="s">
        <v>37</v>
      </c>
      <c r="L1672">
        <f t="shared" si="498"/>
        <v>1</v>
      </c>
      <c r="M1672">
        <f t="shared" si="499"/>
        <v>0</v>
      </c>
      <c r="N1672">
        <f t="shared" si="500"/>
        <v>0</v>
      </c>
      <c r="O1672" t="s">
        <v>38</v>
      </c>
      <c r="P1672">
        <f t="shared" si="501"/>
        <v>1</v>
      </c>
      <c r="Q1672">
        <f t="shared" si="502"/>
        <v>0</v>
      </c>
      <c r="R1672">
        <f t="shared" si="503"/>
        <v>0</v>
      </c>
      <c r="S1672">
        <f t="shared" si="504"/>
        <v>0</v>
      </c>
      <c r="T1672">
        <f t="shared" si="505"/>
        <v>0</v>
      </c>
      <c r="U1672">
        <f t="shared" si="506"/>
        <v>0</v>
      </c>
      <c r="V1672">
        <f t="shared" si="507"/>
        <v>0</v>
      </c>
      <c r="W1672" t="s">
        <v>39</v>
      </c>
      <c r="X1672">
        <f t="shared" si="508"/>
        <v>1</v>
      </c>
      <c r="Y1672">
        <f t="shared" si="509"/>
        <v>0</v>
      </c>
      <c r="Z1672">
        <v>3</v>
      </c>
      <c r="AA1672">
        <f t="shared" si="510"/>
        <v>0.5</v>
      </c>
      <c r="AB1672" t="s">
        <v>46</v>
      </c>
      <c r="AC1672">
        <f t="shared" si="511"/>
        <v>1</v>
      </c>
      <c r="AD1672">
        <f t="shared" si="512"/>
        <v>0</v>
      </c>
      <c r="AE1672" t="s">
        <v>50</v>
      </c>
      <c r="AF1672">
        <f>IF(AE1672="website",1,0)</f>
        <v>0</v>
      </c>
    </row>
    <row r="1673" spans="1:32">
      <c r="A1673" t="s">
        <v>2324</v>
      </c>
      <c r="B1673" t="s">
        <v>33</v>
      </c>
      <c r="C1673" s="3">
        <f t="shared" si="494"/>
        <v>0</v>
      </c>
      <c r="D1673">
        <f t="shared" si="495"/>
        <v>1</v>
      </c>
      <c r="E1673" t="s">
        <v>332</v>
      </c>
      <c r="F1673" t="s">
        <v>730</v>
      </c>
      <c r="G1673" s="1">
        <v>27128</v>
      </c>
      <c r="H1673" s="2">
        <f t="shared" ca="1" si="496"/>
        <v>52</v>
      </c>
      <c r="I1673" s="2">
        <f t="shared" ca="1" si="497"/>
        <v>0.38571428571428573</v>
      </c>
      <c r="J1673" t="s">
        <v>36</v>
      </c>
      <c r="K1673" t="s">
        <v>37</v>
      </c>
      <c r="L1673">
        <f t="shared" si="498"/>
        <v>1</v>
      </c>
      <c r="M1673">
        <f t="shared" si="499"/>
        <v>0</v>
      </c>
      <c r="N1673">
        <f t="shared" si="500"/>
        <v>0</v>
      </c>
      <c r="O1673" t="s">
        <v>124</v>
      </c>
      <c r="P1673">
        <f t="shared" si="501"/>
        <v>0</v>
      </c>
      <c r="Q1673">
        <f t="shared" si="502"/>
        <v>0</v>
      </c>
      <c r="R1673">
        <f t="shared" si="503"/>
        <v>0</v>
      </c>
      <c r="S1673">
        <f t="shared" si="504"/>
        <v>0</v>
      </c>
      <c r="T1673">
        <f t="shared" si="505"/>
        <v>0</v>
      </c>
      <c r="U1673">
        <f t="shared" si="506"/>
        <v>1</v>
      </c>
      <c r="V1673">
        <f t="shared" si="507"/>
        <v>0</v>
      </c>
      <c r="W1673" t="s">
        <v>58</v>
      </c>
      <c r="X1673">
        <f t="shared" si="508"/>
        <v>0</v>
      </c>
      <c r="Y1673">
        <f t="shared" si="509"/>
        <v>1</v>
      </c>
      <c r="Z1673">
        <v>4</v>
      </c>
      <c r="AA1673">
        <f t="shared" si="510"/>
        <v>0.75</v>
      </c>
      <c r="AB1673" t="s">
        <v>46</v>
      </c>
      <c r="AC1673">
        <f t="shared" si="511"/>
        <v>0</v>
      </c>
      <c r="AD1673">
        <f t="shared" si="512"/>
        <v>0</v>
      </c>
      <c r="AE1673" t="s">
        <v>41</v>
      </c>
      <c r="AF1673">
        <f>IF(AE1673="website",1,0)</f>
        <v>1</v>
      </c>
    </row>
    <row r="1674" spans="1:32">
      <c r="A1674" t="s">
        <v>2325</v>
      </c>
      <c r="B1674" t="s">
        <v>33</v>
      </c>
      <c r="C1674" s="3">
        <f t="shared" si="494"/>
        <v>0</v>
      </c>
      <c r="D1674">
        <f t="shared" si="495"/>
        <v>1</v>
      </c>
      <c r="E1674" t="s">
        <v>807</v>
      </c>
      <c r="F1674" t="s">
        <v>610</v>
      </c>
      <c r="G1674" s="1">
        <v>33667</v>
      </c>
      <c r="H1674" s="2">
        <f t="shared" ca="1" si="496"/>
        <v>34</v>
      </c>
      <c r="I1674" s="2">
        <f t="shared" ca="1" si="497"/>
        <v>0.12857142857142856</v>
      </c>
      <c r="J1674" t="s">
        <v>36</v>
      </c>
      <c r="K1674" t="s">
        <v>37</v>
      </c>
      <c r="L1674">
        <f t="shared" si="498"/>
        <v>1</v>
      </c>
      <c r="M1674">
        <f t="shared" si="499"/>
        <v>0</v>
      </c>
      <c r="N1674">
        <f t="shared" si="500"/>
        <v>0</v>
      </c>
      <c r="O1674" t="s">
        <v>565</v>
      </c>
      <c r="P1674">
        <f t="shared" si="501"/>
        <v>0</v>
      </c>
      <c r="Q1674">
        <f t="shared" si="502"/>
        <v>0</v>
      </c>
      <c r="R1674">
        <f t="shared" si="503"/>
        <v>0</v>
      </c>
      <c r="S1674">
        <f t="shared" si="504"/>
        <v>0</v>
      </c>
      <c r="T1674">
        <f t="shared" si="505"/>
        <v>0</v>
      </c>
      <c r="U1674">
        <f t="shared" si="506"/>
        <v>0</v>
      </c>
      <c r="V1674">
        <f t="shared" si="507"/>
        <v>0</v>
      </c>
      <c r="W1674" t="s">
        <v>39</v>
      </c>
      <c r="X1674">
        <f t="shared" si="508"/>
        <v>1</v>
      </c>
      <c r="Y1674">
        <f t="shared" si="509"/>
        <v>0</v>
      </c>
      <c r="Z1674">
        <v>1</v>
      </c>
      <c r="AA1674">
        <f t="shared" si="510"/>
        <v>0</v>
      </c>
      <c r="AB1674" t="s">
        <v>40</v>
      </c>
      <c r="AC1674">
        <f t="shared" si="511"/>
        <v>0</v>
      </c>
      <c r="AD1674">
        <f t="shared" si="512"/>
        <v>0</v>
      </c>
      <c r="AE1674" t="s">
        <v>41</v>
      </c>
      <c r="AF1674">
        <f>IF(AE1674="website",1,0)</f>
        <v>1</v>
      </c>
    </row>
    <row r="1675" spans="1:32">
      <c r="A1675" t="s">
        <v>2326</v>
      </c>
      <c r="B1675" t="s">
        <v>33</v>
      </c>
      <c r="C1675" s="3">
        <f t="shared" si="494"/>
        <v>0</v>
      </c>
      <c r="D1675">
        <f t="shared" si="495"/>
        <v>1</v>
      </c>
      <c r="E1675" t="s">
        <v>809</v>
      </c>
      <c r="F1675" t="s">
        <v>911</v>
      </c>
      <c r="G1675" s="1">
        <v>15332</v>
      </c>
      <c r="H1675" s="2">
        <f t="shared" ca="1" si="496"/>
        <v>84</v>
      </c>
      <c r="I1675" s="2">
        <f t="shared" ca="1" si="497"/>
        <v>0.84285714285714286</v>
      </c>
      <c r="J1675" t="s">
        <v>36</v>
      </c>
      <c r="K1675" t="s">
        <v>37</v>
      </c>
      <c r="L1675">
        <f t="shared" si="498"/>
        <v>1</v>
      </c>
      <c r="M1675">
        <f t="shared" si="499"/>
        <v>0</v>
      </c>
      <c r="N1675">
        <f t="shared" si="500"/>
        <v>0</v>
      </c>
      <c r="O1675" t="s">
        <v>38</v>
      </c>
      <c r="P1675">
        <f t="shared" si="501"/>
        <v>1</v>
      </c>
      <c r="Q1675">
        <f t="shared" si="502"/>
        <v>0</v>
      </c>
      <c r="R1675">
        <f t="shared" si="503"/>
        <v>0</v>
      </c>
      <c r="S1675">
        <f t="shared" si="504"/>
        <v>0</v>
      </c>
      <c r="T1675">
        <f t="shared" si="505"/>
        <v>0</v>
      </c>
      <c r="U1675">
        <f t="shared" si="506"/>
        <v>0</v>
      </c>
      <c r="V1675">
        <f t="shared" si="507"/>
        <v>0</v>
      </c>
      <c r="W1675" t="s">
        <v>39</v>
      </c>
      <c r="X1675">
        <f t="shared" si="508"/>
        <v>1</v>
      </c>
      <c r="Y1675">
        <f t="shared" si="509"/>
        <v>0</v>
      </c>
      <c r="Z1675">
        <v>5</v>
      </c>
      <c r="AA1675">
        <f t="shared" si="510"/>
        <v>1</v>
      </c>
      <c r="AB1675" t="s">
        <v>40</v>
      </c>
      <c r="AC1675">
        <f t="shared" si="511"/>
        <v>0</v>
      </c>
      <c r="AD1675">
        <f t="shared" si="512"/>
        <v>0</v>
      </c>
      <c r="AE1675" t="s">
        <v>41</v>
      </c>
      <c r="AF1675">
        <f>IF(AE1675="website",1,0)</f>
        <v>1</v>
      </c>
    </row>
    <row r="1676" spans="1:32">
      <c r="A1676" t="s">
        <v>2327</v>
      </c>
      <c r="B1676" t="s">
        <v>33</v>
      </c>
      <c r="C1676" s="3">
        <f t="shared" si="494"/>
        <v>0</v>
      </c>
      <c r="D1676">
        <f t="shared" si="495"/>
        <v>1</v>
      </c>
      <c r="E1676" t="s">
        <v>766</v>
      </c>
      <c r="F1676" t="s">
        <v>641</v>
      </c>
      <c r="G1676" s="1">
        <v>31145</v>
      </c>
      <c r="H1676" s="2">
        <f t="shared" ca="1" si="496"/>
        <v>41</v>
      </c>
      <c r="I1676" s="2">
        <f t="shared" ca="1" si="497"/>
        <v>0.22857142857142856</v>
      </c>
      <c r="J1676" t="s">
        <v>36</v>
      </c>
      <c r="K1676" t="s">
        <v>65</v>
      </c>
      <c r="L1676">
        <f t="shared" si="498"/>
        <v>0</v>
      </c>
      <c r="M1676">
        <f t="shared" si="499"/>
        <v>1</v>
      </c>
      <c r="N1676">
        <f t="shared" si="500"/>
        <v>0</v>
      </c>
      <c r="O1676" t="s">
        <v>843</v>
      </c>
      <c r="P1676">
        <f t="shared" si="501"/>
        <v>0</v>
      </c>
      <c r="Q1676">
        <f t="shared" si="502"/>
        <v>0</v>
      </c>
      <c r="R1676">
        <f t="shared" si="503"/>
        <v>0</v>
      </c>
      <c r="S1676">
        <f t="shared" si="504"/>
        <v>0</v>
      </c>
      <c r="T1676">
        <f t="shared" si="505"/>
        <v>0</v>
      </c>
      <c r="U1676">
        <f t="shared" si="506"/>
        <v>0</v>
      </c>
      <c r="V1676">
        <f t="shared" si="507"/>
        <v>0</v>
      </c>
      <c r="W1676" t="s">
        <v>58</v>
      </c>
      <c r="X1676">
        <f t="shared" si="508"/>
        <v>0</v>
      </c>
      <c r="Y1676">
        <f t="shared" si="509"/>
        <v>1</v>
      </c>
      <c r="Z1676">
        <v>5</v>
      </c>
      <c r="AA1676">
        <f t="shared" si="510"/>
        <v>1</v>
      </c>
      <c r="AB1676" t="s">
        <v>46</v>
      </c>
      <c r="AC1676">
        <f t="shared" si="511"/>
        <v>0</v>
      </c>
      <c r="AD1676">
        <f t="shared" si="512"/>
        <v>0</v>
      </c>
      <c r="AE1676" t="s">
        <v>41</v>
      </c>
      <c r="AF1676">
        <f>IF(AE1676="website",1,0)</f>
        <v>1</v>
      </c>
    </row>
    <row r="1677" spans="1:32">
      <c r="A1677" t="s">
        <v>2328</v>
      </c>
      <c r="B1677" t="s">
        <v>33</v>
      </c>
      <c r="C1677" s="3">
        <f t="shared" si="494"/>
        <v>0</v>
      </c>
      <c r="D1677">
        <f t="shared" si="495"/>
        <v>1</v>
      </c>
      <c r="E1677" t="s">
        <v>666</v>
      </c>
      <c r="F1677" t="s">
        <v>720</v>
      </c>
      <c r="G1677" s="1">
        <v>36422</v>
      </c>
      <c r="H1677" s="2">
        <f t="shared" ca="1" si="496"/>
        <v>27</v>
      </c>
      <c r="I1677" s="2">
        <f t="shared" ca="1" si="497"/>
        <v>2.8571428571428571E-2</v>
      </c>
      <c r="J1677" t="s">
        <v>36</v>
      </c>
      <c r="K1677" t="s">
        <v>37</v>
      </c>
      <c r="L1677">
        <f t="shared" si="498"/>
        <v>1</v>
      </c>
      <c r="M1677">
        <f t="shared" si="499"/>
        <v>0</v>
      </c>
      <c r="N1677">
        <f t="shared" si="500"/>
        <v>0</v>
      </c>
      <c r="O1677" t="s">
        <v>565</v>
      </c>
      <c r="P1677">
        <f t="shared" si="501"/>
        <v>0</v>
      </c>
      <c r="Q1677">
        <f t="shared" si="502"/>
        <v>0</v>
      </c>
      <c r="R1677">
        <f t="shared" si="503"/>
        <v>0</v>
      </c>
      <c r="S1677">
        <f t="shared" si="504"/>
        <v>0</v>
      </c>
      <c r="T1677">
        <f t="shared" si="505"/>
        <v>0</v>
      </c>
      <c r="U1677">
        <f t="shared" si="506"/>
        <v>0</v>
      </c>
      <c r="V1677">
        <f t="shared" si="507"/>
        <v>0</v>
      </c>
      <c r="W1677" t="s">
        <v>39</v>
      </c>
      <c r="X1677">
        <f t="shared" si="508"/>
        <v>1</v>
      </c>
      <c r="Y1677">
        <f t="shared" si="509"/>
        <v>0</v>
      </c>
      <c r="Z1677">
        <v>2</v>
      </c>
      <c r="AA1677">
        <f t="shared" si="510"/>
        <v>0.25</v>
      </c>
      <c r="AB1677" t="s">
        <v>46</v>
      </c>
      <c r="AC1677">
        <f t="shared" si="511"/>
        <v>0</v>
      </c>
      <c r="AD1677">
        <f t="shared" si="512"/>
        <v>0</v>
      </c>
      <c r="AE1677" t="s">
        <v>41</v>
      </c>
      <c r="AF1677">
        <f>IF(AE1677="website",1,0)</f>
        <v>1</v>
      </c>
    </row>
    <row r="1678" spans="1:32">
      <c r="A1678" t="s">
        <v>2329</v>
      </c>
      <c r="B1678" t="s">
        <v>33</v>
      </c>
      <c r="C1678" s="3">
        <f t="shared" si="494"/>
        <v>0</v>
      </c>
      <c r="D1678">
        <f t="shared" si="495"/>
        <v>1</v>
      </c>
      <c r="E1678" t="s">
        <v>191</v>
      </c>
      <c r="F1678" t="s">
        <v>1041</v>
      </c>
      <c r="G1678" s="1">
        <v>23731</v>
      </c>
      <c r="H1678" s="2">
        <f t="shared" ca="1" si="496"/>
        <v>61</v>
      </c>
      <c r="I1678" s="2">
        <f t="shared" ca="1" si="497"/>
        <v>0.51428571428571423</v>
      </c>
      <c r="J1678" t="s">
        <v>45</v>
      </c>
      <c r="K1678" t="s">
        <v>37</v>
      </c>
      <c r="L1678">
        <f t="shared" si="498"/>
        <v>1</v>
      </c>
      <c r="M1678">
        <f t="shared" si="499"/>
        <v>0</v>
      </c>
      <c r="N1678">
        <f t="shared" si="500"/>
        <v>0</v>
      </c>
      <c r="O1678" t="s">
        <v>592</v>
      </c>
      <c r="P1678">
        <f t="shared" si="501"/>
        <v>0</v>
      </c>
      <c r="Q1678">
        <f t="shared" si="502"/>
        <v>0</v>
      </c>
      <c r="R1678">
        <f t="shared" si="503"/>
        <v>0</v>
      </c>
      <c r="S1678">
        <f t="shared" si="504"/>
        <v>0</v>
      </c>
      <c r="T1678">
        <f t="shared" si="505"/>
        <v>0</v>
      </c>
      <c r="U1678">
        <f t="shared" si="506"/>
        <v>0</v>
      </c>
      <c r="V1678">
        <f t="shared" si="507"/>
        <v>0</v>
      </c>
      <c r="W1678" t="s">
        <v>39</v>
      </c>
      <c r="X1678">
        <f t="shared" si="508"/>
        <v>1</v>
      </c>
      <c r="Y1678">
        <f t="shared" si="509"/>
        <v>0</v>
      </c>
      <c r="Z1678">
        <v>1</v>
      </c>
      <c r="AA1678">
        <f t="shared" si="510"/>
        <v>0</v>
      </c>
      <c r="AB1678" t="s">
        <v>40</v>
      </c>
      <c r="AC1678">
        <f t="shared" si="511"/>
        <v>0</v>
      </c>
      <c r="AD1678">
        <f t="shared" si="512"/>
        <v>0</v>
      </c>
      <c r="AE1678" t="s">
        <v>41</v>
      </c>
      <c r="AF1678">
        <f>IF(AE1678="website",1,0)</f>
        <v>1</v>
      </c>
    </row>
    <row r="1679" spans="1:32">
      <c r="A1679" t="s">
        <v>2330</v>
      </c>
      <c r="B1679" t="s">
        <v>33</v>
      </c>
      <c r="C1679" s="3">
        <f t="shared" si="494"/>
        <v>0</v>
      </c>
      <c r="D1679">
        <f t="shared" si="495"/>
        <v>1</v>
      </c>
      <c r="E1679" t="s">
        <v>1073</v>
      </c>
      <c r="F1679" t="s">
        <v>557</v>
      </c>
      <c r="G1679" s="1">
        <v>22346</v>
      </c>
      <c r="H1679" s="2">
        <f t="shared" ca="1" si="496"/>
        <v>65</v>
      </c>
      <c r="I1679" s="2">
        <f t="shared" ca="1" si="497"/>
        <v>0.5714285714285714</v>
      </c>
      <c r="J1679" t="s">
        <v>45</v>
      </c>
      <c r="K1679" t="s">
        <v>37</v>
      </c>
      <c r="L1679">
        <f t="shared" si="498"/>
        <v>1</v>
      </c>
      <c r="M1679">
        <f t="shared" si="499"/>
        <v>0</v>
      </c>
      <c r="N1679">
        <f t="shared" si="500"/>
        <v>0</v>
      </c>
      <c r="O1679" t="s">
        <v>38</v>
      </c>
      <c r="P1679">
        <f t="shared" si="501"/>
        <v>1</v>
      </c>
      <c r="Q1679">
        <f t="shared" si="502"/>
        <v>0</v>
      </c>
      <c r="R1679">
        <f t="shared" si="503"/>
        <v>0</v>
      </c>
      <c r="S1679">
        <f t="shared" si="504"/>
        <v>0</v>
      </c>
      <c r="T1679">
        <f t="shared" si="505"/>
        <v>0</v>
      </c>
      <c r="U1679">
        <f t="shared" si="506"/>
        <v>0</v>
      </c>
      <c r="V1679">
        <f t="shared" si="507"/>
        <v>0</v>
      </c>
      <c r="W1679" t="s">
        <v>39</v>
      </c>
      <c r="X1679">
        <f t="shared" si="508"/>
        <v>1</v>
      </c>
      <c r="Y1679">
        <f t="shared" si="509"/>
        <v>0</v>
      </c>
      <c r="Z1679">
        <v>1</v>
      </c>
      <c r="AA1679">
        <f t="shared" si="510"/>
        <v>0</v>
      </c>
      <c r="AB1679" t="s">
        <v>40</v>
      </c>
      <c r="AC1679">
        <f t="shared" si="511"/>
        <v>1</v>
      </c>
      <c r="AD1679">
        <f t="shared" si="512"/>
        <v>0</v>
      </c>
      <c r="AE1679" t="s">
        <v>50</v>
      </c>
      <c r="AF1679">
        <f>IF(AE1679="website",1,0)</f>
        <v>0</v>
      </c>
    </row>
    <row r="1680" spans="1:32">
      <c r="A1680" t="s">
        <v>2331</v>
      </c>
      <c r="B1680" t="s">
        <v>33</v>
      </c>
      <c r="C1680" s="3">
        <f t="shared" si="494"/>
        <v>0</v>
      </c>
      <c r="D1680">
        <f t="shared" si="495"/>
        <v>1</v>
      </c>
      <c r="E1680" t="s">
        <v>1554</v>
      </c>
      <c r="F1680" t="s">
        <v>112</v>
      </c>
      <c r="G1680" s="1">
        <v>31471</v>
      </c>
      <c r="H1680" s="2">
        <f t="shared" ca="1" si="496"/>
        <v>40</v>
      </c>
      <c r="I1680" s="2">
        <f t="shared" ca="1" si="497"/>
        <v>0.21428571428571427</v>
      </c>
      <c r="J1680" t="s">
        <v>36</v>
      </c>
      <c r="K1680" t="s">
        <v>37</v>
      </c>
      <c r="L1680">
        <f t="shared" si="498"/>
        <v>1</v>
      </c>
      <c r="M1680">
        <f t="shared" si="499"/>
        <v>0</v>
      </c>
      <c r="N1680">
        <f t="shared" si="500"/>
        <v>0</v>
      </c>
      <c r="O1680" t="s">
        <v>124</v>
      </c>
      <c r="P1680">
        <f t="shared" si="501"/>
        <v>0</v>
      </c>
      <c r="Q1680">
        <f t="shared" si="502"/>
        <v>0</v>
      </c>
      <c r="R1680">
        <f t="shared" si="503"/>
        <v>0</v>
      </c>
      <c r="S1680">
        <f t="shared" si="504"/>
        <v>0</v>
      </c>
      <c r="T1680">
        <f t="shared" si="505"/>
        <v>0</v>
      </c>
      <c r="U1680">
        <f t="shared" si="506"/>
        <v>1</v>
      </c>
      <c r="V1680">
        <f t="shared" si="507"/>
        <v>0</v>
      </c>
      <c r="W1680" t="s">
        <v>58</v>
      </c>
      <c r="X1680">
        <f t="shared" si="508"/>
        <v>0</v>
      </c>
      <c r="Y1680">
        <f t="shared" si="509"/>
        <v>1</v>
      </c>
      <c r="Z1680">
        <v>4</v>
      </c>
      <c r="AA1680">
        <f t="shared" si="510"/>
        <v>0.75</v>
      </c>
      <c r="AB1680" t="s">
        <v>46</v>
      </c>
      <c r="AC1680">
        <f t="shared" si="511"/>
        <v>0</v>
      </c>
      <c r="AD1680">
        <f t="shared" si="512"/>
        <v>0</v>
      </c>
      <c r="AE1680" t="s">
        <v>41</v>
      </c>
      <c r="AF1680">
        <f>IF(AE1680="website",1,0)</f>
        <v>1</v>
      </c>
    </row>
    <row r="1681" spans="1:32">
      <c r="A1681" t="s">
        <v>2332</v>
      </c>
      <c r="B1681" t="s">
        <v>33</v>
      </c>
      <c r="C1681" s="3">
        <f t="shared" si="494"/>
        <v>0</v>
      </c>
      <c r="D1681">
        <f t="shared" si="495"/>
        <v>1</v>
      </c>
      <c r="E1681" t="s">
        <v>784</v>
      </c>
      <c r="F1681" t="s">
        <v>339</v>
      </c>
      <c r="G1681" s="1">
        <v>36428</v>
      </c>
      <c r="H1681" s="2">
        <f t="shared" ca="1" si="496"/>
        <v>27</v>
      </c>
      <c r="I1681" s="2">
        <f t="shared" ca="1" si="497"/>
        <v>2.8571428571428571E-2</v>
      </c>
      <c r="J1681" t="s">
        <v>36</v>
      </c>
      <c r="K1681" t="s">
        <v>37</v>
      </c>
      <c r="L1681">
        <f t="shared" si="498"/>
        <v>1</v>
      </c>
      <c r="M1681">
        <f t="shared" si="499"/>
        <v>0</v>
      </c>
      <c r="N1681">
        <f t="shared" si="500"/>
        <v>0</v>
      </c>
      <c r="O1681" t="s">
        <v>38</v>
      </c>
      <c r="P1681">
        <f t="shared" si="501"/>
        <v>1</v>
      </c>
      <c r="Q1681">
        <f t="shared" si="502"/>
        <v>0</v>
      </c>
      <c r="R1681">
        <f t="shared" si="503"/>
        <v>0</v>
      </c>
      <c r="S1681">
        <f t="shared" si="504"/>
        <v>0</v>
      </c>
      <c r="T1681">
        <f t="shared" si="505"/>
        <v>0</v>
      </c>
      <c r="U1681">
        <f t="shared" si="506"/>
        <v>0</v>
      </c>
      <c r="V1681">
        <f t="shared" si="507"/>
        <v>0</v>
      </c>
      <c r="W1681" t="s">
        <v>58</v>
      </c>
      <c r="X1681">
        <f t="shared" si="508"/>
        <v>0</v>
      </c>
      <c r="Y1681">
        <f t="shared" si="509"/>
        <v>1</v>
      </c>
      <c r="Z1681">
        <v>4</v>
      </c>
      <c r="AA1681">
        <f t="shared" si="510"/>
        <v>0.75</v>
      </c>
      <c r="AB1681" t="s">
        <v>46</v>
      </c>
      <c r="AC1681">
        <f t="shared" si="511"/>
        <v>1</v>
      </c>
      <c r="AD1681">
        <f t="shared" si="512"/>
        <v>0</v>
      </c>
      <c r="AE1681" t="s">
        <v>50</v>
      </c>
      <c r="AF1681">
        <f>IF(AE1681="website",1,0)</f>
        <v>0</v>
      </c>
    </row>
    <row r="1682" spans="1:32">
      <c r="A1682" t="s">
        <v>2333</v>
      </c>
      <c r="B1682" t="s">
        <v>33</v>
      </c>
      <c r="C1682" s="3">
        <f t="shared" si="494"/>
        <v>0</v>
      </c>
      <c r="D1682">
        <f t="shared" si="495"/>
        <v>1</v>
      </c>
      <c r="E1682" t="s">
        <v>744</v>
      </c>
      <c r="F1682" t="s">
        <v>576</v>
      </c>
      <c r="G1682" s="1">
        <v>22489</v>
      </c>
      <c r="H1682" s="2">
        <f t="shared" ca="1" si="496"/>
        <v>65</v>
      </c>
      <c r="I1682" s="2">
        <f t="shared" ca="1" si="497"/>
        <v>0.5714285714285714</v>
      </c>
      <c r="J1682" t="s">
        <v>45</v>
      </c>
      <c r="K1682" t="s">
        <v>37</v>
      </c>
      <c r="L1682">
        <f t="shared" si="498"/>
        <v>1</v>
      </c>
      <c r="M1682">
        <f t="shared" si="499"/>
        <v>0</v>
      </c>
      <c r="N1682">
        <f t="shared" si="500"/>
        <v>0</v>
      </c>
      <c r="O1682" t="s">
        <v>76</v>
      </c>
      <c r="P1682">
        <f t="shared" si="501"/>
        <v>0</v>
      </c>
      <c r="Q1682">
        <f t="shared" si="502"/>
        <v>1</v>
      </c>
      <c r="R1682">
        <f t="shared" si="503"/>
        <v>0</v>
      </c>
      <c r="S1682">
        <f t="shared" si="504"/>
        <v>0</v>
      </c>
      <c r="T1682">
        <f t="shared" si="505"/>
        <v>0</v>
      </c>
      <c r="U1682">
        <f t="shared" si="506"/>
        <v>0</v>
      </c>
      <c r="V1682">
        <f t="shared" si="507"/>
        <v>0</v>
      </c>
      <c r="W1682" t="s">
        <v>39</v>
      </c>
      <c r="X1682">
        <f t="shared" si="508"/>
        <v>1</v>
      </c>
      <c r="Y1682">
        <f t="shared" si="509"/>
        <v>0</v>
      </c>
      <c r="Z1682">
        <v>3</v>
      </c>
      <c r="AA1682">
        <f t="shared" si="510"/>
        <v>0.5</v>
      </c>
      <c r="AB1682" t="s">
        <v>40</v>
      </c>
      <c r="AC1682">
        <f t="shared" si="511"/>
        <v>0</v>
      </c>
      <c r="AD1682">
        <f t="shared" si="512"/>
        <v>1</v>
      </c>
      <c r="AE1682" t="s">
        <v>90</v>
      </c>
      <c r="AF1682">
        <f>IF(AE1682="website",1,0)</f>
        <v>0</v>
      </c>
    </row>
    <row r="1683" spans="1:32">
      <c r="A1683" t="s">
        <v>2334</v>
      </c>
      <c r="B1683" t="s">
        <v>33</v>
      </c>
      <c r="C1683" s="3">
        <f t="shared" si="494"/>
        <v>0</v>
      </c>
      <c r="D1683">
        <f t="shared" si="495"/>
        <v>1</v>
      </c>
      <c r="E1683" t="s">
        <v>404</v>
      </c>
      <c r="F1683" t="s">
        <v>645</v>
      </c>
      <c r="G1683" s="1">
        <v>31878</v>
      </c>
      <c r="H1683" s="2">
        <f t="shared" ca="1" si="496"/>
        <v>39</v>
      </c>
      <c r="I1683" s="2">
        <f t="shared" ca="1" si="497"/>
        <v>0.2</v>
      </c>
      <c r="J1683" t="s">
        <v>36</v>
      </c>
      <c r="K1683" t="s">
        <v>37</v>
      </c>
      <c r="L1683">
        <f t="shared" si="498"/>
        <v>1</v>
      </c>
      <c r="M1683">
        <f t="shared" si="499"/>
        <v>0</v>
      </c>
      <c r="N1683">
        <f t="shared" si="500"/>
        <v>0</v>
      </c>
      <c r="O1683" t="s">
        <v>124</v>
      </c>
      <c r="P1683">
        <f t="shared" si="501"/>
        <v>0</v>
      </c>
      <c r="Q1683">
        <f t="shared" si="502"/>
        <v>0</v>
      </c>
      <c r="R1683">
        <f t="shared" si="503"/>
        <v>0</v>
      </c>
      <c r="S1683">
        <f t="shared" si="504"/>
        <v>0</v>
      </c>
      <c r="T1683">
        <f t="shared" si="505"/>
        <v>0</v>
      </c>
      <c r="U1683">
        <f t="shared" si="506"/>
        <v>1</v>
      </c>
      <c r="V1683">
        <f t="shared" si="507"/>
        <v>0</v>
      </c>
      <c r="W1683" t="s">
        <v>39</v>
      </c>
      <c r="X1683">
        <f t="shared" si="508"/>
        <v>1</v>
      </c>
      <c r="Y1683">
        <f t="shared" si="509"/>
        <v>0</v>
      </c>
      <c r="Z1683">
        <v>2</v>
      </c>
      <c r="AA1683">
        <f t="shared" si="510"/>
        <v>0.25</v>
      </c>
      <c r="AB1683" t="s">
        <v>46</v>
      </c>
      <c r="AC1683">
        <f t="shared" si="511"/>
        <v>0</v>
      </c>
      <c r="AD1683">
        <f t="shared" si="512"/>
        <v>0</v>
      </c>
      <c r="AE1683" t="s">
        <v>41</v>
      </c>
      <c r="AF1683">
        <f>IF(AE1683="website",1,0)</f>
        <v>1</v>
      </c>
    </row>
    <row r="1684" spans="1:32">
      <c r="A1684" t="s">
        <v>2335</v>
      </c>
      <c r="B1684" t="s">
        <v>33</v>
      </c>
      <c r="C1684" s="3">
        <f t="shared" si="494"/>
        <v>0</v>
      </c>
      <c r="D1684">
        <f t="shared" si="495"/>
        <v>1</v>
      </c>
      <c r="E1684" t="s">
        <v>570</v>
      </c>
      <c r="F1684" t="s">
        <v>726</v>
      </c>
      <c r="G1684" s="1">
        <v>36483</v>
      </c>
      <c r="H1684" s="2">
        <f t="shared" ca="1" si="496"/>
        <v>26</v>
      </c>
      <c r="I1684" s="2">
        <f t="shared" ca="1" si="497"/>
        <v>1.4285714285714285E-2</v>
      </c>
      <c r="J1684" t="s">
        <v>36</v>
      </c>
      <c r="K1684" t="s">
        <v>37</v>
      </c>
      <c r="L1684">
        <f t="shared" si="498"/>
        <v>1</v>
      </c>
      <c r="M1684">
        <f t="shared" si="499"/>
        <v>0</v>
      </c>
      <c r="N1684">
        <f t="shared" si="500"/>
        <v>0</v>
      </c>
      <c r="O1684" t="s">
        <v>76</v>
      </c>
      <c r="P1684">
        <f t="shared" si="501"/>
        <v>0</v>
      </c>
      <c r="Q1684">
        <f t="shared" si="502"/>
        <v>1</v>
      </c>
      <c r="R1684">
        <f t="shared" si="503"/>
        <v>0</v>
      </c>
      <c r="S1684">
        <f t="shared" si="504"/>
        <v>0</v>
      </c>
      <c r="T1684">
        <f t="shared" si="505"/>
        <v>0</v>
      </c>
      <c r="U1684">
        <f t="shared" si="506"/>
        <v>0</v>
      </c>
      <c r="V1684">
        <f t="shared" si="507"/>
        <v>0</v>
      </c>
      <c r="W1684" t="s">
        <v>58</v>
      </c>
      <c r="X1684">
        <f t="shared" si="508"/>
        <v>0</v>
      </c>
      <c r="Y1684">
        <f t="shared" si="509"/>
        <v>1</v>
      </c>
      <c r="Z1684">
        <v>1</v>
      </c>
      <c r="AA1684">
        <f t="shared" si="510"/>
        <v>0</v>
      </c>
      <c r="AB1684" t="s">
        <v>46</v>
      </c>
      <c r="AC1684">
        <f t="shared" si="511"/>
        <v>0</v>
      </c>
      <c r="AD1684">
        <f t="shared" si="512"/>
        <v>1</v>
      </c>
      <c r="AE1684" t="s">
        <v>90</v>
      </c>
      <c r="AF1684">
        <f>IF(AE1684="website",1,0)</f>
        <v>0</v>
      </c>
    </row>
    <row r="1685" spans="1:32">
      <c r="A1685" t="s">
        <v>2336</v>
      </c>
      <c r="B1685" t="s">
        <v>33</v>
      </c>
      <c r="C1685" s="3">
        <f t="shared" si="494"/>
        <v>0</v>
      </c>
      <c r="D1685">
        <f t="shared" si="495"/>
        <v>1</v>
      </c>
      <c r="E1685" t="s">
        <v>317</v>
      </c>
      <c r="F1685" t="s">
        <v>861</v>
      </c>
      <c r="G1685" s="1">
        <v>28307</v>
      </c>
      <c r="H1685" s="2">
        <f t="shared" ca="1" si="496"/>
        <v>49</v>
      </c>
      <c r="I1685" s="2">
        <f t="shared" ca="1" si="497"/>
        <v>0.34285714285714286</v>
      </c>
      <c r="J1685" t="s">
        <v>36</v>
      </c>
      <c r="K1685" t="s">
        <v>37</v>
      </c>
      <c r="L1685">
        <f t="shared" si="498"/>
        <v>1</v>
      </c>
      <c r="M1685">
        <f t="shared" si="499"/>
        <v>0</v>
      </c>
      <c r="N1685">
        <f t="shared" si="500"/>
        <v>0</v>
      </c>
      <c r="O1685" t="s">
        <v>137</v>
      </c>
      <c r="P1685">
        <f t="shared" si="501"/>
        <v>0</v>
      </c>
      <c r="Q1685">
        <f t="shared" si="502"/>
        <v>0</v>
      </c>
      <c r="R1685">
        <f t="shared" si="503"/>
        <v>0</v>
      </c>
      <c r="S1685">
        <f t="shared" si="504"/>
        <v>0</v>
      </c>
      <c r="T1685">
        <f t="shared" si="505"/>
        <v>0</v>
      </c>
      <c r="U1685">
        <f t="shared" si="506"/>
        <v>0</v>
      </c>
      <c r="V1685">
        <f t="shared" si="507"/>
        <v>0</v>
      </c>
      <c r="W1685" t="s">
        <v>58</v>
      </c>
      <c r="X1685">
        <f t="shared" si="508"/>
        <v>0</v>
      </c>
      <c r="Y1685">
        <f t="shared" si="509"/>
        <v>1</v>
      </c>
      <c r="Z1685">
        <v>4</v>
      </c>
      <c r="AA1685">
        <f t="shared" si="510"/>
        <v>0.75</v>
      </c>
      <c r="AB1685" t="s">
        <v>46</v>
      </c>
      <c r="AC1685">
        <f t="shared" si="511"/>
        <v>0</v>
      </c>
      <c r="AD1685">
        <f t="shared" si="512"/>
        <v>0</v>
      </c>
      <c r="AE1685" t="s">
        <v>41</v>
      </c>
      <c r="AF1685">
        <f>IF(AE1685="website",1,0)</f>
        <v>1</v>
      </c>
    </row>
    <row r="1686" spans="1:32">
      <c r="A1686" t="s">
        <v>2337</v>
      </c>
      <c r="B1686" t="s">
        <v>33</v>
      </c>
      <c r="C1686" s="3">
        <f t="shared" si="494"/>
        <v>0</v>
      </c>
      <c r="D1686">
        <f t="shared" si="495"/>
        <v>1</v>
      </c>
      <c r="E1686" t="s">
        <v>1256</v>
      </c>
      <c r="F1686" t="s">
        <v>538</v>
      </c>
      <c r="G1686" s="1">
        <v>28261</v>
      </c>
      <c r="H1686" s="2">
        <f t="shared" ca="1" si="496"/>
        <v>49</v>
      </c>
      <c r="I1686" s="2">
        <f t="shared" ca="1" si="497"/>
        <v>0.34285714285714286</v>
      </c>
      <c r="J1686" t="s">
        <v>36</v>
      </c>
      <c r="K1686" t="s">
        <v>37</v>
      </c>
      <c r="L1686">
        <f t="shared" si="498"/>
        <v>1</v>
      </c>
      <c r="M1686">
        <f t="shared" si="499"/>
        <v>0</v>
      </c>
      <c r="N1686">
        <f t="shared" si="500"/>
        <v>0</v>
      </c>
      <c r="O1686" t="s">
        <v>38</v>
      </c>
      <c r="P1686">
        <f t="shared" si="501"/>
        <v>1</v>
      </c>
      <c r="Q1686">
        <f t="shared" si="502"/>
        <v>0</v>
      </c>
      <c r="R1686">
        <f t="shared" si="503"/>
        <v>0</v>
      </c>
      <c r="S1686">
        <f t="shared" si="504"/>
        <v>0</v>
      </c>
      <c r="T1686">
        <f t="shared" si="505"/>
        <v>0</v>
      </c>
      <c r="U1686">
        <f t="shared" si="506"/>
        <v>0</v>
      </c>
      <c r="V1686">
        <f t="shared" si="507"/>
        <v>0</v>
      </c>
      <c r="W1686" t="s">
        <v>39</v>
      </c>
      <c r="X1686">
        <f t="shared" si="508"/>
        <v>1</v>
      </c>
      <c r="Y1686">
        <f t="shared" si="509"/>
        <v>0</v>
      </c>
      <c r="Z1686">
        <v>5</v>
      </c>
      <c r="AA1686">
        <f t="shared" si="510"/>
        <v>1</v>
      </c>
      <c r="AB1686" t="s">
        <v>46</v>
      </c>
      <c r="AC1686">
        <f t="shared" si="511"/>
        <v>1</v>
      </c>
      <c r="AD1686">
        <f t="shared" si="512"/>
        <v>0</v>
      </c>
      <c r="AE1686" t="s">
        <v>50</v>
      </c>
      <c r="AF1686">
        <f>IF(AE1686="website",1,0)</f>
        <v>0</v>
      </c>
    </row>
    <row r="1687" spans="1:32">
      <c r="A1687" t="s">
        <v>2338</v>
      </c>
      <c r="B1687" t="s">
        <v>33</v>
      </c>
      <c r="C1687" s="3">
        <f t="shared" si="494"/>
        <v>0</v>
      </c>
      <c r="D1687">
        <f t="shared" si="495"/>
        <v>1</v>
      </c>
      <c r="E1687" t="s">
        <v>787</v>
      </c>
      <c r="F1687" t="s">
        <v>339</v>
      </c>
      <c r="G1687" s="1">
        <v>28150</v>
      </c>
      <c r="H1687" s="2">
        <f t="shared" ca="1" si="496"/>
        <v>49</v>
      </c>
      <c r="I1687" s="2">
        <f t="shared" ca="1" si="497"/>
        <v>0.34285714285714286</v>
      </c>
      <c r="J1687" t="s">
        <v>45</v>
      </c>
      <c r="K1687" t="s">
        <v>37</v>
      </c>
      <c r="L1687">
        <f t="shared" si="498"/>
        <v>1</v>
      </c>
      <c r="M1687">
        <f t="shared" si="499"/>
        <v>0</v>
      </c>
      <c r="N1687">
        <f t="shared" si="500"/>
        <v>0</v>
      </c>
      <c r="O1687" t="s">
        <v>38</v>
      </c>
      <c r="P1687">
        <f t="shared" si="501"/>
        <v>1</v>
      </c>
      <c r="Q1687">
        <f t="shared" si="502"/>
        <v>0</v>
      </c>
      <c r="R1687">
        <f t="shared" si="503"/>
        <v>0</v>
      </c>
      <c r="S1687">
        <f t="shared" si="504"/>
        <v>0</v>
      </c>
      <c r="T1687">
        <f t="shared" si="505"/>
        <v>0</v>
      </c>
      <c r="U1687">
        <f t="shared" si="506"/>
        <v>0</v>
      </c>
      <c r="V1687">
        <f t="shared" si="507"/>
        <v>0</v>
      </c>
      <c r="W1687" t="s">
        <v>58</v>
      </c>
      <c r="X1687">
        <f t="shared" si="508"/>
        <v>0</v>
      </c>
      <c r="Y1687">
        <f t="shared" si="509"/>
        <v>1</v>
      </c>
      <c r="Z1687">
        <v>2</v>
      </c>
      <c r="AA1687">
        <f t="shared" si="510"/>
        <v>0.25</v>
      </c>
      <c r="AB1687" t="s">
        <v>40</v>
      </c>
      <c r="AC1687">
        <f t="shared" si="511"/>
        <v>1</v>
      </c>
      <c r="AD1687">
        <f t="shared" si="512"/>
        <v>0</v>
      </c>
      <c r="AE1687" t="s">
        <v>50</v>
      </c>
      <c r="AF1687">
        <f>IF(AE1687="website",1,0)</f>
        <v>0</v>
      </c>
    </row>
    <row r="1688" spans="1:32">
      <c r="A1688" t="s">
        <v>2339</v>
      </c>
      <c r="B1688" t="s">
        <v>33</v>
      </c>
      <c r="C1688" s="3">
        <f t="shared" si="494"/>
        <v>0</v>
      </c>
      <c r="D1688">
        <f t="shared" si="495"/>
        <v>1</v>
      </c>
      <c r="E1688" t="s">
        <v>1060</v>
      </c>
      <c r="F1688" t="s">
        <v>366</v>
      </c>
      <c r="G1688" s="1">
        <v>24607</v>
      </c>
      <c r="H1688" s="2">
        <f t="shared" ca="1" si="496"/>
        <v>59</v>
      </c>
      <c r="I1688" s="2">
        <f t="shared" ca="1" si="497"/>
        <v>0.48571428571428571</v>
      </c>
      <c r="J1688" t="s">
        <v>45</v>
      </c>
      <c r="K1688" t="s">
        <v>37</v>
      </c>
      <c r="L1688">
        <f t="shared" si="498"/>
        <v>1</v>
      </c>
      <c r="M1688">
        <f t="shared" si="499"/>
        <v>0</v>
      </c>
      <c r="N1688">
        <f t="shared" si="500"/>
        <v>0</v>
      </c>
      <c r="O1688" t="s">
        <v>38</v>
      </c>
      <c r="P1688">
        <f t="shared" si="501"/>
        <v>1</v>
      </c>
      <c r="Q1688">
        <f t="shared" si="502"/>
        <v>0</v>
      </c>
      <c r="R1688">
        <f t="shared" si="503"/>
        <v>0</v>
      </c>
      <c r="S1688">
        <f t="shared" si="504"/>
        <v>0</v>
      </c>
      <c r="T1688">
        <f t="shared" si="505"/>
        <v>0</v>
      </c>
      <c r="U1688">
        <f t="shared" si="506"/>
        <v>0</v>
      </c>
      <c r="V1688">
        <f t="shared" si="507"/>
        <v>0</v>
      </c>
      <c r="W1688" t="s">
        <v>39</v>
      </c>
      <c r="X1688">
        <f t="shared" si="508"/>
        <v>1</v>
      </c>
      <c r="Y1688">
        <f t="shared" si="509"/>
        <v>0</v>
      </c>
      <c r="Z1688">
        <v>4</v>
      </c>
      <c r="AA1688">
        <f t="shared" si="510"/>
        <v>0.75</v>
      </c>
      <c r="AB1688" t="s">
        <v>40</v>
      </c>
      <c r="AC1688">
        <f t="shared" si="511"/>
        <v>0</v>
      </c>
      <c r="AD1688">
        <f t="shared" si="512"/>
        <v>0</v>
      </c>
      <c r="AE1688" t="s">
        <v>41</v>
      </c>
      <c r="AF1688">
        <f>IF(AE1688="website",1,0)</f>
        <v>1</v>
      </c>
    </row>
    <row r="1689" spans="1:32">
      <c r="A1689" t="s">
        <v>2340</v>
      </c>
      <c r="B1689" t="s">
        <v>33</v>
      </c>
      <c r="C1689" s="3">
        <f t="shared" si="494"/>
        <v>0</v>
      </c>
      <c r="D1689">
        <f t="shared" si="495"/>
        <v>1</v>
      </c>
      <c r="E1689" t="s">
        <v>404</v>
      </c>
      <c r="F1689" t="s">
        <v>882</v>
      </c>
      <c r="G1689" s="1">
        <v>35183</v>
      </c>
      <c r="H1689" s="2">
        <f t="shared" ca="1" si="496"/>
        <v>30</v>
      </c>
      <c r="I1689" s="2">
        <f t="shared" ca="1" si="497"/>
        <v>7.1428571428571425E-2</v>
      </c>
      <c r="J1689" t="s">
        <v>36</v>
      </c>
      <c r="K1689" t="s">
        <v>37</v>
      </c>
      <c r="L1689">
        <f t="shared" si="498"/>
        <v>1</v>
      </c>
      <c r="M1689">
        <f t="shared" si="499"/>
        <v>0</v>
      </c>
      <c r="N1689">
        <f t="shared" si="500"/>
        <v>0</v>
      </c>
      <c r="O1689" t="s">
        <v>76</v>
      </c>
      <c r="P1689">
        <f t="shared" si="501"/>
        <v>0</v>
      </c>
      <c r="Q1689">
        <f t="shared" si="502"/>
        <v>1</v>
      </c>
      <c r="R1689">
        <f t="shared" si="503"/>
        <v>0</v>
      </c>
      <c r="S1689">
        <f t="shared" si="504"/>
        <v>0</v>
      </c>
      <c r="T1689">
        <f t="shared" si="505"/>
        <v>0</v>
      </c>
      <c r="U1689">
        <f t="shared" si="506"/>
        <v>0</v>
      </c>
      <c r="V1689">
        <f t="shared" si="507"/>
        <v>0</v>
      </c>
      <c r="W1689" t="s">
        <v>39</v>
      </c>
      <c r="X1689">
        <f t="shared" si="508"/>
        <v>1</v>
      </c>
      <c r="Y1689">
        <f t="shared" si="509"/>
        <v>0</v>
      </c>
      <c r="Z1689">
        <v>5</v>
      </c>
      <c r="AA1689">
        <f t="shared" si="510"/>
        <v>1</v>
      </c>
      <c r="AB1689" t="s">
        <v>46</v>
      </c>
      <c r="AC1689">
        <f t="shared" si="511"/>
        <v>0</v>
      </c>
      <c r="AD1689">
        <f t="shared" si="512"/>
        <v>1</v>
      </c>
      <c r="AE1689" t="s">
        <v>90</v>
      </c>
      <c r="AF1689">
        <f>IF(AE1689="website",1,0)</f>
        <v>0</v>
      </c>
    </row>
    <row r="1690" spans="1:32">
      <c r="A1690" t="s">
        <v>2341</v>
      </c>
      <c r="B1690" t="s">
        <v>33</v>
      </c>
      <c r="C1690" s="3">
        <f t="shared" si="494"/>
        <v>0</v>
      </c>
      <c r="D1690">
        <f t="shared" si="495"/>
        <v>1</v>
      </c>
      <c r="E1690" t="s">
        <v>305</v>
      </c>
      <c r="F1690" t="s">
        <v>904</v>
      </c>
      <c r="G1690" s="1">
        <v>31073</v>
      </c>
      <c r="H1690" s="2">
        <f t="shared" ca="1" si="496"/>
        <v>41</v>
      </c>
      <c r="I1690" s="2">
        <f t="shared" ca="1" si="497"/>
        <v>0.22857142857142856</v>
      </c>
      <c r="J1690" t="s">
        <v>36</v>
      </c>
      <c r="K1690" t="s">
        <v>37</v>
      </c>
      <c r="L1690">
        <f t="shared" si="498"/>
        <v>1</v>
      </c>
      <c r="M1690">
        <f t="shared" si="499"/>
        <v>0</v>
      </c>
      <c r="N1690">
        <f t="shared" si="500"/>
        <v>0</v>
      </c>
      <c r="O1690" t="s">
        <v>76</v>
      </c>
      <c r="P1690">
        <f t="shared" si="501"/>
        <v>0</v>
      </c>
      <c r="Q1690">
        <f t="shared" si="502"/>
        <v>1</v>
      </c>
      <c r="R1690">
        <f t="shared" si="503"/>
        <v>0</v>
      </c>
      <c r="S1690">
        <f t="shared" si="504"/>
        <v>0</v>
      </c>
      <c r="T1690">
        <f t="shared" si="505"/>
        <v>0</v>
      </c>
      <c r="U1690">
        <f t="shared" si="506"/>
        <v>0</v>
      </c>
      <c r="V1690">
        <f t="shared" si="507"/>
        <v>0</v>
      </c>
      <c r="W1690" t="s">
        <v>58</v>
      </c>
      <c r="X1690">
        <f t="shared" si="508"/>
        <v>0</v>
      </c>
      <c r="Y1690">
        <f t="shared" si="509"/>
        <v>1</v>
      </c>
      <c r="Z1690">
        <v>1</v>
      </c>
      <c r="AA1690">
        <f t="shared" si="510"/>
        <v>0</v>
      </c>
      <c r="AB1690" t="s">
        <v>40</v>
      </c>
      <c r="AC1690">
        <f t="shared" si="511"/>
        <v>0</v>
      </c>
      <c r="AD1690">
        <f t="shared" si="512"/>
        <v>1</v>
      </c>
      <c r="AE1690" t="s">
        <v>90</v>
      </c>
      <c r="AF1690">
        <f>IF(AE1690="website",1,0)</f>
        <v>0</v>
      </c>
    </row>
    <row r="1691" spans="1:32">
      <c r="A1691" t="s">
        <v>2342</v>
      </c>
      <c r="B1691" t="s">
        <v>33</v>
      </c>
      <c r="C1691" s="3">
        <f t="shared" si="494"/>
        <v>0</v>
      </c>
      <c r="D1691">
        <f t="shared" si="495"/>
        <v>1</v>
      </c>
      <c r="E1691" t="s">
        <v>329</v>
      </c>
      <c r="F1691" t="s">
        <v>610</v>
      </c>
      <c r="G1691" s="1">
        <v>18858</v>
      </c>
      <c r="H1691" s="2">
        <f t="shared" ca="1" si="496"/>
        <v>75</v>
      </c>
      <c r="I1691" s="2">
        <f t="shared" ca="1" si="497"/>
        <v>0.7142857142857143</v>
      </c>
      <c r="J1691" t="s">
        <v>45</v>
      </c>
      <c r="K1691" t="s">
        <v>276</v>
      </c>
      <c r="L1691">
        <f t="shared" si="498"/>
        <v>0</v>
      </c>
      <c r="M1691">
        <f t="shared" si="499"/>
        <v>0</v>
      </c>
      <c r="N1691">
        <f t="shared" si="500"/>
        <v>0</v>
      </c>
      <c r="O1691" t="s">
        <v>1173</v>
      </c>
      <c r="P1691">
        <f t="shared" si="501"/>
        <v>0</v>
      </c>
      <c r="Q1691">
        <f t="shared" si="502"/>
        <v>0</v>
      </c>
      <c r="R1691">
        <f t="shared" si="503"/>
        <v>0</v>
      </c>
      <c r="S1691">
        <f t="shared" si="504"/>
        <v>0</v>
      </c>
      <c r="T1691">
        <f t="shared" si="505"/>
        <v>0</v>
      </c>
      <c r="U1691">
        <f t="shared" si="506"/>
        <v>0</v>
      </c>
      <c r="V1691">
        <f t="shared" si="507"/>
        <v>0</v>
      </c>
      <c r="W1691" t="s">
        <v>39</v>
      </c>
      <c r="X1691">
        <f t="shared" si="508"/>
        <v>1</v>
      </c>
      <c r="Y1691">
        <f t="shared" si="509"/>
        <v>0</v>
      </c>
      <c r="Z1691">
        <v>2</v>
      </c>
      <c r="AA1691">
        <f t="shared" si="510"/>
        <v>0.25</v>
      </c>
      <c r="AB1691" t="s">
        <v>40</v>
      </c>
      <c r="AC1691">
        <f t="shared" si="511"/>
        <v>1</v>
      </c>
      <c r="AD1691">
        <f t="shared" si="512"/>
        <v>0</v>
      </c>
      <c r="AE1691" t="s">
        <v>50</v>
      </c>
      <c r="AF1691">
        <f>IF(AE1691="website",1,0)</f>
        <v>0</v>
      </c>
    </row>
    <row r="1692" spans="1:32">
      <c r="A1692" t="s">
        <v>2343</v>
      </c>
      <c r="B1692" t="s">
        <v>33</v>
      </c>
      <c r="C1692" s="3">
        <f t="shared" si="494"/>
        <v>0</v>
      </c>
      <c r="D1692">
        <f t="shared" si="495"/>
        <v>1</v>
      </c>
      <c r="E1692" t="s">
        <v>1288</v>
      </c>
      <c r="F1692" t="s">
        <v>885</v>
      </c>
      <c r="G1692" s="1">
        <v>16886</v>
      </c>
      <c r="H1692" s="2">
        <f t="shared" ca="1" si="496"/>
        <v>80</v>
      </c>
      <c r="I1692" s="2">
        <f t="shared" ca="1" si="497"/>
        <v>0.7857142857142857</v>
      </c>
      <c r="J1692" t="s">
        <v>45</v>
      </c>
      <c r="K1692" t="s">
        <v>37</v>
      </c>
      <c r="L1692">
        <f t="shared" si="498"/>
        <v>1</v>
      </c>
      <c r="M1692">
        <f t="shared" si="499"/>
        <v>0</v>
      </c>
      <c r="N1692">
        <f t="shared" si="500"/>
        <v>0</v>
      </c>
      <c r="O1692" t="s">
        <v>97</v>
      </c>
      <c r="P1692">
        <f t="shared" si="501"/>
        <v>0</v>
      </c>
      <c r="Q1692">
        <f t="shared" si="502"/>
        <v>0</v>
      </c>
      <c r="R1692">
        <f t="shared" si="503"/>
        <v>0</v>
      </c>
      <c r="S1692">
        <f t="shared" si="504"/>
        <v>0</v>
      </c>
      <c r="T1692">
        <f t="shared" si="505"/>
        <v>1</v>
      </c>
      <c r="U1692">
        <f t="shared" si="506"/>
        <v>0</v>
      </c>
      <c r="V1692">
        <f t="shared" si="507"/>
        <v>0</v>
      </c>
      <c r="W1692" t="s">
        <v>39</v>
      </c>
      <c r="X1692">
        <f t="shared" si="508"/>
        <v>1</v>
      </c>
      <c r="Y1692">
        <f t="shared" si="509"/>
        <v>0</v>
      </c>
      <c r="Z1692">
        <v>5</v>
      </c>
      <c r="AA1692">
        <f t="shared" si="510"/>
        <v>1</v>
      </c>
      <c r="AB1692" t="s">
        <v>46</v>
      </c>
      <c r="AC1692">
        <f t="shared" si="511"/>
        <v>0</v>
      </c>
      <c r="AD1692">
        <f t="shared" si="512"/>
        <v>0</v>
      </c>
      <c r="AE1692" t="s">
        <v>41</v>
      </c>
      <c r="AF1692">
        <f>IF(AE1692="website",1,0)</f>
        <v>1</v>
      </c>
    </row>
    <row r="1693" spans="1:32">
      <c r="A1693" t="s">
        <v>2344</v>
      </c>
      <c r="B1693" t="s">
        <v>33</v>
      </c>
      <c r="C1693" s="3">
        <f t="shared" si="494"/>
        <v>0</v>
      </c>
      <c r="D1693">
        <f t="shared" si="495"/>
        <v>1</v>
      </c>
      <c r="E1693" t="s">
        <v>126</v>
      </c>
      <c r="F1693" t="s">
        <v>726</v>
      </c>
      <c r="G1693" s="1">
        <v>33305</v>
      </c>
      <c r="H1693" s="2">
        <f t="shared" ca="1" si="496"/>
        <v>35</v>
      </c>
      <c r="I1693" s="2">
        <f t="shared" ca="1" si="497"/>
        <v>0.14285714285714285</v>
      </c>
      <c r="J1693" t="s">
        <v>45</v>
      </c>
      <c r="K1693" t="s">
        <v>65</v>
      </c>
      <c r="L1693">
        <f t="shared" si="498"/>
        <v>0</v>
      </c>
      <c r="M1693">
        <f t="shared" si="499"/>
        <v>1</v>
      </c>
      <c r="N1693">
        <f t="shared" si="500"/>
        <v>0</v>
      </c>
      <c r="O1693" t="s">
        <v>686</v>
      </c>
      <c r="P1693">
        <f t="shared" si="501"/>
        <v>0</v>
      </c>
      <c r="Q1693">
        <f t="shared" si="502"/>
        <v>0</v>
      </c>
      <c r="R1693">
        <f t="shared" si="503"/>
        <v>0</v>
      </c>
      <c r="S1693">
        <f t="shared" si="504"/>
        <v>0</v>
      </c>
      <c r="T1693">
        <f t="shared" si="505"/>
        <v>0</v>
      </c>
      <c r="U1693">
        <f t="shared" si="506"/>
        <v>0</v>
      </c>
      <c r="V1693">
        <f t="shared" si="507"/>
        <v>0</v>
      </c>
      <c r="W1693" t="s">
        <v>39</v>
      </c>
      <c r="X1693">
        <f t="shared" si="508"/>
        <v>1</v>
      </c>
      <c r="Y1693">
        <f t="shared" si="509"/>
        <v>0</v>
      </c>
      <c r="Z1693">
        <v>5</v>
      </c>
      <c r="AA1693">
        <f t="shared" si="510"/>
        <v>1</v>
      </c>
      <c r="AB1693" t="s">
        <v>40</v>
      </c>
      <c r="AC1693">
        <f t="shared" si="511"/>
        <v>1</v>
      </c>
      <c r="AD1693">
        <f t="shared" si="512"/>
        <v>0</v>
      </c>
      <c r="AE1693" t="s">
        <v>50</v>
      </c>
      <c r="AF1693">
        <f>IF(AE1693="website",1,0)</f>
        <v>0</v>
      </c>
    </row>
    <row r="1694" spans="1:32">
      <c r="A1694" t="s">
        <v>2345</v>
      </c>
      <c r="B1694" t="s">
        <v>33</v>
      </c>
      <c r="C1694" s="3">
        <f t="shared" si="494"/>
        <v>0</v>
      </c>
      <c r="D1694">
        <f t="shared" si="495"/>
        <v>1</v>
      </c>
      <c r="E1694" t="s">
        <v>1307</v>
      </c>
      <c r="F1694" t="s">
        <v>430</v>
      </c>
      <c r="G1694" s="1">
        <v>33197</v>
      </c>
      <c r="H1694" s="2">
        <f t="shared" ca="1" si="496"/>
        <v>35</v>
      </c>
      <c r="I1694" s="2">
        <f t="shared" ca="1" si="497"/>
        <v>0.14285714285714285</v>
      </c>
      <c r="J1694" t="s">
        <v>45</v>
      </c>
      <c r="K1694" t="s">
        <v>153</v>
      </c>
      <c r="L1694">
        <f t="shared" si="498"/>
        <v>0</v>
      </c>
      <c r="M1694">
        <f t="shared" si="499"/>
        <v>0</v>
      </c>
      <c r="N1694">
        <f t="shared" si="500"/>
        <v>0</v>
      </c>
      <c r="O1694" t="s">
        <v>778</v>
      </c>
      <c r="P1694">
        <f t="shared" si="501"/>
        <v>0</v>
      </c>
      <c r="Q1694">
        <f t="shared" si="502"/>
        <v>0</v>
      </c>
      <c r="R1694">
        <f t="shared" si="503"/>
        <v>0</v>
      </c>
      <c r="S1694">
        <f t="shared" si="504"/>
        <v>0</v>
      </c>
      <c r="T1694">
        <f t="shared" si="505"/>
        <v>0</v>
      </c>
      <c r="U1694">
        <f t="shared" si="506"/>
        <v>0</v>
      </c>
      <c r="V1694">
        <f t="shared" si="507"/>
        <v>0</v>
      </c>
      <c r="W1694" t="s">
        <v>39</v>
      </c>
      <c r="X1694">
        <f t="shared" si="508"/>
        <v>1</v>
      </c>
      <c r="Y1694">
        <f t="shared" si="509"/>
        <v>0</v>
      </c>
      <c r="Z1694">
        <v>1</v>
      </c>
      <c r="AA1694">
        <f t="shared" si="510"/>
        <v>0</v>
      </c>
      <c r="AB1694" t="s">
        <v>46</v>
      </c>
      <c r="AC1694">
        <f t="shared" si="511"/>
        <v>0</v>
      </c>
      <c r="AD1694">
        <f t="shared" si="512"/>
        <v>0</v>
      </c>
      <c r="AE1694" t="s">
        <v>41</v>
      </c>
      <c r="AF1694">
        <f>IF(AE1694="website",1,0)</f>
        <v>1</v>
      </c>
    </row>
    <row r="1695" spans="1:32">
      <c r="A1695" t="s">
        <v>2346</v>
      </c>
      <c r="B1695" t="s">
        <v>33</v>
      </c>
      <c r="C1695" s="3">
        <f t="shared" si="494"/>
        <v>0</v>
      </c>
      <c r="D1695">
        <f t="shared" si="495"/>
        <v>1</v>
      </c>
      <c r="E1695" t="s">
        <v>800</v>
      </c>
      <c r="F1695" t="s">
        <v>674</v>
      </c>
      <c r="G1695" s="1">
        <v>21019</v>
      </c>
      <c r="H1695" s="2">
        <f t="shared" ca="1" si="496"/>
        <v>69</v>
      </c>
      <c r="I1695" s="2">
        <f t="shared" ca="1" si="497"/>
        <v>0.62857142857142856</v>
      </c>
      <c r="J1695" t="s">
        <v>36</v>
      </c>
      <c r="K1695" t="s">
        <v>37</v>
      </c>
      <c r="L1695">
        <f t="shared" si="498"/>
        <v>1</v>
      </c>
      <c r="M1695">
        <f t="shared" si="499"/>
        <v>0</v>
      </c>
      <c r="N1695">
        <f t="shared" si="500"/>
        <v>0</v>
      </c>
      <c r="O1695" t="s">
        <v>305</v>
      </c>
      <c r="P1695">
        <f t="shared" si="501"/>
        <v>0</v>
      </c>
      <c r="Q1695">
        <f t="shared" si="502"/>
        <v>0</v>
      </c>
      <c r="R1695">
        <f t="shared" si="503"/>
        <v>0</v>
      </c>
      <c r="S1695">
        <f t="shared" si="504"/>
        <v>0</v>
      </c>
      <c r="T1695">
        <f t="shared" si="505"/>
        <v>0</v>
      </c>
      <c r="U1695">
        <f t="shared" si="506"/>
        <v>0</v>
      </c>
      <c r="V1695">
        <f t="shared" si="507"/>
        <v>0</v>
      </c>
      <c r="W1695" t="s">
        <v>39</v>
      </c>
      <c r="X1695">
        <f t="shared" si="508"/>
        <v>1</v>
      </c>
      <c r="Y1695">
        <f t="shared" si="509"/>
        <v>0</v>
      </c>
      <c r="Z1695">
        <v>5</v>
      </c>
      <c r="AA1695">
        <f t="shared" si="510"/>
        <v>1</v>
      </c>
      <c r="AB1695" t="s">
        <v>46</v>
      </c>
      <c r="AC1695">
        <f t="shared" si="511"/>
        <v>1</v>
      </c>
      <c r="AD1695">
        <f t="shared" si="512"/>
        <v>0</v>
      </c>
      <c r="AE1695" t="s">
        <v>50</v>
      </c>
      <c r="AF1695">
        <f>IF(AE1695="website",1,0)</f>
        <v>0</v>
      </c>
    </row>
    <row r="1696" spans="1:32">
      <c r="A1696" t="s">
        <v>2347</v>
      </c>
      <c r="B1696" t="s">
        <v>33</v>
      </c>
      <c r="C1696" s="3">
        <f t="shared" si="494"/>
        <v>0</v>
      </c>
      <c r="D1696">
        <f t="shared" si="495"/>
        <v>1</v>
      </c>
      <c r="E1696" t="s">
        <v>1664</v>
      </c>
      <c r="F1696" t="s">
        <v>591</v>
      </c>
      <c r="G1696" s="1">
        <v>20436</v>
      </c>
      <c r="H1696" s="2">
        <f t="shared" ca="1" si="496"/>
        <v>70</v>
      </c>
      <c r="I1696" s="2">
        <f t="shared" ca="1" si="497"/>
        <v>0.6428571428571429</v>
      </c>
      <c r="J1696" t="s">
        <v>36</v>
      </c>
      <c r="K1696" t="s">
        <v>153</v>
      </c>
      <c r="L1696">
        <f t="shared" si="498"/>
        <v>0</v>
      </c>
      <c r="M1696">
        <f t="shared" si="499"/>
        <v>0</v>
      </c>
      <c r="N1696">
        <f t="shared" si="500"/>
        <v>0</v>
      </c>
      <c r="O1696" t="s">
        <v>778</v>
      </c>
      <c r="P1696">
        <f t="shared" si="501"/>
        <v>0</v>
      </c>
      <c r="Q1696">
        <f t="shared" si="502"/>
        <v>0</v>
      </c>
      <c r="R1696">
        <f t="shared" si="503"/>
        <v>0</v>
      </c>
      <c r="S1696">
        <f t="shared" si="504"/>
        <v>0</v>
      </c>
      <c r="T1696">
        <f t="shared" si="505"/>
        <v>0</v>
      </c>
      <c r="U1696">
        <f t="shared" si="506"/>
        <v>0</v>
      </c>
      <c r="V1696">
        <f t="shared" si="507"/>
        <v>0</v>
      </c>
      <c r="W1696" t="s">
        <v>39</v>
      </c>
      <c r="X1696">
        <f t="shared" si="508"/>
        <v>1</v>
      </c>
      <c r="Y1696">
        <f t="shared" si="509"/>
        <v>0</v>
      </c>
      <c r="Z1696">
        <v>5</v>
      </c>
      <c r="AA1696">
        <f t="shared" si="510"/>
        <v>1</v>
      </c>
      <c r="AB1696" t="s">
        <v>46</v>
      </c>
      <c r="AC1696">
        <f t="shared" si="511"/>
        <v>0</v>
      </c>
      <c r="AD1696">
        <f t="shared" si="512"/>
        <v>0</v>
      </c>
      <c r="AE1696" t="s">
        <v>41</v>
      </c>
      <c r="AF1696">
        <f>IF(AE1696="website",1,0)</f>
        <v>1</v>
      </c>
    </row>
    <row r="1697" spans="1:32">
      <c r="A1697" t="s">
        <v>2348</v>
      </c>
      <c r="B1697" t="s">
        <v>33</v>
      </c>
      <c r="C1697" s="3">
        <f t="shared" si="494"/>
        <v>0</v>
      </c>
      <c r="D1697">
        <f t="shared" si="495"/>
        <v>1</v>
      </c>
      <c r="E1697" t="s">
        <v>809</v>
      </c>
      <c r="F1697" t="s">
        <v>562</v>
      </c>
      <c r="G1697" s="1">
        <v>31828</v>
      </c>
      <c r="H1697" s="2">
        <f t="shared" ca="1" si="496"/>
        <v>39</v>
      </c>
      <c r="I1697" s="2">
        <f t="shared" ca="1" si="497"/>
        <v>0.2</v>
      </c>
      <c r="J1697" t="s">
        <v>36</v>
      </c>
      <c r="K1697" t="s">
        <v>37</v>
      </c>
      <c r="L1697">
        <f t="shared" si="498"/>
        <v>1</v>
      </c>
      <c r="M1697">
        <f t="shared" si="499"/>
        <v>0</v>
      </c>
      <c r="N1697">
        <f t="shared" si="500"/>
        <v>0</v>
      </c>
      <c r="O1697" t="s">
        <v>600</v>
      </c>
      <c r="P1697">
        <f t="shared" si="501"/>
        <v>0</v>
      </c>
      <c r="Q1697">
        <f t="shared" si="502"/>
        <v>0</v>
      </c>
      <c r="R1697">
        <f t="shared" si="503"/>
        <v>0</v>
      </c>
      <c r="S1697">
        <f t="shared" si="504"/>
        <v>0</v>
      </c>
      <c r="T1697">
        <f t="shared" si="505"/>
        <v>0</v>
      </c>
      <c r="U1697">
        <f t="shared" si="506"/>
        <v>0</v>
      </c>
      <c r="V1697">
        <f t="shared" si="507"/>
        <v>0</v>
      </c>
      <c r="W1697" t="s">
        <v>39</v>
      </c>
      <c r="X1697">
        <f t="shared" si="508"/>
        <v>1</v>
      </c>
      <c r="Y1697">
        <f t="shared" si="509"/>
        <v>0</v>
      </c>
      <c r="Z1697">
        <v>1</v>
      </c>
      <c r="AA1697">
        <f t="shared" si="510"/>
        <v>0</v>
      </c>
      <c r="AB1697" t="s">
        <v>46</v>
      </c>
      <c r="AC1697">
        <f t="shared" si="511"/>
        <v>0</v>
      </c>
      <c r="AD1697">
        <f t="shared" si="512"/>
        <v>0</v>
      </c>
      <c r="AE1697" t="s">
        <v>41</v>
      </c>
      <c r="AF1697">
        <f>IF(AE1697="website",1,0)</f>
        <v>1</v>
      </c>
    </row>
    <row r="1698" spans="1:32">
      <c r="A1698" t="s">
        <v>2349</v>
      </c>
      <c r="B1698" t="s">
        <v>33</v>
      </c>
      <c r="C1698" s="3">
        <f t="shared" si="494"/>
        <v>0</v>
      </c>
      <c r="D1698">
        <f t="shared" si="495"/>
        <v>1</v>
      </c>
      <c r="E1698" t="s">
        <v>847</v>
      </c>
      <c r="F1698" t="s">
        <v>247</v>
      </c>
      <c r="G1698" s="1">
        <v>29440</v>
      </c>
      <c r="H1698" s="2">
        <f t="shared" ca="1" si="496"/>
        <v>46</v>
      </c>
      <c r="I1698" s="2">
        <f t="shared" ca="1" si="497"/>
        <v>0.3</v>
      </c>
      <c r="J1698" t="s">
        <v>36</v>
      </c>
      <c r="K1698" t="s">
        <v>153</v>
      </c>
      <c r="L1698">
        <f t="shared" si="498"/>
        <v>0</v>
      </c>
      <c r="M1698">
        <f t="shared" si="499"/>
        <v>0</v>
      </c>
      <c r="N1698">
        <f t="shared" si="500"/>
        <v>0</v>
      </c>
      <c r="O1698" t="s">
        <v>154</v>
      </c>
      <c r="P1698">
        <f t="shared" si="501"/>
        <v>0</v>
      </c>
      <c r="Q1698">
        <f t="shared" si="502"/>
        <v>0</v>
      </c>
      <c r="R1698">
        <f t="shared" si="503"/>
        <v>0</v>
      </c>
      <c r="S1698">
        <f t="shared" si="504"/>
        <v>0</v>
      </c>
      <c r="T1698">
        <f t="shared" si="505"/>
        <v>0</v>
      </c>
      <c r="U1698">
        <f t="shared" si="506"/>
        <v>0</v>
      </c>
      <c r="V1698">
        <f t="shared" si="507"/>
        <v>0</v>
      </c>
      <c r="W1698" t="s">
        <v>39</v>
      </c>
      <c r="X1698">
        <f t="shared" si="508"/>
        <v>1</v>
      </c>
      <c r="Y1698">
        <f t="shared" si="509"/>
        <v>0</v>
      </c>
      <c r="Z1698">
        <v>2</v>
      </c>
      <c r="AA1698">
        <f t="shared" si="510"/>
        <v>0.25</v>
      </c>
      <c r="AB1698" t="s">
        <v>46</v>
      </c>
      <c r="AC1698">
        <f t="shared" si="511"/>
        <v>0</v>
      </c>
      <c r="AD1698">
        <f t="shared" si="512"/>
        <v>1</v>
      </c>
      <c r="AE1698" t="s">
        <v>90</v>
      </c>
      <c r="AF1698">
        <f>IF(AE1698="website",1,0)</f>
        <v>0</v>
      </c>
    </row>
    <row r="1699" spans="1:32">
      <c r="A1699" t="s">
        <v>2350</v>
      </c>
      <c r="B1699" t="s">
        <v>33</v>
      </c>
      <c r="C1699" s="3">
        <f t="shared" si="494"/>
        <v>0</v>
      </c>
      <c r="D1699">
        <f t="shared" si="495"/>
        <v>1</v>
      </c>
      <c r="E1699" t="s">
        <v>842</v>
      </c>
      <c r="F1699" t="s">
        <v>691</v>
      </c>
      <c r="G1699" s="1">
        <v>18602</v>
      </c>
      <c r="H1699" s="2">
        <f t="shared" ca="1" si="496"/>
        <v>75</v>
      </c>
      <c r="I1699" s="2">
        <f t="shared" ca="1" si="497"/>
        <v>0.7142857142857143</v>
      </c>
      <c r="J1699" t="s">
        <v>45</v>
      </c>
      <c r="K1699" t="s">
        <v>248</v>
      </c>
      <c r="L1699">
        <f t="shared" si="498"/>
        <v>0</v>
      </c>
      <c r="M1699">
        <f t="shared" si="499"/>
        <v>0</v>
      </c>
      <c r="N1699">
        <f t="shared" si="500"/>
        <v>0</v>
      </c>
      <c r="O1699" t="s">
        <v>249</v>
      </c>
      <c r="P1699">
        <f t="shared" si="501"/>
        <v>0</v>
      </c>
      <c r="Q1699">
        <f t="shared" si="502"/>
        <v>0</v>
      </c>
      <c r="R1699">
        <f t="shared" si="503"/>
        <v>0</v>
      </c>
      <c r="S1699">
        <f t="shared" si="504"/>
        <v>0</v>
      </c>
      <c r="T1699">
        <f t="shared" si="505"/>
        <v>0</v>
      </c>
      <c r="U1699">
        <f t="shared" si="506"/>
        <v>0</v>
      </c>
      <c r="V1699">
        <f t="shared" si="507"/>
        <v>0</v>
      </c>
      <c r="W1699" t="s">
        <v>39</v>
      </c>
      <c r="X1699">
        <f t="shared" si="508"/>
        <v>1</v>
      </c>
      <c r="Y1699">
        <f t="shared" si="509"/>
        <v>0</v>
      </c>
      <c r="Z1699">
        <v>4</v>
      </c>
      <c r="AA1699">
        <f t="shared" si="510"/>
        <v>0.75</v>
      </c>
      <c r="AB1699" t="s">
        <v>40</v>
      </c>
      <c r="AC1699">
        <f t="shared" si="511"/>
        <v>0</v>
      </c>
      <c r="AD1699">
        <f t="shared" si="512"/>
        <v>0</v>
      </c>
      <c r="AE1699" t="s">
        <v>41</v>
      </c>
      <c r="AF1699">
        <f>IF(AE1699="website",1,0)</f>
        <v>1</v>
      </c>
    </row>
    <row r="1700" spans="1:32">
      <c r="A1700" t="s">
        <v>2351</v>
      </c>
      <c r="B1700" t="s">
        <v>33</v>
      </c>
      <c r="C1700" s="3">
        <f t="shared" si="494"/>
        <v>0</v>
      </c>
      <c r="D1700">
        <f t="shared" si="495"/>
        <v>1</v>
      </c>
      <c r="E1700" t="s">
        <v>598</v>
      </c>
      <c r="F1700" t="s">
        <v>685</v>
      </c>
      <c r="G1700" s="1">
        <v>25399</v>
      </c>
      <c r="H1700" s="2">
        <f t="shared" ca="1" si="496"/>
        <v>57</v>
      </c>
      <c r="I1700" s="2">
        <f t="shared" ca="1" si="497"/>
        <v>0.45714285714285713</v>
      </c>
      <c r="J1700" t="s">
        <v>45</v>
      </c>
      <c r="K1700" t="s">
        <v>819</v>
      </c>
      <c r="L1700">
        <f t="shared" si="498"/>
        <v>0</v>
      </c>
      <c r="M1700">
        <f t="shared" si="499"/>
        <v>0</v>
      </c>
      <c r="N1700">
        <f t="shared" si="500"/>
        <v>0</v>
      </c>
      <c r="O1700" t="s">
        <v>1562</v>
      </c>
      <c r="P1700">
        <f t="shared" si="501"/>
        <v>0</v>
      </c>
      <c r="Q1700">
        <f t="shared" si="502"/>
        <v>0</v>
      </c>
      <c r="R1700">
        <f t="shared" si="503"/>
        <v>0</v>
      </c>
      <c r="S1700">
        <f t="shared" si="504"/>
        <v>0</v>
      </c>
      <c r="T1700">
        <f t="shared" si="505"/>
        <v>0</v>
      </c>
      <c r="U1700">
        <f t="shared" si="506"/>
        <v>0</v>
      </c>
      <c r="V1700">
        <f t="shared" si="507"/>
        <v>0</v>
      </c>
      <c r="W1700" t="s">
        <v>39</v>
      </c>
      <c r="X1700">
        <f t="shared" si="508"/>
        <v>1</v>
      </c>
      <c r="Y1700">
        <f t="shared" si="509"/>
        <v>0</v>
      </c>
      <c r="Z1700">
        <v>3</v>
      </c>
      <c r="AA1700">
        <f t="shared" si="510"/>
        <v>0.5</v>
      </c>
      <c r="AB1700" t="s">
        <v>40</v>
      </c>
      <c r="AC1700">
        <f t="shared" si="511"/>
        <v>1</v>
      </c>
      <c r="AD1700">
        <f t="shared" si="512"/>
        <v>0</v>
      </c>
      <c r="AE1700" t="s">
        <v>50</v>
      </c>
      <c r="AF1700">
        <f>IF(AE1700="website",1,0)</f>
        <v>0</v>
      </c>
    </row>
    <row r="1701" spans="1:32">
      <c r="A1701" t="s">
        <v>2352</v>
      </c>
      <c r="B1701" t="s">
        <v>33</v>
      </c>
      <c r="C1701" s="3">
        <f t="shared" si="494"/>
        <v>0</v>
      </c>
      <c r="D1701">
        <f t="shared" si="495"/>
        <v>1</v>
      </c>
      <c r="E1701" t="s">
        <v>596</v>
      </c>
      <c r="F1701" t="s">
        <v>796</v>
      </c>
      <c r="G1701" s="1">
        <v>16014</v>
      </c>
      <c r="H1701" s="2">
        <f t="shared" ca="1" si="496"/>
        <v>82</v>
      </c>
      <c r="I1701" s="2">
        <f t="shared" ca="1" si="497"/>
        <v>0.81428571428571428</v>
      </c>
      <c r="J1701" t="s">
        <v>45</v>
      </c>
      <c r="K1701" t="s">
        <v>37</v>
      </c>
      <c r="L1701">
        <f t="shared" si="498"/>
        <v>1</v>
      </c>
      <c r="M1701">
        <f t="shared" si="499"/>
        <v>0</v>
      </c>
      <c r="N1701">
        <f t="shared" si="500"/>
        <v>0</v>
      </c>
      <c r="O1701" t="s">
        <v>124</v>
      </c>
      <c r="P1701">
        <f t="shared" si="501"/>
        <v>0</v>
      </c>
      <c r="Q1701">
        <f t="shared" si="502"/>
        <v>0</v>
      </c>
      <c r="R1701">
        <f t="shared" si="503"/>
        <v>0</v>
      </c>
      <c r="S1701">
        <f t="shared" si="504"/>
        <v>0</v>
      </c>
      <c r="T1701">
        <f t="shared" si="505"/>
        <v>0</v>
      </c>
      <c r="U1701">
        <f t="shared" si="506"/>
        <v>1</v>
      </c>
      <c r="V1701">
        <f t="shared" si="507"/>
        <v>0</v>
      </c>
      <c r="W1701" t="s">
        <v>39</v>
      </c>
      <c r="X1701">
        <f t="shared" si="508"/>
        <v>1</v>
      </c>
      <c r="Y1701">
        <f t="shared" si="509"/>
        <v>0</v>
      </c>
      <c r="Z1701">
        <v>3</v>
      </c>
      <c r="AA1701">
        <f t="shared" si="510"/>
        <v>0.5</v>
      </c>
      <c r="AB1701" t="s">
        <v>46</v>
      </c>
      <c r="AC1701">
        <f t="shared" si="511"/>
        <v>0</v>
      </c>
      <c r="AD1701">
        <f t="shared" si="512"/>
        <v>0</v>
      </c>
      <c r="AE1701" t="s">
        <v>41</v>
      </c>
      <c r="AF1701">
        <f>IF(AE1701="website",1,0)</f>
        <v>1</v>
      </c>
    </row>
    <row r="1702" spans="1:32">
      <c r="A1702" t="s">
        <v>2353</v>
      </c>
      <c r="B1702" t="s">
        <v>33</v>
      </c>
      <c r="C1702" s="3">
        <f t="shared" si="494"/>
        <v>0</v>
      </c>
      <c r="D1702">
        <f t="shared" si="495"/>
        <v>1</v>
      </c>
      <c r="E1702" t="s">
        <v>615</v>
      </c>
      <c r="F1702" t="s">
        <v>748</v>
      </c>
      <c r="G1702" s="1">
        <v>30129</v>
      </c>
      <c r="H1702" s="2">
        <f t="shared" ca="1" si="496"/>
        <v>44</v>
      </c>
      <c r="I1702" s="2">
        <f t="shared" ca="1" si="497"/>
        <v>0.27142857142857141</v>
      </c>
      <c r="J1702" t="s">
        <v>36</v>
      </c>
      <c r="K1702" t="s">
        <v>37</v>
      </c>
      <c r="L1702">
        <f t="shared" si="498"/>
        <v>1</v>
      </c>
      <c r="M1702">
        <f t="shared" si="499"/>
        <v>0</v>
      </c>
      <c r="N1702">
        <f t="shared" si="500"/>
        <v>0</v>
      </c>
      <c r="O1702" t="s">
        <v>97</v>
      </c>
      <c r="P1702">
        <f t="shared" si="501"/>
        <v>0</v>
      </c>
      <c r="Q1702">
        <f t="shared" si="502"/>
        <v>0</v>
      </c>
      <c r="R1702">
        <f t="shared" si="503"/>
        <v>0</v>
      </c>
      <c r="S1702">
        <f t="shared" si="504"/>
        <v>0</v>
      </c>
      <c r="T1702">
        <f t="shared" si="505"/>
        <v>1</v>
      </c>
      <c r="U1702">
        <f t="shared" si="506"/>
        <v>0</v>
      </c>
      <c r="V1702">
        <f t="shared" si="507"/>
        <v>0</v>
      </c>
      <c r="W1702" t="s">
        <v>39</v>
      </c>
      <c r="X1702">
        <f t="shared" si="508"/>
        <v>1</v>
      </c>
      <c r="Y1702">
        <f t="shared" si="509"/>
        <v>0</v>
      </c>
      <c r="Z1702">
        <v>1</v>
      </c>
      <c r="AA1702">
        <f t="shared" si="510"/>
        <v>0</v>
      </c>
      <c r="AB1702" t="s">
        <v>46</v>
      </c>
      <c r="AC1702">
        <f t="shared" si="511"/>
        <v>0</v>
      </c>
      <c r="AD1702">
        <f t="shared" si="512"/>
        <v>0</v>
      </c>
      <c r="AE1702" t="s">
        <v>41</v>
      </c>
      <c r="AF1702">
        <f>IF(AE1702="website",1,0)</f>
        <v>1</v>
      </c>
    </row>
    <row r="1703" spans="1:32">
      <c r="A1703" t="s">
        <v>2354</v>
      </c>
      <c r="B1703" t="s">
        <v>33</v>
      </c>
      <c r="C1703" s="3">
        <f t="shared" si="494"/>
        <v>0</v>
      </c>
      <c r="D1703">
        <f t="shared" si="495"/>
        <v>1</v>
      </c>
      <c r="E1703" t="s">
        <v>344</v>
      </c>
      <c r="F1703" t="s">
        <v>576</v>
      </c>
      <c r="G1703" s="1">
        <v>32877</v>
      </c>
      <c r="H1703" s="2">
        <f t="shared" ca="1" si="496"/>
        <v>36</v>
      </c>
      <c r="I1703" s="2">
        <f t="shared" ca="1" si="497"/>
        <v>0.15714285714285714</v>
      </c>
      <c r="J1703" t="s">
        <v>45</v>
      </c>
      <c r="K1703" t="s">
        <v>37</v>
      </c>
      <c r="L1703">
        <f t="shared" si="498"/>
        <v>1</v>
      </c>
      <c r="M1703">
        <f t="shared" si="499"/>
        <v>0</v>
      </c>
      <c r="N1703">
        <f t="shared" si="500"/>
        <v>0</v>
      </c>
      <c r="O1703" t="s">
        <v>565</v>
      </c>
      <c r="P1703">
        <f t="shared" si="501"/>
        <v>0</v>
      </c>
      <c r="Q1703">
        <f t="shared" si="502"/>
        <v>0</v>
      </c>
      <c r="R1703">
        <f t="shared" si="503"/>
        <v>0</v>
      </c>
      <c r="S1703">
        <f t="shared" si="504"/>
        <v>0</v>
      </c>
      <c r="T1703">
        <f t="shared" si="505"/>
        <v>0</v>
      </c>
      <c r="U1703">
        <f t="shared" si="506"/>
        <v>0</v>
      </c>
      <c r="V1703">
        <f t="shared" si="507"/>
        <v>0</v>
      </c>
      <c r="W1703" t="s">
        <v>58</v>
      </c>
      <c r="X1703">
        <f t="shared" si="508"/>
        <v>0</v>
      </c>
      <c r="Y1703">
        <f t="shared" si="509"/>
        <v>1</v>
      </c>
      <c r="Z1703">
        <v>5</v>
      </c>
      <c r="AA1703">
        <f t="shared" si="510"/>
        <v>1</v>
      </c>
      <c r="AB1703" t="s">
        <v>40</v>
      </c>
      <c r="AC1703">
        <f t="shared" si="511"/>
        <v>0</v>
      </c>
      <c r="AD1703">
        <f t="shared" si="512"/>
        <v>0</v>
      </c>
      <c r="AE1703" t="s">
        <v>41</v>
      </c>
      <c r="AF1703">
        <f>IF(AE1703="website",1,0)</f>
        <v>1</v>
      </c>
    </row>
    <row r="1704" spans="1:32">
      <c r="A1704" t="s">
        <v>2355</v>
      </c>
      <c r="B1704" t="s">
        <v>33</v>
      </c>
      <c r="C1704" s="3">
        <f t="shared" si="494"/>
        <v>0</v>
      </c>
      <c r="D1704">
        <f t="shared" si="495"/>
        <v>1</v>
      </c>
      <c r="E1704" t="s">
        <v>722</v>
      </c>
      <c r="F1704" t="s">
        <v>856</v>
      </c>
      <c r="G1704" s="1">
        <v>36385</v>
      </c>
      <c r="H1704" s="2">
        <f t="shared" ca="1" si="496"/>
        <v>27</v>
      </c>
      <c r="I1704" s="2">
        <f t="shared" ca="1" si="497"/>
        <v>2.8571428571428571E-2</v>
      </c>
      <c r="J1704" t="s">
        <v>45</v>
      </c>
      <c r="K1704" t="s">
        <v>37</v>
      </c>
      <c r="L1704">
        <f t="shared" si="498"/>
        <v>1</v>
      </c>
      <c r="M1704">
        <f t="shared" si="499"/>
        <v>0</v>
      </c>
      <c r="N1704">
        <f t="shared" si="500"/>
        <v>0</v>
      </c>
      <c r="O1704" t="s">
        <v>592</v>
      </c>
      <c r="P1704">
        <f t="shared" si="501"/>
        <v>0</v>
      </c>
      <c r="Q1704">
        <f t="shared" si="502"/>
        <v>0</v>
      </c>
      <c r="R1704">
        <f t="shared" si="503"/>
        <v>0</v>
      </c>
      <c r="S1704">
        <f t="shared" si="504"/>
        <v>0</v>
      </c>
      <c r="T1704">
        <f t="shared" si="505"/>
        <v>0</v>
      </c>
      <c r="U1704">
        <f t="shared" si="506"/>
        <v>0</v>
      </c>
      <c r="V1704">
        <f t="shared" si="507"/>
        <v>0</v>
      </c>
      <c r="W1704" t="s">
        <v>58</v>
      </c>
      <c r="X1704">
        <f t="shared" si="508"/>
        <v>0</v>
      </c>
      <c r="Y1704">
        <f t="shared" si="509"/>
        <v>1</v>
      </c>
      <c r="Z1704">
        <v>4</v>
      </c>
      <c r="AA1704">
        <f t="shared" si="510"/>
        <v>0.75</v>
      </c>
      <c r="AB1704" t="s">
        <v>46</v>
      </c>
      <c r="AC1704">
        <f t="shared" si="511"/>
        <v>1</v>
      </c>
      <c r="AD1704">
        <f t="shared" si="512"/>
        <v>0</v>
      </c>
      <c r="AE1704" t="s">
        <v>50</v>
      </c>
      <c r="AF1704">
        <f>IF(AE1704="website",1,0)</f>
        <v>0</v>
      </c>
    </row>
    <row r="1705" spans="1:32">
      <c r="A1705" t="s">
        <v>2356</v>
      </c>
      <c r="B1705" t="s">
        <v>33</v>
      </c>
      <c r="C1705" s="3">
        <f t="shared" si="494"/>
        <v>0</v>
      </c>
      <c r="D1705">
        <f t="shared" si="495"/>
        <v>1</v>
      </c>
      <c r="E1705" t="s">
        <v>811</v>
      </c>
      <c r="F1705" t="s">
        <v>882</v>
      </c>
      <c r="G1705" s="1">
        <v>23057</v>
      </c>
      <c r="H1705" s="2">
        <f t="shared" ca="1" si="496"/>
        <v>63</v>
      </c>
      <c r="I1705" s="2">
        <f t="shared" ca="1" si="497"/>
        <v>0.54285714285714282</v>
      </c>
      <c r="J1705" t="s">
        <v>36</v>
      </c>
      <c r="K1705" t="s">
        <v>276</v>
      </c>
      <c r="L1705">
        <f t="shared" si="498"/>
        <v>0</v>
      </c>
      <c r="M1705">
        <f t="shared" si="499"/>
        <v>0</v>
      </c>
      <c r="N1705">
        <f t="shared" si="500"/>
        <v>0</v>
      </c>
      <c r="O1705" t="s">
        <v>277</v>
      </c>
      <c r="P1705">
        <f t="shared" si="501"/>
        <v>0</v>
      </c>
      <c r="Q1705">
        <f t="shared" si="502"/>
        <v>0</v>
      </c>
      <c r="R1705">
        <f t="shared" si="503"/>
        <v>0</v>
      </c>
      <c r="S1705">
        <f t="shared" si="504"/>
        <v>0</v>
      </c>
      <c r="T1705">
        <f t="shared" si="505"/>
        <v>0</v>
      </c>
      <c r="U1705">
        <f t="shared" si="506"/>
        <v>0</v>
      </c>
      <c r="V1705">
        <f t="shared" si="507"/>
        <v>0</v>
      </c>
      <c r="W1705" t="s">
        <v>39</v>
      </c>
      <c r="X1705">
        <f t="shared" si="508"/>
        <v>1</v>
      </c>
      <c r="Y1705">
        <f t="shared" si="509"/>
        <v>0</v>
      </c>
      <c r="Z1705">
        <v>4</v>
      </c>
      <c r="AA1705">
        <f t="shared" si="510"/>
        <v>0.75</v>
      </c>
      <c r="AB1705" t="s">
        <v>46</v>
      </c>
      <c r="AC1705">
        <f t="shared" si="511"/>
        <v>1</v>
      </c>
      <c r="AD1705">
        <f t="shared" si="512"/>
        <v>0</v>
      </c>
      <c r="AE1705" t="s">
        <v>50</v>
      </c>
      <c r="AF1705">
        <f>IF(AE1705="website",1,0)</f>
        <v>0</v>
      </c>
    </row>
    <row r="1706" spans="1:32">
      <c r="A1706" t="s">
        <v>2357</v>
      </c>
      <c r="B1706" t="s">
        <v>33</v>
      </c>
      <c r="C1706" s="3">
        <f t="shared" si="494"/>
        <v>0</v>
      </c>
      <c r="D1706">
        <f t="shared" si="495"/>
        <v>1</v>
      </c>
      <c r="E1706" t="s">
        <v>719</v>
      </c>
      <c r="F1706" t="s">
        <v>339</v>
      </c>
      <c r="G1706" s="1">
        <v>29182</v>
      </c>
      <c r="H1706" s="2">
        <f t="shared" ca="1" si="496"/>
        <v>46</v>
      </c>
      <c r="I1706" s="2">
        <f t="shared" ca="1" si="497"/>
        <v>0.3</v>
      </c>
      <c r="J1706" t="s">
        <v>45</v>
      </c>
      <c r="K1706" t="s">
        <v>37</v>
      </c>
      <c r="L1706">
        <f t="shared" si="498"/>
        <v>1</v>
      </c>
      <c r="M1706">
        <f t="shared" si="499"/>
        <v>0</v>
      </c>
      <c r="N1706">
        <f t="shared" si="500"/>
        <v>0</v>
      </c>
      <c r="O1706" t="s">
        <v>305</v>
      </c>
      <c r="P1706">
        <f t="shared" si="501"/>
        <v>0</v>
      </c>
      <c r="Q1706">
        <f t="shared" si="502"/>
        <v>0</v>
      </c>
      <c r="R1706">
        <f t="shared" si="503"/>
        <v>0</v>
      </c>
      <c r="S1706">
        <f t="shared" si="504"/>
        <v>0</v>
      </c>
      <c r="T1706">
        <f t="shared" si="505"/>
        <v>0</v>
      </c>
      <c r="U1706">
        <f t="shared" si="506"/>
        <v>0</v>
      </c>
      <c r="V1706">
        <f t="shared" si="507"/>
        <v>0</v>
      </c>
      <c r="W1706" t="s">
        <v>58</v>
      </c>
      <c r="X1706">
        <f t="shared" si="508"/>
        <v>0</v>
      </c>
      <c r="Y1706">
        <f t="shared" si="509"/>
        <v>1</v>
      </c>
      <c r="Z1706">
        <v>3</v>
      </c>
      <c r="AA1706">
        <f t="shared" si="510"/>
        <v>0.5</v>
      </c>
      <c r="AB1706" t="s">
        <v>40</v>
      </c>
      <c r="AC1706">
        <f t="shared" si="511"/>
        <v>0</v>
      </c>
      <c r="AD1706">
        <f t="shared" si="512"/>
        <v>0</v>
      </c>
      <c r="AE1706" t="s">
        <v>41</v>
      </c>
      <c r="AF1706">
        <f>IF(AE1706="website",1,0)</f>
        <v>1</v>
      </c>
    </row>
    <row r="1707" spans="1:32">
      <c r="A1707" t="s">
        <v>2358</v>
      </c>
      <c r="B1707" t="s">
        <v>33</v>
      </c>
      <c r="C1707" s="3">
        <f t="shared" si="494"/>
        <v>0</v>
      </c>
      <c r="D1707">
        <f t="shared" si="495"/>
        <v>1</v>
      </c>
      <c r="E1707" t="s">
        <v>546</v>
      </c>
      <c r="F1707" t="s">
        <v>700</v>
      </c>
      <c r="G1707" s="1">
        <v>27893</v>
      </c>
      <c r="H1707" s="2">
        <f t="shared" ca="1" si="496"/>
        <v>50</v>
      </c>
      <c r="I1707" s="2">
        <f t="shared" ca="1" si="497"/>
        <v>0.35714285714285715</v>
      </c>
      <c r="J1707" t="s">
        <v>45</v>
      </c>
      <c r="K1707" t="s">
        <v>37</v>
      </c>
      <c r="L1707">
        <f t="shared" si="498"/>
        <v>1</v>
      </c>
      <c r="M1707">
        <f t="shared" si="499"/>
        <v>0</v>
      </c>
      <c r="N1707">
        <f t="shared" si="500"/>
        <v>0</v>
      </c>
      <c r="O1707" t="s">
        <v>38</v>
      </c>
      <c r="P1707">
        <f t="shared" si="501"/>
        <v>1</v>
      </c>
      <c r="Q1707">
        <f t="shared" si="502"/>
        <v>0</v>
      </c>
      <c r="R1707">
        <f t="shared" si="503"/>
        <v>0</v>
      </c>
      <c r="S1707">
        <f t="shared" si="504"/>
        <v>0</v>
      </c>
      <c r="T1707">
        <f t="shared" si="505"/>
        <v>0</v>
      </c>
      <c r="U1707">
        <f t="shared" si="506"/>
        <v>0</v>
      </c>
      <c r="V1707">
        <f t="shared" si="507"/>
        <v>0</v>
      </c>
      <c r="W1707" t="s">
        <v>39</v>
      </c>
      <c r="X1707">
        <f t="shared" si="508"/>
        <v>1</v>
      </c>
      <c r="Y1707">
        <f t="shared" si="509"/>
        <v>0</v>
      </c>
      <c r="Z1707">
        <v>3</v>
      </c>
      <c r="AA1707">
        <f t="shared" si="510"/>
        <v>0.5</v>
      </c>
      <c r="AB1707" t="s">
        <v>40</v>
      </c>
      <c r="AC1707">
        <f t="shared" si="511"/>
        <v>0</v>
      </c>
      <c r="AD1707">
        <f t="shared" si="512"/>
        <v>0</v>
      </c>
      <c r="AE1707" t="s">
        <v>41</v>
      </c>
      <c r="AF1707">
        <f>IF(AE1707="website",1,0)</f>
        <v>1</v>
      </c>
    </row>
    <row r="1708" spans="1:32">
      <c r="A1708" t="s">
        <v>2359</v>
      </c>
      <c r="B1708" t="s">
        <v>33</v>
      </c>
      <c r="C1708" s="3">
        <f t="shared" si="494"/>
        <v>0</v>
      </c>
      <c r="D1708">
        <f t="shared" si="495"/>
        <v>1</v>
      </c>
      <c r="E1708" t="s">
        <v>1070</v>
      </c>
      <c r="F1708" t="s">
        <v>720</v>
      </c>
      <c r="G1708" s="1">
        <v>26926</v>
      </c>
      <c r="H1708" s="2">
        <f t="shared" ca="1" si="496"/>
        <v>53</v>
      </c>
      <c r="I1708" s="2">
        <f t="shared" ca="1" si="497"/>
        <v>0.4</v>
      </c>
      <c r="J1708" t="s">
        <v>45</v>
      </c>
      <c r="K1708" t="s">
        <v>37</v>
      </c>
      <c r="L1708">
        <f t="shared" si="498"/>
        <v>1</v>
      </c>
      <c r="M1708">
        <f t="shared" si="499"/>
        <v>0</v>
      </c>
      <c r="N1708">
        <f t="shared" si="500"/>
        <v>0</v>
      </c>
      <c r="O1708" t="s">
        <v>785</v>
      </c>
      <c r="P1708">
        <f t="shared" si="501"/>
        <v>0</v>
      </c>
      <c r="Q1708">
        <f t="shared" si="502"/>
        <v>0</v>
      </c>
      <c r="R1708">
        <f t="shared" si="503"/>
        <v>0</v>
      </c>
      <c r="S1708">
        <f t="shared" si="504"/>
        <v>0</v>
      </c>
      <c r="T1708">
        <f t="shared" si="505"/>
        <v>0</v>
      </c>
      <c r="U1708">
        <f t="shared" si="506"/>
        <v>0</v>
      </c>
      <c r="V1708">
        <f t="shared" si="507"/>
        <v>0</v>
      </c>
      <c r="W1708" t="s">
        <v>39</v>
      </c>
      <c r="X1708">
        <f t="shared" si="508"/>
        <v>1</v>
      </c>
      <c r="Y1708">
        <f t="shared" si="509"/>
        <v>0</v>
      </c>
      <c r="Z1708">
        <v>1</v>
      </c>
      <c r="AA1708">
        <f t="shared" si="510"/>
        <v>0</v>
      </c>
      <c r="AB1708" t="s">
        <v>40</v>
      </c>
      <c r="AC1708">
        <f t="shared" si="511"/>
        <v>0</v>
      </c>
      <c r="AD1708">
        <f t="shared" si="512"/>
        <v>0</v>
      </c>
      <c r="AE1708" t="s">
        <v>41</v>
      </c>
      <c r="AF1708">
        <f>IF(AE1708="website",1,0)</f>
        <v>1</v>
      </c>
    </row>
    <row r="1709" spans="1:32">
      <c r="A1709" t="s">
        <v>2360</v>
      </c>
      <c r="B1709" t="s">
        <v>33</v>
      </c>
      <c r="C1709" s="3">
        <f t="shared" si="494"/>
        <v>0</v>
      </c>
      <c r="D1709">
        <f t="shared" si="495"/>
        <v>1</v>
      </c>
      <c r="E1709" t="s">
        <v>602</v>
      </c>
      <c r="F1709" t="s">
        <v>571</v>
      </c>
      <c r="G1709" s="1">
        <v>31630</v>
      </c>
      <c r="H1709" s="2">
        <f t="shared" ca="1" si="496"/>
        <v>40</v>
      </c>
      <c r="I1709" s="2">
        <f t="shared" ca="1" si="497"/>
        <v>0.21428571428571427</v>
      </c>
      <c r="J1709" t="s">
        <v>36</v>
      </c>
      <c r="K1709" t="s">
        <v>113</v>
      </c>
      <c r="L1709">
        <f t="shared" si="498"/>
        <v>0</v>
      </c>
      <c r="M1709">
        <f t="shared" si="499"/>
        <v>0</v>
      </c>
      <c r="N1709">
        <f t="shared" si="500"/>
        <v>1</v>
      </c>
      <c r="O1709" t="s">
        <v>891</v>
      </c>
      <c r="P1709">
        <f t="shared" si="501"/>
        <v>0</v>
      </c>
      <c r="Q1709">
        <f t="shared" si="502"/>
        <v>0</v>
      </c>
      <c r="R1709">
        <f t="shared" si="503"/>
        <v>0</v>
      </c>
      <c r="S1709">
        <f t="shared" si="504"/>
        <v>0</v>
      </c>
      <c r="T1709">
        <f t="shared" si="505"/>
        <v>0</v>
      </c>
      <c r="U1709">
        <f t="shared" si="506"/>
        <v>0</v>
      </c>
      <c r="V1709">
        <f t="shared" si="507"/>
        <v>0</v>
      </c>
      <c r="W1709" t="s">
        <v>39</v>
      </c>
      <c r="X1709">
        <f t="shared" si="508"/>
        <v>1</v>
      </c>
      <c r="Y1709">
        <f t="shared" si="509"/>
        <v>0</v>
      </c>
      <c r="Z1709">
        <v>1</v>
      </c>
      <c r="AA1709">
        <f t="shared" si="510"/>
        <v>0</v>
      </c>
      <c r="AB1709" t="s">
        <v>40</v>
      </c>
      <c r="AC1709">
        <f t="shared" si="511"/>
        <v>1</v>
      </c>
      <c r="AD1709">
        <f t="shared" si="512"/>
        <v>0</v>
      </c>
      <c r="AE1709" t="s">
        <v>50</v>
      </c>
      <c r="AF1709">
        <f>IF(AE1709="website",1,0)</f>
        <v>0</v>
      </c>
    </row>
    <row r="1710" spans="1:32">
      <c r="A1710" t="s">
        <v>2361</v>
      </c>
      <c r="B1710" t="s">
        <v>33</v>
      </c>
      <c r="C1710" s="3">
        <f t="shared" si="494"/>
        <v>0</v>
      </c>
      <c r="D1710">
        <f t="shared" si="495"/>
        <v>1</v>
      </c>
      <c r="E1710" t="s">
        <v>784</v>
      </c>
      <c r="F1710" t="s">
        <v>856</v>
      </c>
      <c r="G1710" s="1">
        <v>17023</v>
      </c>
      <c r="H1710" s="2">
        <f t="shared" ca="1" si="496"/>
        <v>80</v>
      </c>
      <c r="I1710" s="2">
        <f t="shared" ca="1" si="497"/>
        <v>0.7857142857142857</v>
      </c>
      <c r="J1710" t="s">
        <v>36</v>
      </c>
      <c r="K1710" t="s">
        <v>37</v>
      </c>
      <c r="L1710">
        <f t="shared" si="498"/>
        <v>1</v>
      </c>
      <c r="M1710">
        <f t="shared" si="499"/>
        <v>0</v>
      </c>
      <c r="N1710">
        <f t="shared" si="500"/>
        <v>0</v>
      </c>
      <c r="O1710" t="s">
        <v>97</v>
      </c>
      <c r="P1710">
        <f t="shared" si="501"/>
        <v>0</v>
      </c>
      <c r="Q1710">
        <f t="shared" si="502"/>
        <v>0</v>
      </c>
      <c r="R1710">
        <f t="shared" si="503"/>
        <v>0</v>
      </c>
      <c r="S1710">
        <f t="shared" si="504"/>
        <v>0</v>
      </c>
      <c r="T1710">
        <f t="shared" si="505"/>
        <v>1</v>
      </c>
      <c r="U1710">
        <f t="shared" si="506"/>
        <v>0</v>
      </c>
      <c r="V1710">
        <f t="shared" si="507"/>
        <v>0</v>
      </c>
      <c r="W1710" t="s">
        <v>58</v>
      </c>
      <c r="X1710">
        <f t="shared" si="508"/>
        <v>0</v>
      </c>
      <c r="Y1710">
        <f t="shared" si="509"/>
        <v>1</v>
      </c>
      <c r="Z1710">
        <v>3</v>
      </c>
      <c r="AA1710">
        <f t="shared" si="510"/>
        <v>0.5</v>
      </c>
      <c r="AB1710" t="s">
        <v>46</v>
      </c>
      <c r="AC1710">
        <f t="shared" si="511"/>
        <v>1</v>
      </c>
      <c r="AD1710">
        <f t="shared" si="512"/>
        <v>0</v>
      </c>
      <c r="AE1710" t="s">
        <v>50</v>
      </c>
      <c r="AF1710">
        <f>IF(AE1710="website",1,0)</f>
        <v>0</v>
      </c>
    </row>
    <row r="1711" spans="1:32">
      <c r="A1711" t="s">
        <v>2362</v>
      </c>
      <c r="B1711" t="s">
        <v>33</v>
      </c>
      <c r="C1711" s="3">
        <f t="shared" si="494"/>
        <v>0</v>
      </c>
      <c r="D1711">
        <f t="shared" si="495"/>
        <v>1</v>
      </c>
      <c r="E1711" t="s">
        <v>1389</v>
      </c>
      <c r="F1711" t="s">
        <v>882</v>
      </c>
      <c r="G1711" s="1">
        <v>20966</v>
      </c>
      <c r="H1711" s="2">
        <f t="shared" ca="1" si="496"/>
        <v>69</v>
      </c>
      <c r="I1711" s="2">
        <f t="shared" ca="1" si="497"/>
        <v>0.62857142857142856</v>
      </c>
      <c r="J1711" t="s">
        <v>45</v>
      </c>
      <c r="K1711" t="s">
        <v>65</v>
      </c>
      <c r="L1711">
        <f t="shared" si="498"/>
        <v>0</v>
      </c>
      <c r="M1711">
        <f t="shared" si="499"/>
        <v>1</v>
      </c>
      <c r="N1711">
        <f t="shared" si="500"/>
        <v>0</v>
      </c>
      <c r="O1711" t="s">
        <v>843</v>
      </c>
      <c r="P1711">
        <f t="shared" si="501"/>
        <v>0</v>
      </c>
      <c r="Q1711">
        <f t="shared" si="502"/>
        <v>0</v>
      </c>
      <c r="R1711">
        <f t="shared" si="503"/>
        <v>0</v>
      </c>
      <c r="S1711">
        <f t="shared" si="504"/>
        <v>0</v>
      </c>
      <c r="T1711">
        <f t="shared" si="505"/>
        <v>0</v>
      </c>
      <c r="U1711">
        <f t="shared" si="506"/>
        <v>0</v>
      </c>
      <c r="V1711">
        <f t="shared" si="507"/>
        <v>0</v>
      </c>
      <c r="W1711" t="s">
        <v>58</v>
      </c>
      <c r="X1711">
        <f t="shared" si="508"/>
        <v>0</v>
      </c>
      <c r="Y1711">
        <f t="shared" si="509"/>
        <v>1</v>
      </c>
      <c r="Z1711">
        <v>2</v>
      </c>
      <c r="AA1711">
        <f t="shared" si="510"/>
        <v>0.25</v>
      </c>
      <c r="AB1711" t="s">
        <v>40</v>
      </c>
      <c r="AC1711">
        <f t="shared" si="511"/>
        <v>0</v>
      </c>
      <c r="AD1711">
        <f t="shared" si="512"/>
        <v>0</v>
      </c>
      <c r="AE1711" t="s">
        <v>41</v>
      </c>
      <c r="AF1711">
        <f>IF(AE1711="website",1,0)</f>
        <v>1</v>
      </c>
    </row>
    <row r="1712" spans="1:32">
      <c r="A1712" t="s">
        <v>2363</v>
      </c>
      <c r="B1712" t="s">
        <v>33</v>
      </c>
      <c r="C1712" s="3">
        <f t="shared" si="494"/>
        <v>0</v>
      </c>
      <c r="D1712">
        <f t="shared" si="495"/>
        <v>1</v>
      </c>
      <c r="E1712" t="s">
        <v>1010</v>
      </c>
      <c r="F1712" t="s">
        <v>823</v>
      </c>
      <c r="G1712" s="1">
        <v>29822</v>
      </c>
      <c r="H1712" s="2">
        <f t="shared" ca="1" si="496"/>
        <v>45</v>
      </c>
      <c r="I1712" s="2">
        <f t="shared" ca="1" si="497"/>
        <v>0.2857142857142857</v>
      </c>
      <c r="J1712" t="s">
        <v>36</v>
      </c>
      <c r="K1712" t="s">
        <v>37</v>
      </c>
      <c r="L1712">
        <f t="shared" si="498"/>
        <v>1</v>
      </c>
      <c r="M1712">
        <f t="shared" si="499"/>
        <v>0</v>
      </c>
      <c r="N1712">
        <f t="shared" si="500"/>
        <v>0</v>
      </c>
      <c r="O1712" t="s">
        <v>38</v>
      </c>
      <c r="P1712">
        <f t="shared" si="501"/>
        <v>1</v>
      </c>
      <c r="Q1712">
        <f t="shared" si="502"/>
        <v>0</v>
      </c>
      <c r="R1712">
        <f t="shared" si="503"/>
        <v>0</v>
      </c>
      <c r="S1712">
        <f t="shared" si="504"/>
        <v>0</v>
      </c>
      <c r="T1712">
        <f t="shared" si="505"/>
        <v>0</v>
      </c>
      <c r="U1712">
        <f t="shared" si="506"/>
        <v>0</v>
      </c>
      <c r="V1712">
        <f t="shared" si="507"/>
        <v>0</v>
      </c>
      <c r="W1712" t="s">
        <v>58</v>
      </c>
      <c r="X1712">
        <f t="shared" si="508"/>
        <v>0</v>
      </c>
      <c r="Y1712">
        <f t="shared" si="509"/>
        <v>1</v>
      </c>
      <c r="Z1712">
        <v>3</v>
      </c>
      <c r="AA1712">
        <f t="shared" si="510"/>
        <v>0.5</v>
      </c>
      <c r="AB1712" t="s">
        <v>40</v>
      </c>
      <c r="AC1712">
        <f t="shared" si="511"/>
        <v>0</v>
      </c>
      <c r="AD1712">
        <f t="shared" si="512"/>
        <v>0</v>
      </c>
      <c r="AE1712" t="s">
        <v>41</v>
      </c>
      <c r="AF1712">
        <f>IF(AE1712="website",1,0)</f>
        <v>1</v>
      </c>
    </row>
    <row r="1713" spans="1:32">
      <c r="A1713" t="s">
        <v>2364</v>
      </c>
      <c r="B1713" t="s">
        <v>33</v>
      </c>
      <c r="C1713" s="3">
        <f t="shared" si="494"/>
        <v>0</v>
      </c>
      <c r="D1713">
        <f t="shared" si="495"/>
        <v>1</v>
      </c>
      <c r="E1713" t="s">
        <v>635</v>
      </c>
      <c r="F1713" t="s">
        <v>430</v>
      </c>
      <c r="G1713" s="1">
        <v>25996</v>
      </c>
      <c r="H1713" s="2">
        <f t="shared" ca="1" si="496"/>
        <v>55</v>
      </c>
      <c r="I1713" s="2">
        <f t="shared" ca="1" si="497"/>
        <v>0.42857142857142855</v>
      </c>
      <c r="J1713" t="s">
        <v>45</v>
      </c>
      <c r="K1713" t="s">
        <v>626</v>
      </c>
      <c r="L1713">
        <f t="shared" si="498"/>
        <v>0</v>
      </c>
      <c r="M1713">
        <f t="shared" si="499"/>
        <v>0</v>
      </c>
      <c r="N1713">
        <f t="shared" si="500"/>
        <v>0</v>
      </c>
      <c r="O1713" t="s">
        <v>1188</v>
      </c>
      <c r="P1713">
        <f t="shared" si="501"/>
        <v>0</v>
      </c>
      <c r="Q1713">
        <f t="shared" si="502"/>
        <v>0</v>
      </c>
      <c r="R1713">
        <f t="shared" si="503"/>
        <v>0</v>
      </c>
      <c r="S1713">
        <f t="shared" si="504"/>
        <v>0</v>
      </c>
      <c r="T1713">
        <f t="shared" si="505"/>
        <v>0</v>
      </c>
      <c r="U1713">
        <f t="shared" si="506"/>
        <v>0</v>
      </c>
      <c r="V1713">
        <f t="shared" si="507"/>
        <v>0</v>
      </c>
      <c r="W1713" t="s">
        <v>39</v>
      </c>
      <c r="X1713">
        <f t="shared" si="508"/>
        <v>1</v>
      </c>
      <c r="Y1713">
        <f t="shared" si="509"/>
        <v>0</v>
      </c>
      <c r="Z1713">
        <v>5</v>
      </c>
      <c r="AA1713">
        <f t="shared" si="510"/>
        <v>1</v>
      </c>
      <c r="AB1713" t="s">
        <v>46</v>
      </c>
      <c r="AC1713">
        <f t="shared" si="511"/>
        <v>0</v>
      </c>
      <c r="AD1713">
        <f t="shared" si="512"/>
        <v>0</v>
      </c>
      <c r="AE1713" t="s">
        <v>41</v>
      </c>
      <c r="AF1713">
        <f>IF(AE1713="website",1,0)</f>
        <v>1</v>
      </c>
    </row>
    <row r="1714" spans="1:32">
      <c r="A1714" t="s">
        <v>2365</v>
      </c>
      <c r="B1714" t="s">
        <v>33</v>
      </c>
      <c r="C1714" s="3">
        <f t="shared" si="494"/>
        <v>0</v>
      </c>
      <c r="D1714">
        <f t="shared" si="495"/>
        <v>1</v>
      </c>
      <c r="E1714" t="s">
        <v>699</v>
      </c>
      <c r="F1714" t="s">
        <v>876</v>
      </c>
      <c r="G1714" s="1">
        <v>29625</v>
      </c>
      <c r="H1714" s="2">
        <f t="shared" ca="1" si="496"/>
        <v>45</v>
      </c>
      <c r="I1714" s="2">
        <f t="shared" ca="1" si="497"/>
        <v>0.2857142857142857</v>
      </c>
      <c r="J1714" t="s">
        <v>36</v>
      </c>
      <c r="K1714" t="s">
        <v>37</v>
      </c>
      <c r="L1714">
        <f t="shared" si="498"/>
        <v>1</v>
      </c>
      <c r="M1714">
        <f t="shared" si="499"/>
        <v>0</v>
      </c>
      <c r="N1714">
        <f t="shared" si="500"/>
        <v>0</v>
      </c>
      <c r="O1714" t="s">
        <v>76</v>
      </c>
      <c r="P1714">
        <f t="shared" si="501"/>
        <v>0</v>
      </c>
      <c r="Q1714">
        <f t="shared" si="502"/>
        <v>1</v>
      </c>
      <c r="R1714">
        <f t="shared" si="503"/>
        <v>0</v>
      </c>
      <c r="S1714">
        <f t="shared" si="504"/>
        <v>0</v>
      </c>
      <c r="T1714">
        <f t="shared" si="505"/>
        <v>0</v>
      </c>
      <c r="U1714">
        <f t="shared" si="506"/>
        <v>0</v>
      </c>
      <c r="V1714">
        <f t="shared" si="507"/>
        <v>0</v>
      </c>
      <c r="W1714" t="s">
        <v>39</v>
      </c>
      <c r="X1714">
        <f t="shared" si="508"/>
        <v>1</v>
      </c>
      <c r="Y1714">
        <f t="shared" si="509"/>
        <v>0</v>
      </c>
      <c r="Z1714">
        <v>1</v>
      </c>
      <c r="AA1714">
        <f t="shared" si="510"/>
        <v>0</v>
      </c>
      <c r="AB1714" t="s">
        <v>46</v>
      </c>
      <c r="AC1714">
        <f t="shared" si="511"/>
        <v>0</v>
      </c>
      <c r="AD1714">
        <f t="shared" si="512"/>
        <v>0</v>
      </c>
      <c r="AE1714" t="s">
        <v>41</v>
      </c>
      <c r="AF1714">
        <f>IF(AE1714="website",1,0)</f>
        <v>1</v>
      </c>
    </row>
    <row r="1715" spans="1:32">
      <c r="A1715" t="s">
        <v>2366</v>
      </c>
      <c r="B1715" t="s">
        <v>33</v>
      </c>
      <c r="C1715" s="3">
        <f t="shared" si="494"/>
        <v>0</v>
      </c>
      <c r="D1715">
        <f t="shared" si="495"/>
        <v>1</v>
      </c>
      <c r="E1715" t="s">
        <v>694</v>
      </c>
      <c r="F1715" t="s">
        <v>645</v>
      </c>
      <c r="G1715" s="1">
        <v>17719</v>
      </c>
      <c r="H1715" s="2">
        <f t="shared" ca="1" si="496"/>
        <v>78</v>
      </c>
      <c r="I1715" s="2">
        <f t="shared" ca="1" si="497"/>
        <v>0.75714285714285712</v>
      </c>
      <c r="J1715" t="s">
        <v>45</v>
      </c>
      <c r="K1715" t="s">
        <v>37</v>
      </c>
      <c r="L1715">
        <f t="shared" si="498"/>
        <v>1</v>
      </c>
      <c r="M1715">
        <f t="shared" si="499"/>
        <v>0</v>
      </c>
      <c r="N1715">
        <f t="shared" si="500"/>
        <v>0</v>
      </c>
      <c r="O1715" t="s">
        <v>137</v>
      </c>
      <c r="P1715">
        <f t="shared" si="501"/>
        <v>0</v>
      </c>
      <c r="Q1715">
        <f t="shared" si="502"/>
        <v>0</v>
      </c>
      <c r="R1715">
        <f t="shared" si="503"/>
        <v>0</v>
      </c>
      <c r="S1715">
        <f t="shared" si="504"/>
        <v>0</v>
      </c>
      <c r="T1715">
        <f t="shared" si="505"/>
        <v>0</v>
      </c>
      <c r="U1715">
        <f t="shared" si="506"/>
        <v>0</v>
      </c>
      <c r="V1715">
        <f t="shared" si="507"/>
        <v>0</v>
      </c>
      <c r="W1715" t="s">
        <v>39</v>
      </c>
      <c r="X1715">
        <f t="shared" si="508"/>
        <v>1</v>
      </c>
      <c r="Y1715">
        <f t="shared" si="509"/>
        <v>0</v>
      </c>
      <c r="Z1715">
        <v>3</v>
      </c>
      <c r="AA1715">
        <f t="shared" si="510"/>
        <v>0.5</v>
      </c>
      <c r="AB1715" t="s">
        <v>46</v>
      </c>
      <c r="AC1715">
        <f t="shared" si="511"/>
        <v>0</v>
      </c>
      <c r="AD1715">
        <f t="shared" si="512"/>
        <v>0</v>
      </c>
      <c r="AE1715" t="s">
        <v>41</v>
      </c>
      <c r="AF1715">
        <f>IF(AE1715="website",1,0)</f>
        <v>1</v>
      </c>
    </row>
    <row r="1716" spans="1:32">
      <c r="A1716" t="s">
        <v>2367</v>
      </c>
      <c r="B1716" t="s">
        <v>33</v>
      </c>
      <c r="C1716" s="3">
        <f t="shared" si="494"/>
        <v>0</v>
      </c>
      <c r="D1716">
        <f t="shared" si="495"/>
        <v>1</v>
      </c>
      <c r="E1716" t="s">
        <v>578</v>
      </c>
      <c r="F1716" t="s">
        <v>825</v>
      </c>
      <c r="G1716" s="1">
        <v>23114</v>
      </c>
      <c r="H1716" s="2">
        <f t="shared" ca="1" si="496"/>
        <v>63</v>
      </c>
      <c r="I1716" s="2">
        <f t="shared" ca="1" si="497"/>
        <v>0.54285714285714282</v>
      </c>
      <c r="J1716" t="s">
        <v>36</v>
      </c>
      <c r="K1716" t="s">
        <v>37</v>
      </c>
      <c r="L1716">
        <f t="shared" si="498"/>
        <v>1</v>
      </c>
      <c r="M1716">
        <f t="shared" si="499"/>
        <v>0</v>
      </c>
      <c r="N1716">
        <f t="shared" si="500"/>
        <v>0</v>
      </c>
      <c r="O1716" t="s">
        <v>600</v>
      </c>
      <c r="P1716">
        <f t="shared" si="501"/>
        <v>0</v>
      </c>
      <c r="Q1716">
        <f t="shared" si="502"/>
        <v>0</v>
      </c>
      <c r="R1716">
        <f t="shared" si="503"/>
        <v>0</v>
      </c>
      <c r="S1716">
        <f t="shared" si="504"/>
        <v>0</v>
      </c>
      <c r="T1716">
        <f t="shared" si="505"/>
        <v>0</v>
      </c>
      <c r="U1716">
        <f t="shared" si="506"/>
        <v>0</v>
      </c>
      <c r="V1716">
        <f t="shared" si="507"/>
        <v>0</v>
      </c>
      <c r="W1716" t="s">
        <v>39</v>
      </c>
      <c r="X1716">
        <f t="shared" si="508"/>
        <v>1</v>
      </c>
      <c r="Y1716">
        <f t="shared" si="509"/>
        <v>0</v>
      </c>
      <c r="Z1716">
        <v>3</v>
      </c>
      <c r="AA1716">
        <f t="shared" si="510"/>
        <v>0.5</v>
      </c>
      <c r="AB1716" t="s">
        <v>40</v>
      </c>
      <c r="AC1716">
        <f t="shared" si="511"/>
        <v>1</v>
      </c>
      <c r="AD1716">
        <f t="shared" si="512"/>
        <v>0</v>
      </c>
      <c r="AE1716" t="s">
        <v>50</v>
      </c>
      <c r="AF1716">
        <f>IF(AE1716="website",1,0)</f>
        <v>0</v>
      </c>
    </row>
    <row r="1717" spans="1:32">
      <c r="A1717" t="s">
        <v>2368</v>
      </c>
      <c r="B1717" t="s">
        <v>33</v>
      </c>
      <c r="C1717" s="3">
        <f t="shared" si="494"/>
        <v>0</v>
      </c>
      <c r="D1717">
        <f t="shared" si="495"/>
        <v>1</v>
      </c>
      <c r="E1717" t="s">
        <v>482</v>
      </c>
      <c r="F1717" t="s">
        <v>748</v>
      </c>
      <c r="G1717" s="1">
        <v>29507</v>
      </c>
      <c r="H1717" s="2">
        <f t="shared" ca="1" si="496"/>
        <v>45</v>
      </c>
      <c r="I1717" s="2">
        <f t="shared" ca="1" si="497"/>
        <v>0.2857142857142857</v>
      </c>
      <c r="J1717" t="s">
        <v>36</v>
      </c>
      <c r="K1717" t="s">
        <v>37</v>
      </c>
      <c r="L1717">
        <f t="shared" si="498"/>
        <v>1</v>
      </c>
      <c r="M1717">
        <f t="shared" si="499"/>
        <v>0</v>
      </c>
      <c r="N1717">
        <f t="shared" si="500"/>
        <v>0</v>
      </c>
      <c r="O1717" t="s">
        <v>38</v>
      </c>
      <c r="P1717">
        <f t="shared" si="501"/>
        <v>1</v>
      </c>
      <c r="Q1717">
        <f t="shared" si="502"/>
        <v>0</v>
      </c>
      <c r="R1717">
        <f t="shared" si="503"/>
        <v>0</v>
      </c>
      <c r="S1717">
        <f t="shared" si="504"/>
        <v>0</v>
      </c>
      <c r="T1717">
        <f t="shared" si="505"/>
        <v>0</v>
      </c>
      <c r="U1717">
        <f t="shared" si="506"/>
        <v>0</v>
      </c>
      <c r="V1717">
        <f t="shared" si="507"/>
        <v>0</v>
      </c>
      <c r="W1717" t="s">
        <v>39</v>
      </c>
      <c r="X1717">
        <f t="shared" si="508"/>
        <v>1</v>
      </c>
      <c r="Y1717">
        <f t="shared" si="509"/>
        <v>0</v>
      </c>
      <c r="Z1717">
        <v>1</v>
      </c>
      <c r="AA1717">
        <f t="shared" si="510"/>
        <v>0</v>
      </c>
      <c r="AB1717" t="s">
        <v>46</v>
      </c>
      <c r="AC1717">
        <f t="shared" si="511"/>
        <v>0</v>
      </c>
      <c r="AD1717">
        <f t="shared" si="512"/>
        <v>0</v>
      </c>
      <c r="AE1717" t="s">
        <v>41</v>
      </c>
      <c r="AF1717">
        <f>IF(AE1717="website",1,0)</f>
        <v>1</v>
      </c>
    </row>
    <row r="1718" spans="1:32">
      <c r="A1718" t="s">
        <v>2369</v>
      </c>
      <c r="B1718" t="s">
        <v>33</v>
      </c>
      <c r="C1718" s="3">
        <f t="shared" si="494"/>
        <v>0</v>
      </c>
      <c r="D1718">
        <f t="shared" si="495"/>
        <v>1</v>
      </c>
      <c r="E1718" t="s">
        <v>1346</v>
      </c>
      <c r="F1718" t="s">
        <v>1041</v>
      </c>
      <c r="G1718" s="1">
        <v>15331</v>
      </c>
      <c r="H1718" s="2">
        <f t="shared" ca="1" si="496"/>
        <v>84</v>
      </c>
      <c r="I1718" s="2">
        <f t="shared" ca="1" si="497"/>
        <v>0.84285714285714286</v>
      </c>
      <c r="J1718" t="s">
        <v>36</v>
      </c>
      <c r="K1718" t="s">
        <v>37</v>
      </c>
      <c r="L1718">
        <f t="shared" si="498"/>
        <v>1</v>
      </c>
      <c r="M1718">
        <f t="shared" si="499"/>
        <v>0</v>
      </c>
      <c r="N1718">
        <f t="shared" si="500"/>
        <v>0</v>
      </c>
      <c r="O1718" t="s">
        <v>38</v>
      </c>
      <c r="P1718">
        <f t="shared" si="501"/>
        <v>1</v>
      </c>
      <c r="Q1718">
        <f t="shared" si="502"/>
        <v>0</v>
      </c>
      <c r="R1718">
        <f t="shared" si="503"/>
        <v>0</v>
      </c>
      <c r="S1718">
        <f t="shared" si="504"/>
        <v>0</v>
      </c>
      <c r="T1718">
        <f t="shared" si="505"/>
        <v>0</v>
      </c>
      <c r="U1718">
        <f t="shared" si="506"/>
        <v>0</v>
      </c>
      <c r="V1718">
        <f t="shared" si="507"/>
        <v>0</v>
      </c>
      <c r="W1718" t="s">
        <v>39</v>
      </c>
      <c r="X1718">
        <f t="shared" si="508"/>
        <v>1</v>
      </c>
      <c r="Y1718">
        <f t="shared" si="509"/>
        <v>0</v>
      </c>
      <c r="Z1718">
        <v>4</v>
      </c>
      <c r="AA1718">
        <f t="shared" si="510"/>
        <v>0.75</v>
      </c>
      <c r="AB1718" t="s">
        <v>40</v>
      </c>
      <c r="AC1718">
        <f t="shared" si="511"/>
        <v>0</v>
      </c>
      <c r="AD1718">
        <f t="shared" si="512"/>
        <v>0</v>
      </c>
      <c r="AE1718" t="s">
        <v>41</v>
      </c>
      <c r="AF1718">
        <f>IF(AE1718="website",1,0)</f>
        <v>1</v>
      </c>
    </row>
    <row r="1719" spans="1:32">
      <c r="A1719" t="s">
        <v>2370</v>
      </c>
      <c r="B1719" t="s">
        <v>33</v>
      </c>
      <c r="C1719" s="3">
        <f t="shared" si="494"/>
        <v>0</v>
      </c>
      <c r="D1719">
        <f t="shared" si="495"/>
        <v>1</v>
      </c>
      <c r="E1719" t="s">
        <v>1087</v>
      </c>
      <c r="F1719" t="s">
        <v>591</v>
      </c>
      <c r="G1719" s="1">
        <v>34705</v>
      </c>
      <c r="H1719" s="2">
        <f t="shared" ca="1" si="496"/>
        <v>31</v>
      </c>
      <c r="I1719" s="2">
        <f t="shared" ca="1" si="497"/>
        <v>8.5714285714285715E-2</v>
      </c>
      <c r="J1719" t="s">
        <v>36</v>
      </c>
      <c r="K1719" t="s">
        <v>37</v>
      </c>
      <c r="L1719">
        <f t="shared" si="498"/>
        <v>1</v>
      </c>
      <c r="M1719">
        <f t="shared" si="499"/>
        <v>0</v>
      </c>
      <c r="N1719">
        <f t="shared" si="500"/>
        <v>0</v>
      </c>
      <c r="O1719" t="s">
        <v>38</v>
      </c>
      <c r="P1719">
        <f t="shared" si="501"/>
        <v>1</v>
      </c>
      <c r="Q1719">
        <f t="shared" si="502"/>
        <v>0</v>
      </c>
      <c r="R1719">
        <f t="shared" si="503"/>
        <v>0</v>
      </c>
      <c r="S1719">
        <f t="shared" si="504"/>
        <v>0</v>
      </c>
      <c r="T1719">
        <f t="shared" si="505"/>
        <v>0</v>
      </c>
      <c r="U1719">
        <f t="shared" si="506"/>
        <v>0</v>
      </c>
      <c r="V1719">
        <f t="shared" si="507"/>
        <v>0</v>
      </c>
      <c r="W1719" t="s">
        <v>39</v>
      </c>
      <c r="X1719">
        <f t="shared" si="508"/>
        <v>1</v>
      </c>
      <c r="Y1719">
        <f t="shared" si="509"/>
        <v>0</v>
      </c>
      <c r="Z1719">
        <v>1</v>
      </c>
      <c r="AA1719">
        <f t="shared" si="510"/>
        <v>0</v>
      </c>
      <c r="AB1719" t="s">
        <v>46</v>
      </c>
      <c r="AC1719">
        <f t="shared" si="511"/>
        <v>0</v>
      </c>
      <c r="AD1719">
        <f t="shared" si="512"/>
        <v>0</v>
      </c>
      <c r="AE1719" t="s">
        <v>41</v>
      </c>
      <c r="AF1719">
        <f>IF(AE1719="website",1,0)</f>
        <v>1</v>
      </c>
    </row>
    <row r="1720" spans="1:32">
      <c r="A1720" t="s">
        <v>2371</v>
      </c>
      <c r="B1720" t="s">
        <v>55</v>
      </c>
      <c r="C1720" s="3">
        <f t="shared" si="494"/>
        <v>1</v>
      </c>
      <c r="D1720">
        <f t="shared" si="495"/>
        <v>0</v>
      </c>
      <c r="E1720" t="s">
        <v>2372</v>
      </c>
      <c r="F1720" t="s">
        <v>57</v>
      </c>
      <c r="G1720" s="1">
        <v>22046</v>
      </c>
      <c r="H1720" s="2">
        <f t="shared" ca="1" si="496"/>
        <v>66</v>
      </c>
      <c r="I1720" s="2">
        <f t="shared" ca="1" si="497"/>
        <v>0.58571428571428574</v>
      </c>
      <c r="J1720" t="s">
        <v>45</v>
      </c>
      <c r="K1720" t="s">
        <v>37</v>
      </c>
      <c r="L1720">
        <f t="shared" si="498"/>
        <v>1</v>
      </c>
      <c r="M1720">
        <f t="shared" si="499"/>
        <v>0</v>
      </c>
      <c r="N1720">
        <f t="shared" si="500"/>
        <v>0</v>
      </c>
      <c r="O1720" t="s">
        <v>600</v>
      </c>
      <c r="P1720">
        <f t="shared" si="501"/>
        <v>0</v>
      </c>
      <c r="Q1720">
        <f t="shared" si="502"/>
        <v>0</v>
      </c>
      <c r="R1720">
        <f t="shared" si="503"/>
        <v>0</v>
      </c>
      <c r="S1720">
        <f t="shared" si="504"/>
        <v>0</v>
      </c>
      <c r="T1720">
        <f t="shared" si="505"/>
        <v>0</v>
      </c>
      <c r="U1720">
        <f t="shared" si="506"/>
        <v>0</v>
      </c>
      <c r="V1720">
        <f t="shared" si="507"/>
        <v>0</v>
      </c>
      <c r="W1720" t="s">
        <v>39</v>
      </c>
      <c r="X1720">
        <f t="shared" si="508"/>
        <v>1</v>
      </c>
      <c r="Y1720">
        <f t="shared" si="509"/>
        <v>0</v>
      </c>
      <c r="Z1720">
        <v>2</v>
      </c>
      <c r="AA1720">
        <f t="shared" si="510"/>
        <v>0.25</v>
      </c>
      <c r="AB1720" t="s">
        <v>46</v>
      </c>
      <c r="AC1720">
        <f t="shared" si="511"/>
        <v>1</v>
      </c>
      <c r="AD1720">
        <f t="shared" si="512"/>
        <v>0</v>
      </c>
      <c r="AE1720" t="s">
        <v>50</v>
      </c>
      <c r="AF1720">
        <f>IF(AE1720="website",1,0)</f>
        <v>0</v>
      </c>
    </row>
    <row r="1721" spans="1:32">
      <c r="A1721" t="s">
        <v>2373</v>
      </c>
      <c r="B1721" t="s">
        <v>33</v>
      </c>
      <c r="C1721" s="3">
        <f t="shared" si="494"/>
        <v>0</v>
      </c>
      <c r="D1721">
        <f t="shared" si="495"/>
        <v>1</v>
      </c>
      <c r="E1721" t="s">
        <v>784</v>
      </c>
      <c r="F1721" t="s">
        <v>607</v>
      </c>
      <c r="G1721" s="1">
        <v>35348</v>
      </c>
      <c r="H1721" s="2">
        <f t="shared" ca="1" si="496"/>
        <v>29</v>
      </c>
      <c r="I1721" s="2">
        <f t="shared" ca="1" si="497"/>
        <v>5.7142857142857141E-2</v>
      </c>
      <c r="J1721" t="s">
        <v>36</v>
      </c>
      <c r="K1721" t="s">
        <v>37</v>
      </c>
      <c r="L1721">
        <f t="shared" si="498"/>
        <v>1</v>
      </c>
      <c r="M1721">
        <f t="shared" si="499"/>
        <v>0</v>
      </c>
      <c r="N1721">
        <f t="shared" si="500"/>
        <v>0</v>
      </c>
      <c r="O1721" t="s">
        <v>38</v>
      </c>
      <c r="P1721">
        <f t="shared" si="501"/>
        <v>1</v>
      </c>
      <c r="Q1721">
        <f t="shared" si="502"/>
        <v>0</v>
      </c>
      <c r="R1721">
        <f t="shared" si="503"/>
        <v>0</v>
      </c>
      <c r="S1721">
        <f t="shared" si="504"/>
        <v>0</v>
      </c>
      <c r="T1721">
        <f t="shared" si="505"/>
        <v>0</v>
      </c>
      <c r="U1721">
        <f t="shared" si="506"/>
        <v>0</v>
      </c>
      <c r="V1721">
        <f t="shared" si="507"/>
        <v>0</v>
      </c>
      <c r="W1721" t="s">
        <v>39</v>
      </c>
      <c r="X1721">
        <f t="shared" si="508"/>
        <v>1</v>
      </c>
      <c r="Y1721">
        <f t="shared" si="509"/>
        <v>0</v>
      </c>
      <c r="Z1721">
        <v>5</v>
      </c>
      <c r="AA1721">
        <f t="shared" si="510"/>
        <v>1</v>
      </c>
      <c r="AB1721" t="s">
        <v>40</v>
      </c>
      <c r="AC1721">
        <f t="shared" si="511"/>
        <v>0</v>
      </c>
      <c r="AD1721">
        <f t="shared" si="512"/>
        <v>0</v>
      </c>
      <c r="AE1721" t="s">
        <v>41</v>
      </c>
      <c r="AF1721">
        <f>IF(AE1721="website",1,0)</f>
        <v>1</v>
      </c>
    </row>
    <row r="1722" spans="1:32">
      <c r="A1722" t="s">
        <v>2374</v>
      </c>
      <c r="B1722" t="s">
        <v>33</v>
      </c>
      <c r="C1722" s="3">
        <f t="shared" si="494"/>
        <v>0</v>
      </c>
      <c r="D1722">
        <f t="shared" si="495"/>
        <v>1</v>
      </c>
      <c r="E1722" t="s">
        <v>744</v>
      </c>
      <c r="F1722" t="s">
        <v>552</v>
      </c>
      <c r="G1722" s="1">
        <v>31756</v>
      </c>
      <c r="H1722" s="2">
        <f t="shared" ca="1" si="496"/>
        <v>39</v>
      </c>
      <c r="I1722" s="2">
        <f t="shared" ca="1" si="497"/>
        <v>0.2</v>
      </c>
      <c r="J1722" t="s">
        <v>45</v>
      </c>
      <c r="K1722" t="s">
        <v>37</v>
      </c>
      <c r="L1722">
        <f t="shared" si="498"/>
        <v>1</v>
      </c>
      <c r="M1722">
        <f t="shared" si="499"/>
        <v>0</v>
      </c>
      <c r="N1722">
        <f t="shared" si="500"/>
        <v>0</v>
      </c>
      <c r="O1722" t="s">
        <v>124</v>
      </c>
      <c r="P1722">
        <f t="shared" si="501"/>
        <v>0</v>
      </c>
      <c r="Q1722">
        <f t="shared" si="502"/>
        <v>0</v>
      </c>
      <c r="R1722">
        <f t="shared" si="503"/>
        <v>0</v>
      </c>
      <c r="S1722">
        <f t="shared" si="504"/>
        <v>0</v>
      </c>
      <c r="T1722">
        <f t="shared" si="505"/>
        <v>0</v>
      </c>
      <c r="U1722">
        <f t="shared" si="506"/>
        <v>1</v>
      </c>
      <c r="V1722">
        <f t="shared" si="507"/>
        <v>0</v>
      </c>
      <c r="W1722" t="s">
        <v>39</v>
      </c>
      <c r="X1722">
        <f t="shared" si="508"/>
        <v>1</v>
      </c>
      <c r="Y1722">
        <f t="shared" si="509"/>
        <v>0</v>
      </c>
      <c r="Z1722">
        <v>2</v>
      </c>
      <c r="AA1722">
        <f t="shared" si="510"/>
        <v>0.25</v>
      </c>
      <c r="AB1722" t="s">
        <v>46</v>
      </c>
      <c r="AC1722">
        <f t="shared" si="511"/>
        <v>1</v>
      </c>
      <c r="AD1722">
        <f t="shared" si="512"/>
        <v>0</v>
      </c>
      <c r="AE1722" t="s">
        <v>50</v>
      </c>
      <c r="AF1722">
        <f>IF(AE1722="website",1,0)</f>
        <v>0</v>
      </c>
    </row>
    <row r="1723" spans="1:32">
      <c r="A1723" t="s">
        <v>2375</v>
      </c>
      <c r="B1723" t="s">
        <v>33</v>
      </c>
      <c r="C1723" s="3">
        <f t="shared" si="494"/>
        <v>0</v>
      </c>
      <c r="D1723">
        <f t="shared" si="495"/>
        <v>1</v>
      </c>
      <c r="E1723" t="s">
        <v>332</v>
      </c>
      <c r="F1723" t="s">
        <v>742</v>
      </c>
      <c r="G1723" s="1">
        <v>30278</v>
      </c>
      <c r="H1723" s="2">
        <f t="shared" ca="1" si="496"/>
        <v>43</v>
      </c>
      <c r="I1723" s="2">
        <f t="shared" ca="1" si="497"/>
        <v>0.25714285714285712</v>
      </c>
      <c r="J1723" t="s">
        <v>36</v>
      </c>
      <c r="K1723" t="s">
        <v>37</v>
      </c>
      <c r="L1723">
        <f t="shared" si="498"/>
        <v>1</v>
      </c>
      <c r="M1723">
        <f t="shared" si="499"/>
        <v>0</v>
      </c>
      <c r="N1723">
        <f t="shared" si="500"/>
        <v>0</v>
      </c>
      <c r="O1723" t="s">
        <v>124</v>
      </c>
      <c r="P1723">
        <f t="shared" si="501"/>
        <v>0</v>
      </c>
      <c r="Q1723">
        <f t="shared" si="502"/>
        <v>0</v>
      </c>
      <c r="R1723">
        <f t="shared" si="503"/>
        <v>0</v>
      </c>
      <c r="S1723">
        <f t="shared" si="504"/>
        <v>0</v>
      </c>
      <c r="T1723">
        <f t="shared" si="505"/>
        <v>0</v>
      </c>
      <c r="U1723">
        <f t="shared" si="506"/>
        <v>1</v>
      </c>
      <c r="V1723">
        <f t="shared" si="507"/>
        <v>0</v>
      </c>
      <c r="W1723" t="s">
        <v>39</v>
      </c>
      <c r="X1723">
        <f t="shared" si="508"/>
        <v>1</v>
      </c>
      <c r="Y1723">
        <f t="shared" si="509"/>
        <v>0</v>
      </c>
      <c r="Z1723">
        <v>3</v>
      </c>
      <c r="AA1723">
        <f t="shared" si="510"/>
        <v>0.5</v>
      </c>
      <c r="AB1723" t="s">
        <v>46</v>
      </c>
      <c r="AC1723">
        <f t="shared" si="511"/>
        <v>0</v>
      </c>
      <c r="AD1723">
        <f t="shared" si="512"/>
        <v>0</v>
      </c>
      <c r="AE1723" t="s">
        <v>41</v>
      </c>
      <c r="AF1723">
        <f>IF(AE1723="website",1,0)</f>
        <v>1</v>
      </c>
    </row>
    <row r="1724" spans="1:32">
      <c r="A1724" t="s">
        <v>2376</v>
      </c>
      <c r="B1724" t="s">
        <v>33</v>
      </c>
      <c r="C1724" s="3">
        <f t="shared" si="494"/>
        <v>0</v>
      </c>
      <c r="D1724">
        <f t="shared" si="495"/>
        <v>1</v>
      </c>
      <c r="E1724" t="s">
        <v>604</v>
      </c>
      <c r="F1724" t="s">
        <v>720</v>
      </c>
      <c r="G1724" s="1">
        <v>35828</v>
      </c>
      <c r="H1724" s="2">
        <f t="shared" ca="1" si="496"/>
        <v>28</v>
      </c>
      <c r="I1724" s="2">
        <f t="shared" ca="1" si="497"/>
        <v>4.2857142857142858E-2</v>
      </c>
      <c r="J1724" t="s">
        <v>36</v>
      </c>
      <c r="K1724" t="s">
        <v>65</v>
      </c>
      <c r="L1724">
        <f t="shared" si="498"/>
        <v>0</v>
      </c>
      <c r="M1724">
        <f t="shared" si="499"/>
        <v>1</v>
      </c>
      <c r="N1724">
        <f t="shared" si="500"/>
        <v>0</v>
      </c>
      <c r="O1724" t="s">
        <v>66</v>
      </c>
      <c r="P1724">
        <f t="shared" si="501"/>
        <v>0</v>
      </c>
      <c r="Q1724">
        <f t="shared" si="502"/>
        <v>0</v>
      </c>
      <c r="R1724">
        <f t="shared" si="503"/>
        <v>1</v>
      </c>
      <c r="S1724">
        <f t="shared" si="504"/>
        <v>0</v>
      </c>
      <c r="T1724">
        <f t="shared" si="505"/>
        <v>0</v>
      </c>
      <c r="U1724">
        <f t="shared" si="506"/>
        <v>0</v>
      </c>
      <c r="V1724">
        <f t="shared" si="507"/>
        <v>0</v>
      </c>
      <c r="W1724" t="s">
        <v>39</v>
      </c>
      <c r="X1724">
        <f t="shared" si="508"/>
        <v>1</v>
      </c>
      <c r="Y1724">
        <f t="shared" si="509"/>
        <v>0</v>
      </c>
      <c r="Z1724">
        <v>2</v>
      </c>
      <c r="AA1724">
        <f t="shared" si="510"/>
        <v>0.25</v>
      </c>
      <c r="AB1724" t="s">
        <v>40</v>
      </c>
      <c r="AC1724">
        <f t="shared" si="511"/>
        <v>1</v>
      </c>
      <c r="AD1724">
        <f t="shared" si="512"/>
        <v>0</v>
      </c>
      <c r="AE1724" t="s">
        <v>50</v>
      </c>
      <c r="AF1724">
        <f>IF(AE1724="website",1,0)</f>
        <v>0</v>
      </c>
    </row>
    <row r="1725" spans="1:32">
      <c r="A1725" t="s">
        <v>2377</v>
      </c>
      <c r="B1725" t="s">
        <v>33</v>
      </c>
      <c r="C1725" s="3">
        <f t="shared" si="494"/>
        <v>0</v>
      </c>
      <c r="D1725">
        <f t="shared" si="495"/>
        <v>1</v>
      </c>
      <c r="E1725" t="s">
        <v>750</v>
      </c>
      <c r="F1725" t="s">
        <v>876</v>
      </c>
      <c r="G1725" s="1">
        <v>20625</v>
      </c>
      <c r="H1725" s="2">
        <f t="shared" ca="1" si="496"/>
        <v>70</v>
      </c>
      <c r="I1725" s="2">
        <f t="shared" ca="1" si="497"/>
        <v>0.6428571428571429</v>
      </c>
      <c r="J1725" t="s">
        <v>45</v>
      </c>
      <c r="K1725" t="s">
        <v>37</v>
      </c>
      <c r="L1725">
        <f t="shared" si="498"/>
        <v>1</v>
      </c>
      <c r="M1725">
        <f t="shared" si="499"/>
        <v>0</v>
      </c>
      <c r="N1725">
        <f t="shared" si="500"/>
        <v>0</v>
      </c>
      <c r="O1725" t="s">
        <v>305</v>
      </c>
      <c r="P1725">
        <f t="shared" si="501"/>
        <v>0</v>
      </c>
      <c r="Q1725">
        <f t="shared" si="502"/>
        <v>0</v>
      </c>
      <c r="R1725">
        <f t="shared" si="503"/>
        <v>0</v>
      </c>
      <c r="S1725">
        <f t="shared" si="504"/>
        <v>0</v>
      </c>
      <c r="T1725">
        <f t="shared" si="505"/>
        <v>0</v>
      </c>
      <c r="U1725">
        <f t="shared" si="506"/>
        <v>0</v>
      </c>
      <c r="V1725">
        <f t="shared" si="507"/>
        <v>0</v>
      </c>
      <c r="W1725" t="s">
        <v>39</v>
      </c>
      <c r="X1725">
        <f t="shared" si="508"/>
        <v>1</v>
      </c>
      <c r="Y1725">
        <f t="shared" si="509"/>
        <v>0</v>
      </c>
      <c r="Z1725">
        <v>4</v>
      </c>
      <c r="AA1725">
        <f t="shared" si="510"/>
        <v>0.75</v>
      </c>
      <c r="AB1725" t="s">
        <v>46</v>
      </c>
      <c r="AC1725">
        <f t="shared" si="511"/>
        <v>0</v>
      </c>
      <c r="AD1725">
        <f t="shared" si="512"/>
        <v>0</v>
      </c>
      <c r="AE1725" t="s">
        <v>41</v>
      </c>
      <c r="AF1725">
        <f>IF(AE1725="website",1,0)</f>
        <v>1</v>
      </c>
    </row>
    <row r="1726" spans="1:32">
      <c r="A1726" t="s">
        <v>2378</v>
      </c>
      <c r="B1726" t="s">
        <v>33</v>
      </c>
      <c r="C1726" s="3">
        <f t="shared" si="494"/>
        <v>0</v>
      </c>
      <c r="D1726">
        <f t="shared" si="495"/>
        <v>1</v>
      </c>
      <c r="E1726" t="s">
        <v>622</v>
      </c>
      <c r="F1726" t="s">
        <v>726</v>
      </c>
      <c r="G1726" s="1">
        <v>21562</v>
      </c>
      <c r="H1726" s="2">
        <f t="shared" ca="1" si="496"/>
        <v>67</v>
      </c>
      <c r="I1726" s="2">
        <f t="shared" ca="1" si="497"/>
        <v>0.6</v>
      </c>
      <c r="J1726" t="s">
        <v>36</v>
      </c>
      <c r="K1726" t="s">
        <v>37</v>
      </c>
      <c r="L1726">
        <f t="shared" si="498"/>
        <v>1</v>
      </c>
      <c r="M1726">
        <f t="shared" si="499"/>
        <v>0</v>
      </c>
      <c r="N1726">
        <f t="shared" si="500"/>
        <v>0</v>
      </c>
      <c r="O1726" t="s">
        <v>124</v>
      </c>
      <c r="P1726">
        <f t="shared" si="501"/>
        <v>0</v>
      </c>
      <c r="Q1726">
        <f t="shared" si="502"/>
        <v>0</v>
      </c>
      <c r="R1726">
        <f t="shared" si="503"/>
        <v>0</v>
      </c>
      <c r="S1726">
        <f t="shared" si="504"/>
        <v>0</v>
      </c>
      <c r="T1726">
        <f t="shared" si="505"/>
        <v>0</v>
      </c>
      <c r="U1726">
        <f t="shared" si="506"/>
        <v>1</v>
      </c>
      <c r="V1726">
        <f t="shared" si="507"/>
        <v>0</v>
      </c>
      <c r="W1726" t="s">
        <v>39</v>
      </c>
      <c r="X1726">
        <f t="shared" si="508"/>
        <v>1</v>
      </c>
      <c r="Y1726">
        <f t="shared" si="509"/>
        <v>0</v>
      </c>
      <c r="Z1726">
        <v>3</v>
      </c>
      <c r="AA1726">
        <f t="shared" si="510"/>
        <v>0.5</v>
      </c>
      <c r="AB1726" t="s">
        <v>40</v>
      </c>
      <c r="AC1726">
        <f t="shared" si="511"/>
        <v>0</v>
      </c>
      <c r="AD1726">
        <f t="shared" si="512"/>
        <v>0</v>
      </c>
      <c r="AE1726" t="s">
        <v>41</v>
      </c>
      <c r="AF1726">
        <f>IF(AE1726="website",1,0)</f>
        <v>1</v>
      </c>
    </row>
    <row r="1727" spans="1:32">
      <c r="A1727" t="s">
        <v>2379</v>
      </c>
      <c r="B1727" t="s">
        <v>33</v>
      </c>
      <c r="C1727" s="3">
        <f t="shared" si="494"/>
        <v>0</v>
      </c>
      <c r="D1727">
        <f t="shared" si="495"/>
        <v>1</v>
      </c>
      <c r="E1727" t="s">
        <v>890</v>
      </c>
      <c r="F1727" t="s">
        <v>941</v>
      </c>
      <c r="G1727" s="1">
        <v>17760</v>
      </c>
      <c r="H1727" s="2">
        <f t="shared" ca="1" si="496"/>
        <v>78</v>
      </c>
      <c r="I1727" s="2">
        <f t="shared" ca="1" si="497"/>
        <v>0.75714285714285712</v>
      </c>
      <c r="J1727" t="s">
        <v>36</v>
      </c>
      <c r="K1727" t="s">
        <v>248</v>
      </c>
      <c r="L1727">
        <f t="shared" si="498"/>
        <v>0</v>
      </c>
      <c r="M1727">
        <f t="shared" si="499"/>
        <v>0</v>
      </c>
      <c r="N1727">
        <f t="shared" si="500"/>
        <v>0</v>
      </c>
      <c r="O1727" t="s">
        <v>249</v>
      </c>
      <c r="P1727">
        <f t="shared" si="501"/>
        <v>0</v>
      </c>
      <c r="Q1727">
        <f t="shared" si="502"/>
        <v>0</v>
      </c>
      <c r="R1727">
        <f t="shared" si="503"/>
        <v>0</v>
      </c>
      <c r="S1727">
        <f t="shared" si="504"/>
        <v>0</v>
      </c>
      <c r="T1727">
        <f t="shared" si="505"/>
        <v>0</v>
      </c>
      <c r="U1727">
        <f t="shared" si="506"/>
        <v>0</v>
      </c>
      <c r="V1727">
        <f t="shared" si="507"/>
        <v>0</v>
      </c>
      <c r="W1727" t="s">
        <v>39</v>
      </c>
      <c r="X1727">
        <f t="shared" si="508"/>
        <v>1</v>
      </c>
      <c r="Y1727">
        <f t="shared" si="509"/>
        <v>0</v>
      </c>
      <c r="Z1727">
        <v>3</v>
      </c>
      <c r="AA1727">
        <f t="shared" si="510"/>
        <v>0.5</v>
      </c>
      <c r="AB1727" t="s">
        <v>46</v>
      </c>
      <c r="AC1727">
        <f t="shared" si="511"/>
        <v>0</v>
      </c>
      <c r="AD1727">
        <f t="shared" si="512"/>
        <v>0</v>
      </c>
      <c r="AE1727" t="s">
        <v>41</v>
      </c>
      <c r="AF1727">
        <f>IF(AE1727="website",1,0)</f>
        <v>1</v>
      </c>
    </row>
    <row r="1728" spans="1:32">
      <c r="A1728" t="s">
        <v>2380</v>
      </c>
      <c r="B1728" t="s">
        <v>33</v>
      </c>
      <c r="C1728" s="3">
        <f t="shared" si="494"/>
        <v>0</v>
      </c>
      <c r="D1728">
        <f t="shared" si="495"/>
        <v>1</v>
      </c>
      <c r="E1728" t="s">
        <v>807</v>
      </c>
      <c r="F1728" t="s">
        <v>730</v>
      </c>
      <c r="G1728" s="1">
        <v>16777</v>
      </c>
      <c r="H1728" s="2">
        <f t="shared" ca="1" si="496"/>
        <v>80</v>
      </c>
      <c r="I1728" s="2">
        <f t="shared" ca="1" si="497"/>
        <v>0.7857142857142857</v>
      </c>
      <c r="J1728" t="s">
        <v>36</v>
      </c>
      <c r="K1728" t="s">
        <v>37</v>
      </c>
      <c r="L1728">
        <f t="shared" si="498"/>
        <v>1</v>
      </c>
      <c r="M1728">
        <f t="shared" si="499"/>
        <v>0</v>
      </c>
      <c r="N1728">
        <f t="shared" si="500"/>
        <v>0</v>
      </c>
      <c r="O1728" t="s">
        <v>717</v>
      </c>
      <c r="P1728">
        <f t="shared" si="501"/>
        <v>0</v>
      </c>
      <c r="Q1728">
        <f t="shared" si="502"/>
        <v>0</v>
      </c>
      <c r="R1728">
        <f t="shared" si="503"/>
        <v>0</v>
      </c>
      <c r="S1728">
        <f t="shared" si="504"/>
        <v>0</v>
      </c>
      <c r="T1728">
        <f t="shared" si="505"/>
        <v>0</v>
      </c>
      <c r="U1728">
        <f t="shared" si="506"/>
        <v>0</v>
      </c>
      <c r="V1728">
        <f t="shared" si="507"/>
        <v>0</v>
      </c>
      <c r="W1728" t="s">
        <v>39</v>
      </c>
      <c r="X1728">
        <f t="shared" si="508"/>
        <v>1</v>
      </c>
      <c r="Y1728">
        <f t="shared" si="509"/>
        <v>0</v>
      </c>
      <c r="Z1728">
        <v>3</v>
      </c>
      <c r="AA1728">
        <f t="shared" si="510"/>
        <v>0.5</v>
      </c>
      <c r="AB1728" t="s">
        <v>46</v>
      </c>
      <c r="AC1728">
        <f t="shared" si="511"/>
        <v>0</v>
      </c>
      <c r="AD1728">
        <f t="shared" si="512"/>
        <v>0</v>
      </c>
      <c r="AE1728" t="s">
        <v>41</v>
      </c>
      <c r="AF1728">
        <f>IF(AE1728="website",1,0)</f>
        <v>1</v>
      </c>
    </row>
    <row r="1729" spans="1:32">
      <c r="A1729" t="s">
        <v>2381</v>
      </c>
      <c r="B1729" t="s">
        <v>33</v>
      </c>
      <c r="C1729" s="3">
        <f t="shared" si="494"/>
        <v>0</v>
      </c>
      <c r="D1729">
        <f t="shared" si="495"/>
        <v>1</v>
      </c>
      <c r="E1729" t="s">
        <v>924</v>
      </c>
      <c r="F1729" t="s">
        <v>714</v>
      </c>
      <c r="G1729" s="1">
        <v>16139</v>
      </c>
      <c r="H1729" s="2">
        <f t="shared" ca="1" si="496"/>
        <v>82</v>
      </c>
      <c r="I1729" s="2">
        <f t="shared" ca="1" si="497"/>
        <v>0.81428571428571428</v>
      </c>
      <c r="J1729" t="s">
        <v>36</v>
      </c>
      <c r="K1729" t="s">
        <v>37</v>
      </c>
      <c r="L1729">
        <f t="shared" si="498"/>
        <v>1</v>
      </c>
      <c r="M1729">
        <f t="shared" si="499"/>
        <v>0</v>
      </c>
      <c r="N1729">
        <f t="shared" si="500"/>
        <v>0</v>
      </c>
      <c r="O1729" t="s">
        <v>76</v>
      </c>
      <c r="P1729">
        <f t="shared" si="501"/>
        <v>0</v>
      </c>
      <c r="Q1729">
        <f t="shared" si="502"/>
        <v>1</v>
      </c>
      <c r="R1729">
        <f t="shared" si="503"/>
        <v>0</v>
      </c>
      <c r="S1729">
        <f t="shared" si="504"/>
        <v>0</v>
      </c>
      <c r="T1729">
        <f t="shared" si="505"/>
        <v>0</v>
      </c>
      <c r="U1729">
        <f t="shared" si="506"/>
        <v>0</v>
      </c>
      <c r="V1729">
        <f t="shared" si="507"/>
        <v>0</v>
      </c>
      <c r="W1729" t="s">
        <v>39</v>
      </c>
      <c r="X1729">
        <f t="shared" si="508"/>
        <v>1</v>
      </c>
      <c r="Y1729">
        <f t="shared" si="509"/>
        <v>0</v>
      </c>
      <c r="Z1729">
        <v>3</v>
      </c>
      <c r="AA1729">
        <f t="shared" si="510"/>
        <v>0.5</v>
      </c>
      <c r="AB1729" t="s">
        <v>40</v>
      </c>
      <c r="AC1729">
        <f t="shared" si="511"/>
        <v>0</v>
      </c>
      <c r="AD1729">
        <f t="shared" si="512"/>
        <v>1</v>
      </c>
      <c r="AE1729" t="s">
        <v>90</v>
      </c>
      <c r="AF1729">
        <f>IF(AE1729="website",1,0)</f>
        <v>0</v>
      </c>
    </row>
    <row r="1730" spans="1:32">
      <c r="A1730" t="s">
        <v>2382</v>
      </c>
      <c r="B1730" t="s">
        <v>33</v>
      </c>
      <c r="C1730" s="3">
        <f t="shared" ref="C1730:C1793" si="513">IF(B1730="company",1,0)</f>
        <v>0</v>
      </c>
      <c r="D1730">
        <f t="shared" ref="D1730:D1793" si="514">IF(B1730="individual",1,0)</f>
        <v>1</v>
      </c>
      <c r="E1730" t="s">
        <v>1288</v>
      </c>
      <c r="F1730" t="s">
        <v>695</v>
      </c>
      <c r="G1730" s="1">
        <v>20266</v>
      </c>
      <c r="H1730" s="2">
        <f t="shared" ref="H1730:H1793" ca="1" si="515">DATEDIF(G1730,TODAY(),"Y")</f>
        <v>71</v>
      </c>
      <c r="I1730" s="2">
        <f t="shared" ref="I1730:I1793" ca="1" si="516">(H1730-MIN(H:H))/(MAX(H:H)-MIN(H:H))</f>
        <v>0.65714285714285714</v>
      </c>
      <c r="J1730" t="s">
        <v>45</v>
      </c>
      <c r="K1730" t="s">
        <v>65</v>
      </c>
      <c r="L1730">
        <f t="shared" ref="L1730:L1793" si="517">IF(K1730="usa",1,0)</f>
        <v>0</v>
      </c>
      <c r="M1730">
        <f t="shared" ref="M1730:M1793" si="518">IF(K1730="canada",1,0)</f>
        <v>1</v>
      </c>
      <c r="N1730">
        <f t="shared" ref="N1730:N1793" si="519">IF(K1730="germany",1,0)</f>
        <v>0</v>
      </c>
      <c r="O1730" t="s">
        <v>642</v>
      </c>
      <c r="P1730">
        <f t="shared" ref="P1730:P1793" si="520">IF(O1730="california",1,0)</f>
        <v>0</v>
      </c>
      <c r="Q1730">
        <f t="shared" ref="Q1730:Q1793" si="521">IF(O1730="oregon",1,0)</f>
        <v>0</v>
      </c>
      <c r="R1730">
        <f t="shared" ref="R1730:R1793" si="522">IF(O1730="quebec",1,0)</f>
        <v>0</v>
      </c>
      <c r="S1730">
        <f t="shared" ref="S1730:S1793" si="523">IF(O1730="berlin",1,0)</f>
        <v>0</v>
      </c>
      <c r="T1730">
        <f t="shared" ref="T1730:T1793" si="524">IF(O1730="arizona",1,0)</f>
        <v>0</v>
      </c>
      <c r="U1730">
        <f t="shared" ref="U1730:U1793" si="525">IF(O1730="nevada",1,0)</f>
        <v>0</v>
      </c>
      <c r="V1730">
        <f t="shared" ref="V1730:V1793" si="526">IF(O1730="colardo",1,0)</f>
        <v>0</v>
      </c>
      <c r="W1730" t="s">
        <v>39</v>
      </c>
      <c r="X1730">
        <f t="shared" ref="X1730:X1793" si="527">IF(W1730="home",1,0)</f>
        <v>1</v>
      </c>
      <c r="Y1730">
        <f t="shared" ref="Y1730:Y1793" si="528">IF(W1730="investment",1,0)</f>
        <v>0</v>
      </c>
      <c r="Z1730">
        <v>3</v>
      </c>
      <c r="AA1730">
        <f t="shared" ref="AA1730:AA1793" si="529">(Z1730-1)/4</f>
        <v>0.5</v>
      </c>
      <c r="AB1730" t="s">
        <v>40</v>
      </c>
      <c r="AC1730">
        <f t="shared" ref="AC1730:AC1793" si="530">IF(AE1730="agency",1,0)</f>
        <v>0</v>
      </c>
      <c r="AD1730">
        <f t="shared" ref="AD1730:AD1793" si="531">IF(AE1730="client",1,0)</f>
        <v>0</v>
      </c>
      <c r="AE1730" t="s">
        <v>41</v>
      </c>
      <c r="AF1730">
        <f>IF(AE1730="website",1,0)</f>
        <v>1</v>
      </c>
    </row>
    <row r="1731" spans="1:32">
      <c r="A1731" t="s">
        <v>2383</v>
      </c>
      <c r="B1731" t="s">
        <v>33</v>
      </c>
      <c r="C1731" s="3">
        <f t="shared" si="513"/>
        <v>0</v>
      </c>
      <c r="D1731">
        <f t="shared" si="514"/>
        <v>1</v>
      </c>
      <c r="E1731" t="s">
        <v>1110</v>
      </c>
      <c r="F1731" t="s">
        <v>796</v>
      </c>
      <c r="G1731" s="1">
        <v>29181</v>
      </c>
      <c r="H1731" s="2">
        <f t="shared" ca="1" si="515"/>
        <v>46</v>
      </c>
      <c r="I1731" s="2">
        <f t="shared" ca="1" si="516"/>
        <v>0.3</v>
      </c>
      <c r="J1731" t="s">
        <v>45</v>
      </c>
      <c r="K1731" t="s">
        <v>158</v>
      </c>
      <c r="L1731">
        <f t="shared" si="517"/>
        <v>0</v>
      </c>
      <c r="M1731">
        <f t="shared" si="518"/>
        <v>0</v>
      </c>
      <c r="N1731">
        <f t="shared" si="519"/>
        <v>0</v>
      </c>
      <c r="O1731" t="s">
        <v>650</v>
      </c>
      <c r="P1731">
        <f t="shared" si="520"/>
        <v>0</v>
      </c>
      <c r="Q1731">
        <f t="shared" si="521"/>
        <v>0</v>
      </c>
      <c r="R1731">
        <f t="shared" si="522"/>
        <v>0</v>
      </c>
      <c r="S1731">
        <f t="shared" si="523"/>
        <v>0</v>
      </c>
      <c r="T1731">
        <f t="shared" si="524"/>
        <v>0</v>
      </c>
      <c r="U1731">
        <f t="shared" si="525"/>
        <v>0</v>
      </c>
      <c r="V1731">
        <f t="shared" si="526"/>
        <v>0</v>
      </c>
      <c r="W1731" t="s">
        <v>58</v>
      </c>
      <c r="X1731">
        <f t="shared" si="527"/>
        <v>0</v>
      </c>
      <c r="Y1731">
        <f t="shared" si="528"/>
        <v>1</v>
      </c>
      <c r="Z1731">
        <v>5</v>
      </c>
      <c r="AA1731">
        <f t="shared" si="529"/>
        <v>1</v>
      </c>
      <c r="AB1731" t="s">
        <v>40</v>
      </c>
      <c r="AC1731">
        <f t="shared" si="530"/>
        <v>1</v>
      </c>
      <c r="AD1731">
        <f t="shared" si="531"/>
        <v>0</v>
      </c>
      <c r="AE1731" t="s">
        <v>50</v>
      </c>
      <c r="AF1731">
        <f>IF(AE1731="website",1,0)</f>
        <v>0</v>
      </c>
    </row>
    <row r="1732" spans="1:32">
      <c r="A1732" t="s">
        <v>2384</v>
      </c>
      <c r="B1732" t="s">
        <v>33</v>
      </c>
      <c r="C1732" s="3">
        <f t="shared" si="513"/>
        <v>0</v>
      </c>
      <c r="D1732">
        <f t="shared" si="514"/>
        <v>1</v>
      </c>
      <c r="E1732" t="s">
        <v>694</v>
      </c>
      <c r="F1732" t="s">
        <v>714</v>
      </c>
      <c r="G1732" s="1">
        <v>26286</v>
      </c>
      <c r="H1732" s="2">
        <f t="shared" ca="1" si="515"/>
        <v>54</v>
      </c>
      <c r="I1732" s="2">
        <f t="shared" ca="1" si="516"/>
        <v>0.41428571428571431</v>
      </c>
      <c r="J1732" t="s">
        <v>45</v>
      </c>
      <c r="K1732" t="s">
        <v>37</v>
      </c>
      <c r="L1732">
        <f t="shared" si="517"/>
        <v>1</v>
      </c>
      <c r="M1732">
        <f t="shared" si="518"/>
        <v>0</v>
      </c>
      <c r="N1732">
        <f t="shared" si="519"/>
        <v>0</v>
      </c>
      <c r="O1732" t="s">
        <v>38</v>
      </c>
      <c r="P1732">
        <f t="shared" si="520"/>
        <v>1</v>
      </c>
      <c r="Q1732">
        <f t="shared" si="521"/>
        <v>0</v>
      </c>
      <c r="R1732">
        <f t="shared" si="522"/>
        <v>0</v>
      </c>
      <c r="S1732">
        <f t="shared" si="523"/>
        <v>0</v>
      </c>
      <c r="T1732">
        <f t="shared" si="524"/>
        <v>0</v>
      </c>
      <c r="U1732">
        <f t="shared" si="525"/>
        <v>0</v>
      </c>
      <c r="V1732">
        <f t="shared" si="526"/>
        <v>0</v>
      </c>
      <c r="W1732" t="s">
        <v>39</v>
      </c>
      <c r="X1732">
        <f t="shared" si="527"/>
        <v>1</v>
      </c>
      <c r="Y1732">
        <f t="shared" si="528"/>
        <v>0</v>
      </c>
      <c r="Z1732">
        <v>4</v>
      </c>
      <c r="AA1732">
        <f t="shared" si="529"/>
        <v>0.75</v>
      </c>
      <c r="AB1732" t="s">
        <v>40</v>
      </c>
      <c r="AC1732">
        <f t="shared" si="530"/>
        <v>0</v>
      </c>
      <c r="AD1732">
        <f t="shared" si="531"/>
        <v>0</v>
      </c>
      <c r="AE1732" t="s">
        <v>41</v>
      </c>
      <c r="AF1732">
        <f>IF(AE1732="website",1,0)</f>
        <v>1</v>
      </c>
    </row>
    <row r="1733" spans="1:32">
      <c r="A1733" t="s">
        <v>2385</v>
      </c>
      <c r="B1733" t="s">
        <v>33</v>
      </c>
      <c r="C1733" s="3">
        <f t="shared" si="513"/>
        <v>0</v>
      </c>
      <c r="D1733">
        <f t="shared" si="514"/>
        <v>1</v>
      </c>
      <c r="E1733" t="s">
        <v>712</v>
      </c>
      <c r="F1733" t="s">
        <v>571</v>
      </c>
      <c r="G1733" s="1">
        <v>25764</v>
      </c>
      <c r="H1733" s="2">
        <f t="shared" ca="1" si="515"/>
        <v>56</v>
      </c>
      <c r="I1733" s="2">
        <f t="shared" ca="1" si="516"/>
        <v>0.44285714285714284</v>
      </c>
      <c r="J1733" t="s">
        <v>36</v>
      </c>
      <c r="K1733" t="s">
        <v>65</v>
      </c>
      <c r="L1733">
        <f t="shared" si="517"/>
        <v>0</v>
      </c>
      <c r="M1733">
        <f t="shared" si="518"/>
        <v>1</v>
      </c>
      <c r="N1733">
        <f t="shared" si="519"/>
        <v>0</v>
      </c>
      <c r="O1733" t="s">
        <v>843</v>
      </c>
      <c r="P1733">
        <f t="shared" si="520"/>
        <v>0</v>
      </c>
      <c r="Q1733">
        <f t="shared" si="521"/>
        <v>0</v>
      </c>
      <c r="R1733">
        <f t="shared" si="522"/>
        <v>0</v>
      </c>
      <c r="S1733">
        <f t="shared" si="523"/>
        <v>0</v>
      </c>
      <c r="T1733">
        <f t="shared" si="524"/>
        <v>0</v>
      </c>
      <c r="U1733">
        <f t="shared" si="525"/>
        <v>0</v>
      </c>
      <c r="V1733">
        <f t="shared" si="526"/>
        <v>0</v>
      </c>
      <c r="W1733" t="s">
        <v>58</v>
      </c>
      <c r="X1733">
        <f t="shared" si="527"/>
        <v>0</v>
      </c>
      <c r="Y1733">
        <f t="shared" si="528"/>
        <v>1</v>
      </c>
      <c r="Z1733">
        <v>2</v>
      </c>
      <c r="AA1733">
        <f t="shared" si="529"/>
        <v>0.25</v>
      </c>
      <c r="AB1733" t="s">
        <v>46</v>
      </c>
      <c r="AC1733">
        <f t="shared" si="530"/>
        <v>1</v>
      </c>
      <c r="AD1733">
        <f t="shared" si="531"/>
        <v>0</v>
      </c>
      <c r="AE1733" t="s">
        <v>50</v>
      </c>
      <c r="AF1733">
        <f>IF(AE1733="website",1,0)</f>
        <v>0</v>
      </c>
    </row>
    <row r="1734" spans="1:32">
      <c r="A1734" t="s">
        <v>2386</v>
      </c>
      <c r="B1734" t="s">
        <v>33</v>
      </c>
      <c r="C1734" s="3">
        <f t="shared" si="513"/>
        <v>0</v>
      </c>
      <c r="D1734">
        <f t="shared" si="514"/>
        <v>1</v>
      </c>
      <c r="E1734" t="s">
        <v>259</v>
      </c>
      <c r="F1734" t="s">
        <v>562</v>
      </c>
      <c r="G1734" s="1">
        <v>17645</v>
      </c>
      <c r="H1734" s="2">
        <f t="shared" ca="1" si="515"/>
        <v>78</v>
      </c>
      <c r="I1734" s="2">
        <f t="shared" ca="1" si="516"/>
        <v>0.75714285714285712</v>
      </c>
      <c r="J1734" t="s">
        <v>36</v>
      </c>
      <c r="K1734" t="s">
        <v>37</v>
      </c>
      <c r="L1734">
        <f t="shared" si="517"/>
        <v>1</v>
      </c>
      <c r="M1734">
        <f t="shared" si="518"/>
        <v>0</v>
      </c>
      <c r="N1734">
        <f t="shared" si="519"/>
        <v>0</v>
      </c>
      <c r="O1734" t="s">
        <v>38</v>
      </c>
      <c r="P1734">
        <f t="shared" si="520"/>
        <v>1</v>
      </c>
      <c r="Q1734">
        <f t="shared" si="521"/>
        <v>0</v>
      </c>
      <c r="R1734">
        <f t="shared" si="522"/>
        <v>0</v>
      </c>
      <c r="S1734">
        <f t="shared" si="523"/>
        <v>0</v>
      </c>
      <c r="T1734">
        <f t="shared" si="524"/>
        <v>0</v>
      </c>
      <c r="U1734">
        <f t="shared" si="525"/>
        <v>0</v>
      </c>
      <c r="V1734">
        <f t="shared" si="526"/>
        <v>0</v>
      </c>
      <c r="W1734" t="s">
        <v>39</v>
      </c>
      <c r="X1734">
        <f t="shared" si="527"/>
        <v>1</v>
      </c>
      <c r="Y1734">
        <f t="shared" si="528"/>
        <v>0</v>
      </c>
      <c r="Z1734">
        <v>3</v>
      </c>
      <c r="AA1734">
        <f t="shared" si="529"/>
        <v>0.5</v>
      </c>
      <c r="AB1734" t="s">
        <v>40</v>
      </c>
      <c r="AC1734">
        <f t="shared" si="530"/>
        <v>1</v>
      </c>
      <c r="AD1734">
        <f t="shared" si="531"/>
        <v>0</v>
      </c>
      <c r="AE1734" t="s">
        <v>50</v>
      </c>
      <c r="AF1734">
        <f>IF(AE1734="website",1,0)</f>
        <v>0</v>
      </c>
    </row>
    <row r="1735" spans="1:32">
      <c r="A1735" t="s">
        <v>2387</v>
      </c>
      <c r="B1735" t="s">
        <v>33</v>
      </c>
      <c r="C1735" s="3">
        <f t="shared" si="513"/>
        <v>0</v>
      </c>
      <c r="D1735">
        <f t="shared" si="514"/>
        <v>1</v>
      </c>
      <c r="E1735" t="s">
        <v>842</v>
      </c>
      <c r="F1735" t="s">
        <v>653</v>
      </c>
      <c r="G1735" s="1">
        <v>27408</v>
      </c>
      <c r="H1735" s="2">
        <f t="shared" ca="1" si="515"/>
        <v>51</v>
      </c>
      <c r="I1735" s="2">
        <f t="shared" ca="1" si="516"/>
        <v>0.37142857142857144</v>
      </c>
      <c r="J1735" t="s">
        <v>45</v>
      </c>
      <c r="K1735" t="s">
        <v>37</v>
      </c>
      <c r="L1735">
        <f t="shared" si="517"/>
        <v>1</v>
      </c>
      <c r="M1735">
        <f t="shared" si="518"/>
        <v>0</v>
      </c>
      <c r="N1735">
        <f t="shared" si="519"/>
        <v>0</v>
      </c>
      <c r="O1735" t="s">
        <v>38</v>
      </c>
      <c r="P1735">
        <f t="shared" si="520"/>
        <v>1</v>
      </c>
      <c r="Q1735">
        <f t="shared" si="521"/>
        <v>0</v>
      </c>
      <c r="R1735">
        <f t="shared" si="522"/>
        <v>0</v>
      </c>
      <c r="S1735">
        <f t="shared" si="523"/>
        <v>0</v>
      </c>
      <c r="T1735">
        <f t="shared" si="524"/>
        <v>0</v>
      </c>
      <c r="U1735">
        <f t="shared" si="525"/>
        <v>0</v>
      </c>
      <c r="V1735">
        <f t="shared" si="526"/>
        <v>0</v>
      </c>
      <c r="W1735" t="s">
        <v>39</v>
      </c>
      <c r="X1735">
        <f t="shared" si="527"/>
        <v>1</v>
      </c>
      <c r="Y1735">
        <f t="shared" si="528"/>
        <v>0</v>
      </c>
      <c r="Z1735">
        <v>5</v>
      </c>
      <c r="AA1735">
        <f t="shared" si="529"/>
        <v>1</v>
      </c>
      <c r="AB1735" t="s">
        <v>46</v>
      </c>
      <c r="AC1735">
        <f t="shared" si="530"/>
        <v>0</v>
      </c>
      <c r="AD1735">
        <f t="shared" si="531"/>
        <v>0</v>
      </c>
      <c r="AE1735" t="s">
        <v>41</v>
      </c>
      <c r="AF1735">
        <f>IF(AE1735="website",1,0)</f>
        <v>1</v>
      </c>
    </row>
    <row r="1736" spans="1:32">
      <c r="A1736" t="s">
        <v>2388</v>
      </c>
      <c r="B1736" t="s">
        <v>33</v>
      </c>
      <c r="C1736" s="3">
        <f t="shared" si="513"/>
        <v>0</v>
      </c>
      <c r="D1736">
        <f t="shared" si="514"/>
        <v>1</v>
      </c>
      <c r="E1736" t="s">
        <v>570</v>
      </c>
      <c r="F1736" t="s">
        <v>364</v>
      </c>
      <c r="G1736" s="1">
        <v>25483</v>
      </c>
      <c r="H1736" s="2">
        <f t="shared" ca="1" si="515"/>
        <v>56</v>
      </c>
      <c r="I1736" s="2">
        <f t="shared" ca="1" si="516"/>
        <v>0.44285714285714284</v>
      </c>
      <c r="J1736" t="s">
        <v>36</v>
      </c>
      <c r="K1736" t="s">
        <v>37</v>
      </c>
      <c r="L1736">
        <f t="shared" si="517"/>
        <v>1</v>
      </c>
      <c r="M1736">
        <f t="shared" si="518"/>
        <v>0</v>
      </c>
      <c r="N1736">
        <f t="shared" si="519"/>
        <v>0</v>
      </c>
      <c r="O1736" t="s">
        <v>183</v>
      </c>
      <c r="P1736">
        <f t="shared" si="520"/>
        <v>0</v>
      </c>
      <c r="Q1736">
        <f t="shared" si="521"/>
        <v>0</v>
      </c>
      <c r="R1736">
        <f t="shared" si="522"/>
        <v>0</v>
      </c>
      <c r="S1736">
        <f t="shared" si="523"/>
        <v>0</v>
      </c>
      <c r="T1736">
        <f t="shared" si="524"/>
        <v>0</v>
      </c>
      <c r="U1736">
        <f t="shared" si="525"/>
        <v>0</v>
      </c>
      <c r="V1736">
        <f t="shared" si="526"/>
        <v>0</v>
      </c>
      <c r="W1736" t="s">
        <v>58</v>
      </c>
      <c r="X1736">
        <f t="shared" si="527"/>
        <v>0</v>
      </c>
      <c r="Y1736">
        <f t="shared" si="528"/>
        <v>1</v>
      </c>
      <c r="Z1736">
        <v>3</v>
      </c>
      <c r="AA1736">
        <f t="shared" si="529"/>
        <v>0.5</v>
      </c>
      <c r="AB1736" t="s">
        <v>46</v>
      </c>
      <c r="AC1736">
        <f t="shared" si="530"/>
        <v>0</v>
      </c>
      <c r="AD1736">
        <f t="shared" si="531"/>
        <v>0</v>
      </c>
      <c r="AE1736" t="s">
        <v>41</v>
      </c>
      <c r="AF1736">
        <f>IF(AE1736="website",1,0)</f>
        <v>1</v>
      </c>
    </row>
    <row r="1737" spans="1:32">
      <c r="A1737" t="s">
        <v>2389</v>
      </c>
      <c r="B1737" t="s">
        <v>33</v>
      </c>
      <c r="C1737" s="3">
        <f t="shared" si="513"/>
        <v>0</v>
      </c>
      <c r="D1737">
        <f t="shared" si="514"/>
        <v>1</v>
      </c>
      <c r="E1737" t="s">
        <v>894</v>
      </c>
      <c r="F1737" t="s">
        <v>876</v>
      </c>
      <c r="G1737" s="1">
        <v>32772</v>
      </c>
      <c r="H1737" s="2">
        <f t="shared" ca="1" si="515"/>
        <v>37</v>
      </c>
      <c r="I1737" s="2">
        <f t="shared" ca="1" si="516"/>
        <v>0.17142857142857143</v>
      </c>
      <c r="J1737" t="s">
        <v>36</v>
      </c>
      <c r="K1737" t="s">
        <v>37</v>
      </c>
      <c r="L1737">
        <f t="shared" si="517"/>
        <v>1</v>
      </c>
      <c r="M1737">
        <f t="shared" si="518"/>
        <v>0</v>
      </c>
      <c r="N1737">
        <f t="shared" si="519"/>
        <v>0</v>
      </c>
      <c r="O1737" t="s">
        <v>38</v>
      </c>
      <c r="P1737">
        <f t="shared" si="520"/>
        <v>1</v>
      </c>
      <c r="Q1737">
        <f t="shared" si="521"/>
        <v>0</v>
      </c>
      <c r="R1737">
        <f t="shared" si="522"/>
        <v>0</v>
      </c>
      <c r="S1737">
        <f t="shared" si="523"/>
        <v>0</v>
      </c>
      <c r="T1737">
        <f t="shared" si="524"/>
        <v>0</v>
      </c>
      <c r="U1737">
        <f t="shared" si="525"/>
        <v>0</v>
      </c>
      <c r="V1737">
        <f t="shared" si="526"/>
        <v>0</v>
      </c>
      <c r="W1737" t="s">
        <v>58</v>
      </c>
      <c r="X1737">
        <f t="shared" si="527"/>
        <v>0</v>
      </c>
      <c r="Y1737">
        <f t="shared" si="528"/>
        <v>1</v>
      </c>
      <c r="Z1737">
        <v>4</v>
      </c>
      <c r="AA1737">
        <f t="shared" si="529"/>
        <v>0.75</v>
      </c>
      <c r="AB1737" t="s">
        <v>40</v>
      </c>
      <c r="AC1737">
        <f t="shared" si="530"/>
        <v>0</v>
      </c>
      <c r="AD1737">
        <f t="shared" si="531"/>
        <v>0</v>
      </c>
      <c r="AE1737" t="s">
        <v>41</v>
      </c>
      <c r="AF1737">
        <f>IF(AE1737="website",1,0)</f>
        <v>1</v>
      </c>
    </row>
    <row r="1738" spans="1:32">
      <c r="A1738" t="s">
        <v>2390</v>
      </c>
      <c r="B1738" t="s">
        <v>33</v>
      </c>
      <c r="C1738" s="3">
        <f t="shared" si="513"/>
        <v>0</v>
      </c>
      <c r="D1738">
        <f t="shared" si="514"/>
        <v>1</v>
      </c>
      <c r="E1738" t="s">
        <v>982</v>
      </c>
      <c r="F1738" t="s">
        <v>911</v>
      </c>
      <c r="G1738" s="1">
        <v>33962</v>
      </c>
      <c r="H1738" s="2">
        <f t="shared" ca="1" si="515"/>
        <v>33</v>
      </c>
      <c r="I1738" s="2">
        <f t="shared" ca="1" si="516"/>
        <v>0.11428571428571428</v>
      </c>
      <c r="J1738" t="s">
        <v>36</v>
      </c>
      <c r="K1738" t="s">
        <v>37</v>
      </c>
      <c r="L1738">
        <f t="shared" si="517"/>
        <v>1</v>
      </c>
      <c r="M1738">
        <f t="shared" si="518"/>
        <v>0</v>
      </c>
      <c r="N1738">
        <f t="shared" si="519"/>
        <v>0</v>
      </c>
      <c r="O1738" t="s">
        <v>38</v>
      </c>
      <c r="P1738">
        <f t="shared" si="520"/>
        <v>1</v>
      </c>
      <c r="Q1738">
        <f t="shared" si="521"/>
        <v>0</v>
      </c>
      <c r="R1738">
        <f t="shared" si="522"/>
        <v>0</v>
      </c>
      <c r="S1738">
        <f t="shared" si="523"/>
        <v>0</v>
      </c>
      <c r="T1738">
        <f t="shared" si="524"/>
        <v>0</v>
      </c>
      <c r="U1738">
        <f t="shared" si="525"/>
        <v>0</v>
      </c>
      <c r="V1738">
        <f t="shared" si="526"/>
        <v>0</v>
      </c>
      <c r="W1738" t="s">
        <v>58</v>
      </c>
      <c r="X1738">
        <f t="shared" si="527"/>
        <v>0</v>
      </c>
      <c r="Y1738">
        <f t="shared" si="528"/>
        <v>1</v>
      </c>
      <c r="Z1738">
        <v>3</v>
      </c>
      <c r="AA1738">
        <f t="shared" si="529"/>
        <v>0.5</v>
      </c>
      <c r="AB1738" t="s">
        <v>46</v>
      </c>
      <c r="AC1738">
        <f t="shared" si="530"/>
        <v>0</v>
      </c>
      <c r="AD1738">
        <f t="shared" si="531"/>
        <v>0</v>
      </c>
      <c r="AE1738" t="s">
        <v>41</v>
      </c>
      <c r="AF1738">
        <f>IF(AE1738="website",1,0)</f>
        <v>1</v>
      </c>
    </row>
    <row r="1739" spans="1:32">
      <c r="A1739" t="s">
        <v>2391</v>
      </c>
      <c r="B1739" t="s">
        <v>33</v>
      </c>
      <c r="C1739" s="3">
        <f t="shared" si="513"/>
        <v>0</v>
      </c>
      <c r="D1739">
        <f t="shared" si="514"/>
        <v>1</v>
      </c>
      <c r="E1739" t="s">
        <v>622</v>
      </c>
      <c r="F1739" t="s">
        <v>549</v>
      </c>
      <c r="G1739" s="1">
        <v>28181</v>
      </c>
      <c r="H1739" s="2">
        <f t="shared" ca="1" si="515"/>
        <v>49</v>
      </c>
      <c r="I1739" s="2">
        <f t="shared" ca="1" si="516"/>
        <v>0.34285714285714286</v>
      </c>
      <c r="J1739" t="s">
        <v>36</v>
      </c>
      <c r="K1739" t="s">
        <v>37</v>
      </c>
      <c r="L1739">
        <f t="shared" si="517"/>
        <v>1</v>
      </c>
      <c r="M1739">
        <f t="shared" si="518"/>
        <v>0</v>
      </c>
      <c r="N1739">
        <f t="shared" si="519"/>
        <v>0</v>
      </c>
      <c r="O1739" t="s">
        <v>38</v>
      </c>
      <c r="P1739">
        <f t="shared" si="520"/>
        <v>1</v>
      </c>
      <c r="Q1739">
        <f t="shared" si="521"/>
        <v>0</v>
      </c>
      <c r="R1739">
        <f t="shared" si="522"/>
        <v>0</v>
      </c>
      <c r="S1739">
        <f t="shared" si="523"/>
        <v>0</v>
      </c>
      <c r="T1739">
        <f t="shared" si="524"/>
        <v>0</v>
      </c>
      <c r="U1739">
        <f t="shared" si="525"/>
        <v>0</v>
      </c>
      <c r="V1739">
        <f t="shared" si="526"/>
        <v>0</v>
      </c>
      <c r="W1739" t="s">
        <v>39</v>
      </c>
      <c r="X1739">
        <f t="shared" si="527"/>
        <v>1</v>
      </c>
      <c r="Y1739">
        <f t="shared" si="528"/>
        <v>0</v>
      </c>
      <c r="Z1739">
        <v>5</v>
      </c>
      <c r="AA1739">
        <f t="shared" si="529"/>
        <v>1</v>
      </c>
      <c r="AB1739" t="s">
        <v>46</v>
      </c>
      <c r="AC1739">
        <f t="shared" si="530"/>
        <v>0</v>
      </c>
      <c r="AD1739">
        <f t="shared" si="531"/>
        <v>0</v>
      </c>
      <c r="AE1739" t="s">
        <v>41</v>
      </c>
      <c r="AF1739">
        <f>IF(AE1739="website",1,0)</f>
        <v>1</v>
      </c>
    </row>
    <row r="1740" spans="1:32">
      <c r="A1740" t="s">
        <v>2392</v>
      </c>
      <c r="B1740" t="s">
        <v>33</v>
      </c>
      <c r="C1740" s="3">
        <f t="shared" si="513"/>
        <v>0</v>
      </c>
      <c r="D1740">
        <f t="shared" si="514"/>
        <v>1</v>
      </c>
      <c r="E1740" t="s">
        <v>972</v>
      </c>
      <c r="F1740" t="s">
        <v>953</v>
      </c>
      <c r="G1740" s="1">
        <v>31103</v>
      </c>
      <c r="H1740" s="2">
        <f t="shared" ca="1" si="515"/>
        <v>41</v>
      </c>
      <c r="I1740" s="2">
        <f t="shared" ca="1" si="516"/>
        <v>0.22857142857142856</v>
      </c>
      <c r="J1740" t="s">
        <v>45</v>
      </c>
      <c r="K1740" t="s">
        <v>172</v>
      </c>
      <c r="L1740">
        <f t="shared" si="517"/>
        <v>0</v>
      </c>
      <c r="M1740">
        <f t="shared" si="518"/>
        <v>0</v>
      </c>
      <c r="N1740">
        <f t="shared" si="519"/>
        <v>0</v>
      </c>
      <c r="O1740" t="s">
        <v>459</v>
      </c>
      <c r="P1740">
        <f t="shared" si="520"/>
        <v>0</v>
      </c>
      <c r="Q1740">
        <f t="shared" si="521"/>
        <v>0</v>
      </c>
      <c r="R1740">
        <f t="shared" si="522"/>
        <v>0</v>
      </c>
      <c r="S1740">
        <f t="shared" si="523"/>
        <v>0</v>
      </c>
      <c r="T1740">
        <f t="shared" si="524"/>
        <v>0</v>
      </c>
      <c r="U1740">
        <f t="shared" si="525"/>
        <v>0</v>
      </c>
      <c r="V1740">
        <f t="shared" si="526"/>
        <v>0</v>
      </c>
      <c r="W1740" t="s">
        <v>58</v>
      </c>
      <c r="X1740">
        <f t="shared" si="527"/>
        <v>0</v>
      </c>
      <c r="Y1740">
        <f t="shared" si="528"/>
        <v>1</v>
      </c>
      <c r="Z1740">
        <v>3</v>
      </c>
      <c r="AA1740">
        <f t="shared" si="529"/>
        <v>0.5</v>
      </c>
      <c r="AB1740" t="s">
        <v>40</v>
      </c>
      <c r="AC1740">
        <f t="shared" si="530"/>
        <v>0</v>
      </c>
      <c r="AD1740">
        <f t="shared" si="531"/>
        <v>0</v>
      </c>
      <c r="AE1740" t="s">
        <v>41</v>
      </c>
      <c r="AF1740">
        <f>IF(AE1740="website",1,0)</f>
        <v>1</v>
      </c>
    </row>
    <row r="1741" spans="1:32">
      <c r="A1741" t="s">
        <v>2393</v>
      </c>
      <c r="B1741" t="s">
        <v>33</v>
      </c>
      <c r="C1741" s="3">
        <f t="shared" si="513"/>
        <v>0</v>
      </c>
      <c r="D1741">
        <f t="shared" si="514"/>
        <v>1</v>
      </c>
      <c r="E1741" t="s">
        <v>587</v>
      </c>
      <c r="F1741" t="s">
        <v>576</v>
      </c>
      <c r="G1741" s="1">
        <v>18886</v>
      </c>
      <c r="H1741" s="2">
        <f t="shared" ca="1" si="515"/>
        <v>75</v>
      </c>
      <c r="I1741" s="2">
        <f t="shared" ca="1" si="516"/>
        <v>0.7142857142857143</v>
      </c>
      <c r="J1741" t="s">
        <v>36</v>
      </c>
      <c r="K1741" t="s">
        <v>37</v>
      </c>
      <c r="L1741">
        <f t="shared" si="517"/>
        <v>1</v>
      </c>
      <c r="M1741">
        <f t="shared" si="518"/>
        <v>0</v>
      </c>
      <c r="N1741">
        <f t="shared" si="519"/>
        <v>0</v>
      </c>
      <c r="O1741" t="s">
        <v>38</v>
      </c>
      <c r="P1741">
        <f t="shared" si="520"/>
        <v>1</v>
      </c>
      <c r="Q1741">
        <f t="shared" si="521"/>
        <v>0</v>
      </c>
      <c r="R1741">
        <f t="shared" si="522"/>
        <v>0</v>
      </c>
      <c r="S1741">
        <f t="shared" si="523"/>
        <v>0</v>
      </c>
      <c r="T1741">
        <f t="shared" si="524"/>
        <v>0</v>
      </c>
      <c r="U1741">
        <f t="shared" si="525"/>
        <v>0</v>
      </c>
      <c r="V1741">
        <f t="shared" si="526"/>
        <v>0</v>
      </c>
      <c r="W1741" t="s">
        <v>39</v>
      </c>
      <c r="X1741">
        <f t="shared" si="527"/>
        <v>1</v>
      </c>
      <c r="Y1741">
        <f t="shared" si="528"/>
        <v>0</v>
      </c>
      <c r="Z1741">
        <v>5</v>
      </c>
      <c r="AA1741">
        <f t="shared" si="529"/>
        <v>1</v>
      </c>
      <c r="AB1741" t="s">
        <v>40</v>
      </c>
      <c r="AC1741">
        <f t="shared" si="530"/>
        <v>0</v>
      </c>
      <c r="AD1741">
        <f t="shared" si="531"/>
        <v>0</v>
      </c>
      <c r="AE1741" t="s">
        <v>41</v>
      </c>
      <c r="AF1741">
        <f>IF(AE1741="website",1,0)</f>
        <v>1</v>
      </c>
    </row>
    <row r="1742" spans="1:32">
      <c r="A1742" t="s">
        <v>2394</v>
      </c>
      <c r="B1742" t="s">
        <v>33</v>
      </c>
      <c r="C1742" s="3">
        <f t="shared" si="513"/>
        <v>0</v>
      </c>
      <c r="D1742">
        <f t="shared" si="514"/>
        <v>1</v>
      </c>
      <c r="E1742" t="s">
        <v>576</v>
      </c>
      <c r="F1742" t="s">
        <v>61</v>
      </c>
      <c r="G1742" s="1">
        <v>27868</v>
      </c>
      <c r="H1742" s="2">
        <f t="shared" ca="1" si="515"/>
        <v>50</v>
      </c>
      <c r="I1742" s="2">
        <f t="shared" ca="1" si="516"/>
        <v>0.35714285714285715</v>
      </c>
      <c r="J1742" t="s">
        <v>45</v>
      </c>
      <c r="K1742" t="s">
        <v>37</v>
      </c>
      <c r="L1742">
        <f t="shared" si="517"/>
        <v>1</v>
      </c>
      <c r="M1742">
        <f t="shared" si="518"/>
        <v>0</v>
      </c>
      <c r="N1742">
        <f t="shared" si="519"/>
        <v>0</v>
      </c>
      <c r="O1742" t="s">
        <v>305</v>
      </c>
      <c r="P1742">
        <f t="shared" si="520"/>
        <v>0</v>
      </c>
      <c r="Q1742">
        <f t="shared" si="521"/>
        <v>0</v>
      </c>
      <c r="R1742">
        <f t="shared" si="522"/>
        <v>0</v>
      </c>
      <c r="S1742">
        <f t="shared" si="523"/>
        <v>0</v>
      </c>
      <c r="T1742">
        <f t="shared" si="524"/>
        <v>0</v>
      </c>
      <c r="U1742">
        <f t="shared" si="525"/>
        <v>0</v>
      </c>
      <c r="V1742">
        <f t="shared" si="526"/>
        <v>0</v>
      </c>
      <c r="W1742" t="s">
        <v>39</v>
      </c>
      <c r="X1742">
        <f t="shared" si="527"/>
        <v>1</v>
      </c>
      <c r="Y1742">
        <f t="shared" si="528"/>
        <v>0</v>
      </c>
      <c r="Z1742">
        <v>5</v>
      </c>
      <c r="AA1742">
        <f t="shared" si="529"/>
        <v>1</v>
      </c>
      <c r="AB1742" t="s">
        <v>46</v>
      </c>
      <c r="AC1742">
        <f t="shared" si="530"/>
        <v>0</v>
      </c>
      <c r="AD1742">
        <f t="shared" si="531"/>
        <v>0</v>
      </c>
      <c r="AE1742" t="s">
        <v>41</v>
      </c>
      <c r="AF1742">
        <f>IF(AE1742="website",1,0)</f>
        <v>1</v>
      </c>
    </row>
    <row r="1743" spans="1:32">
      <c r="A1743" t="s">
        <v>2395</v>
      </c>
      <c r="B1743" t="s">
        <v>55</v>
      </c>
      <c r="C1743" s="3">
        <f t="shared" si="513"/>
        <v>1</v>
      </c>
      <c r="D1743">
        <f t="shared" si="514"/>
        <v>0</v>
      </c>
      <c r="E1743" t="s">
        <v>1602</v>
      </c>
      <c r="F1743" t="s">
        <v>57</v>
      </c>
      <c r="G1743" s="1">
        <v>32369</v>
      </c>
      <c r="H1743" s="2">
        <f t="shared" ca="1" si="515"/>
        <v>38</v>
      </c>
      <c r="I1743" s="2">
        <f t="shared" ca="1" si="516"/>
        <v>0.18571428571428572</v>
      </c>
      <c r="J1743" t="s">
        <v>36</v>
      </c>
      <c r="K1743" t="s">
        <v>37</v>
      </c>
      <c r="L1743">
        <f t="shared" si="517"/>
        <v>1</v>
      </c>
      <c r="M1743">
        <f t="shared" si="518"/>
        <v>0</v>
      </c>
      <c r="N1743">
        <f t="shared" si="519"/>
        <v>0</v>
      </c>
      <c r="O1743" t="s">
        <v>38</v>
      </c>
      <c r="P1743">
        <f t="shared" si="520"/>
        <v>1</v>
      </c>
      <c r="Q1743">
        <f t="shared" si="521"/>
        <v>0</v>
      </c>
      <c r="R1743">
        <f t="shared" si="522"/>
        <v>0</v>
      </c>
      <c r="S1743">
        <f t="shared" si="523"/>
        <v>0</v>
      </c>
      <c r="T1743">
        <f t="shared" si="524"/>
        <v>0</v>
      </c>
      <c r="U1743">
        <f t="shared" si="525"/>
        <v>0</v>
      </c>
      <c r="V1743">
        <f t="shared" si="526"/>
        <v>0</v>
      </c>
      <c r="W1743" t="s">
        <v>39</v>
      </c>
      <c r="X1743">
        <f t="shared" si="527"/>
        <v>1</v>
      </c>
      <c r="Y1743">
        <f t="shared" si="528"/>
        <v>0</v>
      </c>
      <c r="Z1743">
        <v>5</v>
      </c>
      <c r="AA1743">
        <f t="shared" si="529"/>
        <v>1</v>
      </c>
      <c r="AB1743" t="s">
        <v>46</v>
      </c>
      <c r="AC1743">
        <f t="shared" si="530"/>
        <v>1</v>
      </c>
      <c r="AD1743">
        <f t="shared" si="531"/>
        <v>0</v>
      </c>
      <c r="AE1743" t="s">
        <v>50</v>
      </c>
      <c r="AF1743">
        <f>IF(AE1743="website",1,0)</f>
        <v>0</v>
      </c>
    </row>
    <row r="1744" spans="1:32">
      <c r="A1744" t="s">
        <v>2396</v>
      </c>
      <c r="B1744" t="s">
        <v>33</v>
      </c>
      <c r="C1744" s="3">
        <f t="shared" si="513"/>
        <v>0</v>
      </c>
      <c r="D1744">
        <f t="shared" si="514"/>
        <v>1</v>
      </c>
      <c r="E1744" t="s">
        <v>637</v>
      </c>
      <c r="F1744" t="s">
        <v>818</v>
      </c>
      <c r="G1744" s="1">
        <v>17009</v>
      </c>
      <c r="H1744" s="2">
        <f t="shared" ca="1" si="515"/>
        <v>80</v>
      </c>
      <c r="I1744" s="2">
        <f t="shared" ca="1" si="516"/>
        <v>0.7857142857142857</v>
      </c>
      <c r="J1744" t="s">
        <v>36</v>
      </c>
      <c r="K1744" t="s">
        <v>153</v>
      </c>
      <c r="L1744">
        <f t="shared" si="517"/>
        <v>0</v>
      </c>
      <c r="M1744">
        <f t="shared" si="518"/>
        <v>0</v>
      </c>
      <c r="N1744">
        <f t="shared" si="519"/>
        <v>0</v>
      </c>
      <c r="O1744" t="s">
        <v>778</v>
      </c>
      <c r="P1744">
        <f t="shared" si="520"/>
        <v>0</v>
      </c>
      <c r="Q1744">
        <f t="shared" si="521"/>
        <v>0</v>
      </c>
      <c r="R1744">
        <f t="shared" si="522"/>
        <v>0</v>
      </c>
      <c r="S1744">
        <f t="shared" si="523"/>
        <v>0</v>
      </c>
      <c r="T1744">
        <f t="shared" si="524"/>
        <v>0</v>
      </c>
      <c r="U1744">
        <f t="shared" si="525"/>
        <v>0</v>
      </c>
      <c r="V1744">
        <f t="shared" si="526"/>
        <v>0</v>
      </c>
      <c r="W1744" t="s">
        <v>39</v>
      </c>
      <c r="X1744">
        <f t="shared" si="527"/>
        <v>1</v>
      </c>
      <c r="Y1744">
        <f t="shared" si="528"/>
        <v>0</v>
      </c>
      <c r="Z1744">
        <v>1</v>
      </c>
      <c r="AA1744">
        <f t="shared" si="529"/>
        <v>0</v>
      </c>
      <c r="AB1744" t="s">
        <v>46</v>
      </c>
      <c r="AC1744">
        <f t="shared" si="530"/>
        <v>0</v>
      </c>
      <c r="AD1744">
        <f t="shared" si="531"/>
        <v>1</v>
      </c>
      <c r="AE1744" t="s">
        <v>90</v>
      </c>
      <c r="AF1744">
        <f>IF(AE1744="website",1,0)</f>
        <v>0</v>
      </c>
    </row>
    <row r="1745" spans="1:32">
      <c r="A1745" t="s">
        <v>2397</v>
      </c>
      <c r="B1745" t="s">
        <v>33</v>
      </c>
      <c r="C1745" s="3">
        <f t="shared" si="513"/>
        <v>0</v>
      </c>
      <c r="D1745">
        <f t="shared" si="514"/>
        <v>1</v>
      </c>
      <c r="E1745" t="s">
        <v>986</v>
      </c>
      <c r="F1745" t="s">
        <v>554</v>
      </c>
      <c r="G1745" s="1">
        <v>22601</v>
      </c>
      <c r="H1745" s="2">
        <f t="shared" ca="1" si="515"/>
        <v>64</v>
      </c>
      <c r="I1745" s="2">
        <f t="shared" ca="1" si="516"/>
        <v>0.55714285714285716</v>
      </c>
      <c r="J1745" t="s">
        <v>45</v>
      </c>
      <c r="K1745" t="s">
        <v>172</v>
      </c>
      <c r="L1745">
        <f t="shared" si="517"/>
        <v>0</v>
      </c>
      <c r="M1745">
        <f t="shared" si="518"/>
        <v>0</v>
      </c>
      <c r="N1745">
        <f t="shared" si="519"/>
        <v>0</v>
      </c>
      <c r="O1745" t="s">
        <v>173</v>
      </c>
      <c r="P1745">
        <f t="shared" si="520"/>
        <v>0</v>
      </c>
      <c r="Q1745">
        <f t="shared" si="521"/>
        <v>0</v>
      </c>
      <c r="R1745">
        <f t="shared" si="522"/>
        <v>0</v>
      </c>
      <c r="S1745">
        <f t="shared" si="523"/>
        <v>0</v>
      </c>
      <c r="T1745">
        <f t="shared" si="524"/>
        <v>0</v>
      </c>
      <c r="U1745">
        <f t="shared" si="525"/>
        <v>0</v>
      </c>
      <c r="V1745">
        <f t="shared" si="526"/>
        <v>0</v>
      </c>
      <c r="W1745" t="s">
        <v>58</v>
      </c>
      <c r="X1745">
        <f t="shared" si="527"/>
        <v>0</v>
      </c>
      <c r="Y1745">
        <f t="shared" si="528"/>
        <v>1</v>
      </c>
      <c r="Z1745">
        <v>1</v>
      </c>
      <c r="AA1745">
        <f t="shared" si="529"/>
        <v>0</v>
      </c>
      <c r="AB1745" t="s">
        <v>46</v>
      </c>
      <c r="AC1745">
        <f t="shared" si="530"/>
        <v>0</v>
      </c>
      <c r="AD1745">
        <f t="shared" si="531"/>
        <v>0</v>
      </c>
      <c r="AE1745" t="s">
        <v>41</v>
      </c>
      <c r="AF1745">
        <f>IF(AE1745="website",1,0)</f>
        <v>1</v>
      </c>
    </row>
    <row r="1746" spans="1:32">
      <c r="A1746" t="s">
        <v>2398</v>
      </c>
      <c r="B1746" t="s">
        <v>33</v>
      </c>
      <c r="C1746" s="3">
        <f t="shared" si="513"/>
        <v>0</v>
      </c>
      <c r="D1746">
        <f t="shared" si="514"/>
        <v>1</v>
      </c>
      <c r="E1746" t="s">
        <v>894</v>
      </c>
      <c r="F1746" t="s">
        <v>557</v>
      </c>
      <c r="G1746" s="1">
        <v>27932</v>
      </c>
      <c r="H1746" s="2">
        <f t="shared" ca="1" si="515"/>
        <v>50</v>
      </c>
      <c r="I1746" s="2">
        <f t="shared" ca="1" si="516"/>
        <v>0.35714285714285715</v>
      </c>
      <c r="J1746" t="s">
        <v>36</v>
      </c>
      <c r="K1746" t="s">
        <v>37</v>
      </c>
      <c r="L1746">
        <f t="shared" si="517"/>
        <v>1</v>
      </c>
      <c r="M1746">
        <f t="shared" si="518"/>
        <v>0</v>
      </c>
      <c r="N1746">
        <f t="shared" si="519"/>
        <v>0</v>
      </c>
      <c r="O1746" t="s">
        <v>38</v>
      </c>
      <c r="P1746">
        <f t="shared" si="520"/>
        <v>1</v>
      </c>
      <c r="Q1746">
        <f t="shared" si="521"/>
        <v>0</v>
      </c>
      <c r="R1746">
        <f t="shared" si="522"/>
        <v>0</v>
      </c>
      <c r="S1746">
        <f t="shared" si="523"/>
        <v>0</v>
      </c>
      <c r="T1746">
        <f t="shared" si="524"/>
        <v>0</v>
      </c>
      <c r="U1746">
        <f t="shared" si="525"/>
        <v>0</v>
      </c>
      <c r="V1746">
        <f t="shared" si="526"/>
        <v>0</v>
      </c>
      <c r="W1746" t="s">
        <v>39</v>
      </c>
      <c r="X1746">
        <f t="shared" si="527"/>
        <v>1</v>
      </c>
      <c r="Y1746">
        <f t="shared" si="528"/>
        <v>0</v>
      </c>
      <c r="Z1746">
        <v>1</v>
      </c>
      <c r="AA1746">
        <f t="shared" si="529"/>
        <v>0</v>
      </c>
      <c r="AB1746" t="s">
        <v>46</v>
      </c>
      <c r="AC1746">
        <f t="shared" si="530"/>
        <v>0</v>
      </c>
      <c r="AD1746">
        <f t="shared" si="531"/>
        <v>0</v>
      </c>
      <c r="AE1746" t="s">
        <v>41</v>
      </c>
      <c r="AF1746">
        <f>IF(AE1746="website",1,0)</f>
        <v>1</v>
      </c>
    </row>
    <row r="1747" spans="1:32">
      <c r="A1747" t="s">
        <v>2399</v>
      </c>
      <c r="B1747" t="s">
        <v>33</v>
      </c>
      <c r="C1747" s="3">
        <f t="shared" si="513"/>
        <v>0</v>
      </c>
      <c r="D1747">
        <f t="shared" si="514"/>
        <v>1</v>
      </c>
      <c r="E1747" t="s">
        <v>982</v>
      </c>
      <c r="F1747" t="s">
        <v>856</v>
      </c>
      <c r="G1747" s="1">
        <v>21715</v>
      </c>
      <c r="H1747" s="2">
        <f t="shared" ca="1" si="515"/>
        <v>67</v>
      </c>
      <c r="I1747" s="2">
        <f t="shared" ca="1" si="516"/>
        <v>0.6</v>
      </c>
      <c r="J1747" t="s">
        <v>36</v>
      </c>
      <c r="K1747" t="s">
        <v>153</v>
      </c>
      <c r="L1747">
        <f t="shared" si="517"/>
        <v>0</v>
      </c>
      <c r="M1747">
        <f t="shared" si="518"/>
        <v>0</v>
      </c>
      <c r="N1747">
        <f t="shared" si="519"/>
        <v>0</v>
      </c>
      <c r="O1747" t="s">
        <v>778</v>
      </c>
      <c r="P1747">
        <f t="shared" si="520"/>
        <v>0</v>
      </c>
      <c r="Q1747">
        <f t="shared" si="521"/>
        <v>0</v>
      </c>
      <c r="R1747">
        <f t="shared" si="522"/>
        <v>0</v>
      </c>
      <c r="S1747">
        <f t="shared" si="523"/>
        <v>0</v>
      </c>
      <c r="T1747">
        <f t="shared" si="524"/>
        <v>0</v>
      </c>
      <c r="U1747">
        <f t="shared" si="525"/>
        <v>0</v>
      </c>
      <c r="V1747">
        <f t="shared" si="526"/>
        <v>0</v>
      </c>
      <c r="W1747" t="s">
        <v>39</v>
      </c>
      <c r="X1747">
        <f t="shared" si="527"/>
        <v>1</v>
      </c>
      <c r="Y1747">
        <f t="shared" si="528"/>
        <v>0</v>
      </c>
      <c r="Z1747">
        <v>3</v>
      </c>
      <c r="AA1747">
        <f t="shared" si="529"/>
        <v>0.5</v>
      </c>
      <c r="AB1747" t="s">
        <v>46</v>
      </c>
      <c r="AC1747">
        <f t="shared" si="530"/>
        <v>0</v>
      </c>
      <c r="AD1747">
        <f t="shared" si="531"/>
        <v>0</v>
      </c>
      <c r="AE1747" t="s">
        <v>41</v>
      </c>
      <c r="AF1747">
        <f>IF(AE1747="website",1,0)</f>
        <v>1</v>
      </c>
    </row>
    <row r="1748" spans="1:32">
      <c r="A1748" t="s">
        <v>2400</v>
      </c>
      <c r="B1748" t="s">
        <v>33</v>
      </c>
      <c r="C1748" s="3">
        <f t="shared" si="513"/>
        <v>0</v>
      </c>
      <c r="D1748">
        <f t="shared" si="514"/>
        <v>1</v>
      </c>
      <c r="E1748" t="s">
        <v>1147</v>
      </c>
      <c r="F1748" t="s">
        <v>882</v>
      </c>
      <c r="G1748" s="1">
        <v>23792</v>
      </c>
      <c r="H1748" s="2">
        <f t="shared" ca="1" si="515"/>
        <v>61</v>
      </c>
      <c r="I1748" s="2">
        <f t="shared" ca="1" si="516"/>
        <v>0.51428571428571423</v>
      </c>
      <c r="J1748" t="s">
        <v>45</v>
      </c>
      <c r="K1748" t="s">
        <v>37</v>
      </c>
      <c r="L1748">
        <f t="shared" si="517"/>
        <v>1</v>
      </c>
      <c r="M1748">
        <f t="shared" si="518"/>
        <v>0</v>
      </c>
      <c r="N1748">
        <f t="shared" si="519"/>
        <v>0</v>
      </c>
      <c r="O1748" t="s">
        <v>137</v>
      </c>
      <c r="P1748">
        <f t="shared" si="520"/>
        <v>0</v>
      </c>
      <c r="Q1748">
        <f t="shared" si="521"/>
        <v>0</v>
      </c>
      <c r="R1748">
        <f t="shared" si="522"/>
        <v>0</v>
      </c>
      <c r="S1748">
        <f t="shared" si="523"/>
        <v>0</v>
      </c>
      <c r="T1748">
        <f t="shared" si="524"/>
        <v>0</v>
      </c>
      <c r="U1748">
        <f t="shared" si="525"/>
        <v>0</v>
      </c>
      <c r="V1748">
        <f t="shared" si="526"/>
        <v>0</v>
      </c>
      <c r="W1748" t="s">
        <v>39</v>
      </c>
      <c r="X1748">
        <f t="shared" si="527"/>
        <v>1</v>
      </c>
      <c r="Y1748">
        <f t="shared" si="528"/>
        <v>0</v>
      </c>
      <c r="Z1748">
        <v>5</v>
      </c>
      <c r="AA1748">
        <f t="shared" si="529"/>
        <v>1</v>
      </c>
      <c r="AB1748" t="s">
        <v>46</v>
      </c>
      <c r="AC1748">
        <f t="shared" si="530"/>
        <v>0</v>
      </c>
      <c r="AD1748">
        <f t="shared" si="531"/>
        <v>1</v>
      </c>
      <c r="AE1748" t="s">
        <v>90</v>
      </c>
      <c r="AF1748">
        <f>IF(AE1748="website",1,0)</f>
        <v>0</v>
      </c>
    </row>
    <row r="1749" spans="1:32">
      <c r="A1749" t="s">
        <v>2401</v>
      </c>
      <c r="B1749" t="s">
        <v>33</v>
      </c>
      <c r="C1749" s="3">
        <f t="shared" si="513"/>
        <v>0</v>
      </c>
      <c r="D1749">
        <f t="shared" si="514"/>
        <v>1</v>
      </c>
      <c r="E1749" t="s">
        <v>677</v>
      </c>
      <c r="F1749" t="s">
        <v>562</v>
      </c>
      <c r="G1749" s="1">
        <v>18578</v>
      </c>
      <c r="H1749" s="2">
        <f t="shared" ca="1" si="515"/>
        <v>75</v>
      </c>
      <c r="I1749" s="2">
        <f t="shared" ca="1" si="516"/>
        <v>0.7142857142857143</v>
      </c>
      <c r="J1749" t="s">
        <v>45</v>
      </c>
      <c r="K1749" t="s">
        <v>37</v>
      </c>
      <c r="L1749">
        <f t="shared" si="517"/>
        <v>1</v>
      </c>
      <c r="M1749">
        <f t="shared" si="518"/>
        <v>0</v>
      </c>
      <c r="N1749">
        <f t="shared" si="519"/>
        <v>0</v>
      </c>
      <c r="O1749" t="s">
        <v>38</v>
      </c>
      <c r="P1749">
        <f t="shared" si="520"/>
        <v>1</v>
      </c>
      <c r="Q1749">
        <f t="shared" si="521"/>
        <v>0</v>
      </c>
      <c r="R1749">
        <f t="shared" si="522"/>
        <v>0</v>
      </c>
      <c r="S1749">
        <f t="shared" si="523"/>
        <v>0</v>
      </c>
      <c r="T1749">
        <f t="shared" si="524"/>
        <v>0</v>
      </c>
      <c r="U1749">
        <f t="shared" si="525"/>
        <v>0</v>
      </c>
      <c r="V1749">
        <f t="shared" si="526"/>
        <v>0</v>
      </c>
      <c r="W1749" t="s">
        <v>39</v>
      </c>
      <c r="X1749">
        <f t="shared" si="527"/>
        <v>1</v>
      </c>
      <c r="Y1749">
        <f t="shared" si="528"/>
        <v>0</v>
      </c>
      <c r="Z1749">
        <v>4</v>
      </c>
      <c r="AA1749">
        <f t="shared" si="529"/>
        <v>0.75</v>
      </c>
      <c r="AB1749" t="s">
        <v>40</v>
      </c>
      <c r="AC1749">
        <f t="shared" si="530"/>
        <v>0</v>
      </c>
      <c r="AD1749">
        <f t="shared" si="531"/>
        <v>0</v>
      </c>
      <c r="AE1749" t="s">
        <v>41</v>
      </c>
      <c r="AF1749">
        <f>IF(AE1749="website",1,0)</f>
        <v>1</v>
      </c>
    </row>
    <row r="1750" spans="1:32">
      <c r="A1750" t="s">
        <v>2402</v>
      </c>
      <c r="B1750" t="s">
        <v>33</v>
      </c>
      <c r="C1750" s="3">
        <f t="shared" si="513"/>
        <v>0</v>
      </c>
      <c r="D1750">
        <f t="shared" si="514"/>
        <v>1</v>
      </c>
      <c r="E1750" t="s">
        <v>575</v>
      </c>
      <c r="F1750" t="s">
        <v>620</v>
      </c>
      <c r="G1750" s="1">
        <v>20602</v>
      </c>
      <c r="H1750" s="2">
        <f t="shared" ca="1" si="515"/>
        <v>70</v>
      </c>
      <c r="I1750" s="2">
        <f t="shared" ca="1" si="516"/>
        <v>0.6428571428571429</v>
      </c>
      <c r="J1750" t="s">
        <v>45</v>
      </c>
      <c r="K1750" t="s">
        <v>37</v>
      </c>
      <c r="L1750">
        <f t="shared" si="517"/>
        <v>1</v>
      </c>
      <c r="M1750">
        <f t="shared" si="518"/>
        <v>0</v>
      </c>
      <c r="N1750">
        <f t="shared" si="519"/>
        <v>0</v>
      </c>
      <c r="O1750" t="s">
        <v>38</v>
      </c>
      <c r="P1750">
        <f t="shared" si="520"/>
        <v>1</v>
      </c>
      <c r="Q1750">
        <f t="shared" si="521"/>
        <v>0</v>
      </c>
      <c r="R1750">
        <f t="shared" si="522"/>
        <v>0</v>
      </c>
      <c r="S1750">
        <f t="shared" si="523"/>
        <v>0</v>
      </c>
      <c r="T1750">
        <f t="shared" si="524"/>
        <v>0</v>
      </c>
      <c r="U1750">
        <f t="shared" si="525"/>
        <v>0</v>
      </c>
      <c r="V1750">
        <f t="shared" si="526"/>
        <v>0</v>
      </c>
      <c r="W1750" t="s">
        <v>39</v>
      </c>
      <c r="X1750">
        <f t="shared" si="527"/>
        <v>1</v>
      </c>
      <c r="Y1750">
        <f t="shared" si="528"/>
        <v>0</v>
      </c>
      <c r="Z1750">
        <v>3</v>
      </c>
      <c r="AA1750">
        <f t="shared" si="529"/>
        <v>0.5</v>
      </c>
      <c r="AB1750" t="s">
        <v>46</v>
      </c>
      <c r="AC1750">
        <f t="shared" si="530"/>
        <v>0</v>
      </c>
      <c r="AD1750">
        <f t="shared" si="531"/>
        <v>0</v>
      </c>
      <c r="AE1750" t="s">
        <v>41</v>
      </c>
      <c r="AF1750">
        <f>IF(AE1750="website",1,0)</f>
        <v>1</v>
      </c>
    </row>
    <row r="1751" spans="1:32">
      <c r="A1751" t="s">
        <v>2403</v>
      </c>
      <c r="B1751" t="s">
        <v>55</v>
      </c>
      <c r="C1751" s="3">
        <f t="shared" si="513"/>
        <v>1</v>
      </c>
      <c r="D1751">
        <f t="shared" si="514"/>
        <v>0</v>
      </c>
      <c r="E1751" t="s">
        <v>863</v>
      </c>
      <c r="F1751" t="s">
        <v>57</v>
      </c>
      <c r="G1751" s="1">
        <v>33250</v>
      </c>
      <c r="H1751" s="2">
        <f t="shared" ca="1" si="515"/>
        <v>35</v>
      </c>
      <c r="I1751" s="2">
        <f t="shared" ca="1" si="516"/>
        <v>0.14285714285714285</v>
      </c>
      <c r="J1751" t="s">
        <v>45</v>
      </c>
      <c r="K1751" t="s">
        <v>37</v>
      </c>
      <c r="L1751">
        <f t="shared" si="517"/>
        <v>1</v>
      </c>
      <c r="M1751">
        <f t="shared" si="518"/>
        <v>0</v>
      </c>
      <c r="N1751">
        <f t="shared" si="519"/>
        <v>0</v>
      </c>
      <c r="O1751" t="s">
        <v>137</v>
      </c>
      <c r="P1751">
        <f t="shared" si="520"/>
        <v>0</v>
      </c>
      <c r="Q1751">
        <f t="shared" si="521"/>
        <v>0</v>
      </c>
      <c r="R1751">
        <f t="shared" si="522"/>
        <v>0</v>
      </c>
      <c r="S1751">
        <f t="shared" si="523"/>
        <v>0</v>
      </c>
      <c r="T1751">
        <f t="shared" si="524"/>
        <v>0</v>
      </c>
      <c r="U1751">
        <f t="shared" si="525"/>
        <v>0</v>
      </c>
      <c r="V1751">
        <f t="shared" si="526"/>
        <v>0</v>
      </c>
      <c r="W1751" t="s">
        <v>39</v>
      </c>
      <c r="X1751">
        <f t="shared" si="527"/>
        <v>1</v>
      </c>
      <c r="Y1751">
        <f t="shared" si="528"/>
        <v>0</v>
      </c>
      <c r="Z1751">
        <v>3</v>
      </c>
      <c r="AA1751">
        <f t="shared" si="529"/>
        <v>0.5</v>
      </c>
      <c r="AB1751" t="s">
        <v>46</v>
      </c>
      <c r="AC1751">
        <f t="shared" si="530"/>
        <v>0</v>
      </c>
      <c r="AD1751">
        <f t="shared" si="531"/>
        <v>0</v>
      </c>
      <c r="AE1751" t="s">
        <v>41</v>
      </c>
      <c r="AF1751">
        <f>IF(AE1751="website",1,0)</f>
        <v>1</v>
      </c>
    </row>
    <row r="1752" spans="1:32">
      <c r="A1752" t="s">
        <v>2404</v>
      </c>
      <c r="B1752" t="s">
        <v>33</v>
      </c>
      <c r="C1752" s="3">
        <f t="shared" si="513"/>
        <v>0</v>
      </c>
      <c r="D1752">
        <f t="shared" si="514"/>
        <v>1</v>
      </c>
      <c r="E1752" t="s">
        <v>644</v>
      </c>
      <c r="F1752" t="s">
        <v>941</v>
      </c>
      <c r="G1752" s="1">
        <v>20148</v>
      </c>
      <c r="H1752" s="2">
        <f t="shared" ca="1" si="515"/>
        <v>71</v>
      </c>
      <c r="I1752" s="2">
        <f t="shared" ca="1" si="516"/>
        <v>0.65714285714285714</v>
      </c>
      <c r="J1752" t="s">
        <v>36</v>
      </c>
      <c r="K1752" t="s">
        <v>37</v>
      </c>
      <c r="L1752">
        <f t="shared" si="517"/>
        <v>1</v>
      </c>
      <c r="M1752">
        <f t="shared" si="518"/>
        <v>0</v>
      </c>
      <c r="N1752">
        <f t="shared" si="519"/>
        <v>0</v>
      </c>
      <c r="O1752" t="s">
        <v>559</v>
      </c>
      <c r="P1752">
        <f t="shared" si="520"/>
        <v>0</v>
      </c>
      <c r="Q1752">
        <f t="shared" si="521"/>
        <v>0</v>
      </c>
      <c r="R1752">
        <f t="shared" si="522"/>
        <v>0</v>
      </c>
      <c r="S1752">
        <f t="shared" si="523"/>
        <v>0</v>
      </c>
      <c r="T1752">
        <f t="shared" si="524"/>
        <v>0</v>
      </c>
      <c r="U1752">
        <f t="shared" si="525"/>
        <v>0</v>
      </c>
      <c r="V1752">
        <f t="shared" si="526"/>
        <v>0</v>
      </c>
      <c r="W1752" t="s">
        <v>39</v>
      </c>
      <c r="X1752">
        <f t="shared" si="527"/>
        <v>1</v>
      </c>
      <c r="Y1752">
        <f t="shared" si="528"/>
        <v>0</v>
      </c>
      <c r="Z1752">
        <v>5</v>
      </c>
      <c r="AA1752">
        <f t="shared" si="529"/>
        <v>1</v>
      </c>
      <c r="AB1752" t="s">
        <v>46</v>
      </c>
      <c r="AC1752">
        <f t="shared" si="530"/>
        <v>0</v>
      </c>
      <c r="AD1752">
        <f t="shared" si="531"/>
        <v>0</v>
      </c>
      <c r="AE1752" t="s">
        <v>41</v>
      </c>
      <c r="AF1752">
        <f>IF(AE1752="website",1,0)</f>
        <v>1</v>
      </c>
    </row>
    <row r="1753" spans="1:32">
      <c r="A1753" t="s">
        <v>2405</v>
      </c>
      <c r="B1753" t="s">
        <v>33</v>
      </c>
      <c r="C1753" s="3">
        <f t="shared" si="513"/>
        <v>0</v>
      </c>
      <c r="D1753">
        <f t="shared" si="514"/>
        <v>1</v>
      </c>
      <c r="E1753" t="s">
        <v>625</v>
      </c>
      <c r="F1753" t="s">
        <v>876</v>
      </c>
      <c r="G1753" s="1">
        <v>29257</v>
      </c>
      <c r="H1753" s="2">
        <f t="shared" ca="1" si="515"/>
        <v>46</v>
      </c>
      <c r="I1753" s="2">
        <f t="shared" ca="1" si="516"/>
        <v>0.3</v>
      </c>
      <c r="J1753" t="s">
        <v>45</v>
      </c>
      <c r="K1753" t="s">
        <v>37</v>
      </c>
      <c r="L1753">
        <f t="shared" si="517"/>
        <v>1</v>
      </c>
      <c r="M1753">
        <f t="shared" si="518"/>
        <v>0</v>
      </c>
      <c r="N1753">
        <f t="shared" si="519"/>
        <v>0</v>
      </c>
      <c r="O1753" t="s">
        <v>38</v>
      </c>
      <c r="P1753">
        <f t="shared" si="520"/>
        <v>1</v>
      </c>
      <c r="Q1753">
        <f t="shared" si="521"/>
        <v>0</v>
      </c>
      <c r="R1753">
        <f t="shared" si="522"/>
        <v>0</v>
      </c>
      <c r="S1753">
        <f t="shared" si="523"/>
        <v>0</v>
      </c>
      <c r="T1753">
        <f t="shared" si="524"/>
        <v>0</v>
      </c>
      <c r="U1753">
        <f t="shared" si="525"/>
        <v>0</v>
      </c>
      <c r="V1753">
        <f t="shared" si="526"/>
        <v>0</v>
      </c>
      <c r="W1753" t="s">
        <v>58</v>
      </c>
      <c r="X1753">
        <f t="shared" si="527"/>
        <v>0</v>
      </c>
      <c r="Y1753">
        <f t="shared" si="528"/>
        <v>1</v>
      </c>
      <c r="Z1753">
        <v>1</v>
      </c>
      <c r="AA1753">
        <f t="shared" si="529"/>
        <v>0</v>
      </c>
      <c r="AB1753" t="s">
        <v>40</v>
      </c>
      <c r="AC1753">
        <f t="shared" si="530"/>
        <v>0</v>
      </c>
      <c r="AD1753">
        <f t="shared" si="531"/>
        <v>0</v>
      </c>
      <c r="AE1753" t="s">
        <v>41</v>
      </c>
      <c r="AF1753">
        <f>IF(AE1753="website",1,0)</f>
        <v>1</v>
      </c>
    </row>
    <row r="1754" spans="1:32">
      <c r="A1754" t="s">
        <v>2406</v>
      </c>
      <c r="B1754" t="s">
        <v>33</v>
      </c>
      <c r="C1754" s="3">
        <f t="shared" si="513"/>
        <v>0</v>
      </c>
      <c r="D1754">
        <f t="shared" si="514"/>
        <v>1</v>
      </c>
      <c r="E1754" t="s">
        <v>398</v>
      </c>
      <c r="F1754" t="s">
        <v>591</v>
      </c>
      <c r="G1754" s="1">
        <v>16789</v>
      </c>
      <c r="H1754" s="2">
        <f t="shared" ca="1" si="515"/>
        <v>80</v>
      </c>
      <c r="I1754" s="2">
        <f t="shared" ca="1" si="516"/>
        <v>0.7857142857142857</v>
      </c>
      <c r="J1754" t="s">
        <v>45</v>
      </c>
      <c r="K1754" t="s">
        <v>37</v>
      </c>
      <c r="L1754">
        <f t="shared" si="517"/>
        <v>1</v>
      </c>
      <c r="M1754">
        <f t="shared" si="518"/>
        <v>0</v>
      </c>
      <c r="N1754">
        <f t="shared" si="519"/>
        <v>0</v>
      </c>
      <c r="O1754" t="s">
        <v>785</v>
      </c>
      <c r="P1754">
        <f t="shared" si="520"/>
        <v>0</v>
      </c>
      <c r="Q1754">
        <f t="shared" si="521"/>
        <v>0</v>
      </c>
      <c r="R1754">
        <f t="shared" si="522"/>
        <v>0</v>
      </c>
      <c r="S1754">
        <f t="shared" si="523"/>
        <v>0</v>
      </c>
      <c r="T1754">
        <f t="shared" si="524"/>
        <v>0</v>
      </c>
      <c r="U1754">
        <f t="shared" si="525"/>
        <v>0</v>
      </c>
      <c r="V1754">
        <f t="shared" si="526"/>
        <v>0</v>
      </c>
      <c r="W1754" t="s">
        <v>58</v>
      </c>
      <c r="X1754">
        <f t="shared" si="527"/>
        <v>0</v>
      </c>
      <c r="Y1754">
        <f t="shared" si="528"/>
        <v>1</v>
      </c>
      <c r="Z1754">
        <v>3</v>
      </c>
      <c r="AA1754">
        <f t="shared" si="529"/>
        <v>0.5</v>
      </c>
      <c r="AB1754" t="s">
        <v>40</v>
      </c>
      <c r="AC1754">
        <f t="shared" si="530"/>
        <v>0</v>
      </c>
      <c r="AD1754">
        <f t="shared" si="531"/>
        <v>0</v>
      </c>
      <c r="AE1754" t="s">
        <v>41</v>
      </c>
      <c r="AF1754">
        <f>IF(AE1754="website",1,0)</f>
        <v>1</v>
      </c>
    </row>
    <row r="1755" spans="1:32">
      <c r="A1755" t="s">
        <v>2407</v>
      </c>
      <c r="B1755" t="s">
        <v>33</v>
      </c>
      <c r="C1755" s="3">
        <f t="shared" si="513"/>
        <v>0</v>
      </c>
      <c r="D1755">
        <f t="shared" si="514"/>
        <v>1</v>
      </c>
      <c r="E1755" t="s">
        <v>344</v>
      </c>
      <c r="F1755" t="s">
        <v>656</v>
      </c>
      <c r="G1755" s="1">
        <v>35014</v>
      </c>
      <c r="H1755" s="2">
        <f t="shared" ca="1" si="515"/>
        <v>30</v>
      </c>
      <c r="I1755" s="2">
        <f t="shared" ca="1" si="516"/>
        <v>7.1428571428571425E-2</v>
      </c>
      <c r="J1755" t="s">
        <v>45</v>
      </c>
      <c r="K1755" t="s">
        <v>37</v>
      </c>
      <c r="L1755">
        <f t="shared" si="517"/>
        <v>1</v>
      </c>
      <c r="M1755">
        <f t="shared" si="518"/>
        <v>0</v>
      </c>
      <c r="N1755">
        <f t="shared" si="519"/>
        <v>0</v>
      </c>
      <c r="O1755" t="s">
        <v>305</v>
      </c>
      <c r="P1755">
        <f t="shared" si="520"/>
        <v>0</v>
      </c>
      <c r="Q1755">
        <f t="shared" si="521"/>
        <v>0</v>
      </c>
      <c r="R1755">
        <f t="shared" si="522"/>
        <v>0</v>
      </c>
      <c r="S1755">
        <f t="shared" si="523"/>
        <v>0</v>
      </c>
      <c r="T1755">
        <f t="shared" si="524"/>
        <v>0</v>
      </c>
      <c r="U1755">
        <f t="shared" si="525"/>
        <v>0</v>
      </c>
      <c r="V1755">
        <f t="shared" si="526"/>
        <v>0</v>
      </c>
      <c r="W1755" t="s">
        <v>39</v>
      </c>
      <c r="X1755">
        <f t="shared" si="527"/>
        <v>1</v>
      </c>
      <c r="Y1755">
        <f t="shared" si="528"/>
        <v>0</v>
      </c>
      <c r="Z1755">
        <v>2</v>
      </c>
      <c r="AA1755">
        <f t="shared" si="529"/>
        <v>0.25</v>
      </c>
      <c r="AB1755" t="s">
        <v>40</v>
      </c>
      <c r="AC1755">
        <f t="shared" si="530"/>
        <v>0</v>
      </c>
      <c r="AD1755">
        <f t="shared" si="531"/>
        <v>0</v>
      </c>
      <c r="AE1755" t="s">
        <v>41</v>
      </c>
      <c r="AF1755">
        <f>IF(AE1755="website",1,0)</f>
        <v>1</v>
      </c>
    </row>
    <row r="1756" spans="1:32">
      <c r="A1756" t="s">
        <v>2408</v>
      </c>
      <c r="B1756" t="s">
        <v>33</v>
      </c>
      <c r="C1756" s="3">
        <f t="shared" si="513"/>
        <v>0</v>
      </c>
      <c r="D1756">
        <f t="shared" si="514"/>
        <v>1</v>
      </c>
      <c r="E1756" t="s">
        <v>658</v>
      </c>
      <c r="F1756" t="s">
        <v>928</v>
      </c>
      <c r="G1756" s="1">
        <v>36033</v>
      </c>
      <c r="H1756" s="2">
        <f t="shared" ca="1" si="515"/>
        <v>28</v>
      </c>
      <c r="I1756" s="2">
        <f t="shared" ca="1" si="516"/>
        <v>4.2857142857142858E-2</v>
      </c>
      <c r="J1756" t="s">
        <v>45</v>
      </c>
      <c r="K1756" t="s">
        <v>37</v>
      </c>
      <c r="L1756">
        <f t="shared" si="517"/>
        <v>1</v>
      </c>
      <c r="M1756">
        <f t="shared" si="518"/>
        <v>0</v>
      </c>
      <c r="N1756">
        <f t="shared" si="519"/>
        <v>0</v>
      </c>
      <c r="O1756" t="s">
        <v>124</v>
      </c>
      <c r="P1756">
        <f t="shared" si="520"/>
        <v>0</v>
      </c>
      <c r="Q1756">
        <f t="shared" si="521"/>
        <v>0</v>
      </c>
      <c r="R1756">
        <f t="shared" si="522"/>
        <v>0</v>
      </c>
      <c r="S1756">
        <f t="shared" si="523"/>
        <v>0</v>
      </c>
      <c r="T1756">
        <f t="shared" si="524"/>
        <v>0</v>
      </c>
      <c r="U1756">
        <f t="shared" si="525"/>
        <v>1</v>
      </c>
      <c r="V1756">
        <f t="shared" si="526"/>
        <v>0</v>
      </c>
      <c r="W1756" t="s">
        <v>39</v>
      </c>
      <c r="X1756">
        <f t="shared" si="527"/>
        <v>1</v>
      </c>
      <c r="Y1756">
        <f t="shared" si="528"/>
        <v>0</v>
      </c>
      <c r="Z1756">
        <v>1</v>
      </c>
      <c r="AA1756">
        <f t="shared" si="529"/>
        <v>0</v>
      </c>
      <c r="AB1756" t="s">
        <v>40</v>
      </c>
      <c r="AC1756">
        <f t="shared" si="530"/>
        <v>0</v>
      </c>
      <c r="AD1756">
        <f t="shared" si="531"/>
        <v>0</v>
      </c>
      <c r="AE1756" t="s">
        <v>41</v>
      </c>
      <c r="AF1756">
        <f>IF(AE1756="website",1,0)</f>
        <v>1</v>
      </c>
    </row>
    <row r="1757" spans="1:32">
      <c r="A1757" t="s">
        <v>2409</v>
      </c>
      <c r="B1757" t="s">
        <v>33</v>
      </c>
      <c r="C1757" s="3">
        <f t="shared" si="513"/>
        <v>0</v>
      </c>
      <c r="D1757">
        <f t="shared" si="514"/>
        <v>1</v>
      </c>
      <c r="E1757" t="s">
        <v>884</v>
      </c>
      <c r="F1757" t="s">
        <v>876</v>
      </c>
      <c r="G1757" s="1">
        <v>32953</v>
      </c>
      <c r="H1757" s="2">
        <f t="shared" ca="1" si="515"/>
        <v>36</v>
      </c>
      <c r="I1757" s="2">
        <f t="shared" ca="1" si="516"/>
        <v>0.15714285714285714</v>
      </c>
      <c r="J1757" t="s">
        <v>45</v>
      </c>
      <c r="K1757" t="s">
        <v>37</v>
      </c>
      <c r="L1757">
        <f t="shared" si="517"/>
        <v>1</v>
      </c>
      <c r="M1757">
        <f t="shared" si="518"/>
        <v>0</v>
      </c>
      <c r="N1757">
        <f t="shared" si="519"/>
        <v>0</v>
      </c>
      <c r="O1757" t="s">
        <v>183</v>
      </c>
      <c r="P1757">
        <f t="shared" si="520"/>
        <v>0</v>
      </c>
      <c r="Q1757">
        <f t="shared" si="521"/>
        <v>0</v>
      </c>
      <c r="R1757">
        <f t="shared" si="522"/>
        <v>0</v>
      </c>
      <c r="S1757">
        <f t="shared" si="523"/>
        <v>0</v>
      </c>
      <c r="T1757">
        <f t="shared" si="524"/>
        <v>0</v>
      </c>
      <c r="U1757">
        <f t="shared" si="525"/>
        <v>0</v>
      </c>
      <c r="V1757">
        <f t="shared" si="526"/>
        <v>0</v>
      </c>
      <c r="W1757" t="s">
        <v>39</v>
      </c>
      <c r="X1757">
        <f t="shared" si="527"/>
        <v>1</v>
      </c>
      <c r="Y1757">
        <f t="shared" si="528"/>
        <v>0</v>
      </c>
      <c r="Z1757">
        <v>1</v>
      </c>
      <c r="AA1757">
        <f t="shared" si="529"/>
        <v>0</v>
      </c>
      <c r="AB1757" t="s">
        <v>46</v>
      </c>
      <c r="AC1757">
        <f t="shared" si="530"/>
        <v>0</v>
      </c>
      <c r="AD1757">
        <f t="shared" si="531"/>
        <v>0</v>
      </c>
      <c r="AE1757" t="s">
        <v>41</v>
      </c>
      <c r="AF1757">
        <f>IF(AE1757="website",1,0)</f>
        <v>1</v>
      </c>
    </row>
    <row r="1758" spans="1:32">
      <c r="A1758" t="s">
        <v>2410</v>
      </c>
      <c r="B1758" t="s">
        <v>33</v>
      </c>
      <c r="C1758" s="3">
        <f t="shared" si="513"/>
        <v>0</v>
      </c>
      <c r="D1758">
        <f t="shared" si="514"/>
        <v>1</v>
      </c>
      <c r="E1758" t="s">
        <v>986</v>
      </c>
      <c r="F1758" t="s">
        <v>823</v>
      </c>
      <c r="G1758" s="1">
        <v>31229</v>
      </c>
      <c r="H1758" s="2">
        <f t="shared" ca="1" si="515"/>
        <v>41</v>
      </c>
      <c r="I1758" s="2">
        <f t="shared" ca="1" si="516"/>
        <v>0.22857142857142856</v>
      </c>
      <c r="J1758" t="s">
        <v>45</v>
      </c>
      <c r="K1758" t="s">
        <v>113</v>
      </c>
      <c r="L1758">
        <f t="shared" si="517"/>
        <v>0</v>
      </c>
      <c r="M1758">
        <f t="shared" si="518"/>
        <v>0</v>
      </c>
      <c r="N1758">
        <f t="shared" si="519"/>
        <v>1</v>
      </c>
      <c r="O1758" t="s">
        <v>1137</v>
      </c>
      <c r="P1758">
        <f t="shared" si="520"/>
        <v>0</v>
      </c>
      <c r="Q1758">
        <f t="shared" si="521"/>
        <v>0</v>
      </c>
      <c r="R1758">
        <f t="shared" si="522"/>
        <v>0</v>
      </c>
      <c r="S1758">
        <f t="shared" si="523"/>
        <v>0</v>
      </c>
      <c r="T1758">
        <f t="shared" si="524"/>
        <v>0</v>
      </c>
      <c r="U1758">
        <f t="shared" si="525"/>
        <v>0</v>
      </c>
      <c r="V1758">
        <f t="shared" si="526"/>
        <v>0</v>
      </c>
      <c r="W1758" t="s">
        <v>39</v>
      </c>
      <c r="X1758">
        <f t="shared" si="527"/>
        <v>1</v>
      </c>
      <c r="Y1758">
        <f t="shared" si="528"/>
        <v>0</v>
      </c>
      <c r="Z1758">
        <v>3</v>
      </c>
      <c r="AA1758">
        <f t="shared" si="529"/>
        <v>0.5</v>
      </c>
      <c r="AB1758" t="s">
        <v>46</v>
      </c>
      <c r="AC1758">
        <f t="shared" si="530"/>
        <v>0</v>
      </c>
      <c r="AD1758">
        <f t="shared" si="531"/>
        <v>1</v>
      </c>
      <c r="AE1758" t="s">
        <v>90</v>
      </c>
      <c r="AF1758">
        <f>IF(AE1758="website",1,0)</f>
        <v>0</v>
      </c>
    </row>
    <row r="1759" spans="1:32">
      <c r="A1759" t="s">
        <v>2411</v>
      </c>
      <c r="B1759" t="s">
        <v>33</v>
      </c>
      <c r="C1759" s="3">
        <f t="shared" si="513"/>
        <v>0</v>
      </c>
      <c r="D1759">
        <f t="shared" si="514"/>
        <v>1</v>
      </c>
      <c r="E1759" t="s">
        <v>744</v>
      </c>
      <c r="F1759" t="s">
        <v>599</v>
      </c>
      <c r="G1759" s="1">
        <v>31061</v>
      </c>
      <c r="H1759" s="2">
        <f t="shared" ca="1" si="515"/>
        <v>41</v>
      </c>
      <c r="I1759" s="2">
        <f t="shared" ca="1" si="516"/>
        <v>0.22857142857142856</v>
      </c>
      <c r="J1759" t="s">
        <v>45</v>
      </c>
      <c r="K1759" t="s">
        <v>37</v>
      </c>
      <c r="L1759">
        <f t="shared" si="517"/>
        <v>1</v>
      </c>
      <c r="M1759">
        <f t="shared" si="518"/>
        <v>0</v>
      </c>
      <c r="N1759">
        <f t="shared" si="519"/>
        <v>0</v>
      </c>
      <c r="O1759" t="s">
        <v>76</v>
      </c>
      <c r="P1759">
        <f t="shared" si="520"/>
        <v>0</v>
      </c>
      <c r="Q1759">
        <f t="shared" si="521"/>
        <v>1</v>
      </c>
      <c r="R1759">
        <f t="shared" si="522"/>
        <v>0</v>
      </c>
      <c r="S1759">
        <f t="shared" si="523"/>
        <v>0</v>
      </c>
      <c r="T1759">
        <f t="shared" si="524"/>
        <v>0</v>
      </c>
      <c r="U1759">
        <f t="shared" si="525"/>
        <v>0</v>
      </c>
      <c r="V1759">
        <f t="shared" si="526"/>
        <v>0</v>
      </c>
      <c r="W1759" t="s">
        <v>58</v>
      </c>
      <c r="X1759">
        <f t="shared" si="527"/>
        <v>0</v>
      </c>
      <c r="Y1759">
        <f t="shared" si="528"/>
        <v>1</v>
      </c>
      <c r="Z1759">
        <v>4</v>
      </c>
      <c r="AA1759">
        <f t="shared" si="529"/>
        <v>0.75</v>
      </c>
      <c r="AB1759" t="s">
        <v>40</v>
      </c>
      <c r="AC1759">
        <f t="shared" si="530"/>
        <v>1</v>
      </c>
      <c r="AD1759">
        <f t="shared" si="531"/>
        <v>0</v>
      </c>
      <c r="AE1759" t="s">
        <v>50</v>
      </c>
      <c r="AF1759">
        <f>IF(AE1759="website",1,0)</f>
        <v>0</v>
      </c>
    </row>
    <row r="1760" spans="1:32">
      <c r="A1760" t="s">
        <v>2412</v>
      </c>
      <c r="B1760" t="s">
        <v>33</v>
      </c>
      <c r="C1760" s="3">
        <f t="shared" si="513"/>
        <v>0</v>
      </c>
      <c r="D1760">
        <f t="shared" si="514"/>
        <v>1</v>
      </c>
      <c r="E1760" t="s">
        <v>609</v>
      </c>
      <c r="F1760" t="s">
        <v>691</v>
      </c>
      <c r="G1760" s="1">
        <v>27312</v>
      </c>
      <c r="H1760" s="2">
        <f t="shared" ca="1" si="515"/>
        <v>51</v>
      </c>
      <c r="I1760" s="2">
        <f t="shared" ca="1" si="516"/>
        <v>0.37142857142857144</v>
      </c>
      <c r="J1760" t="s">
        <v>45</v>
      </c>
      <c r="K1760" t="s">
        <v>37</v>
      </c>
      <c r="L1760">
        <f t="shared" si="517"/>
        <v>1</v>
      </c>
      <c r="M1760">
        <f t="shared" si="518"/>
        <v>0</v>
      </c>
      <c r="N1760">
        <f t="shared" si="519"/>
        <v>0</v>
      </c>
      <c r="O1760" t="s">
        <v>38</v>
      </c>
      <c r="P1760">
        <f t="shared" si="520"/>
        <v>1</v>
      </c>
      <c r="Q1760">
        <f t="shared" si="521"/>
        <v>0</v>
      </c>
      <c r="R1760">
        <f t="shared" si="522"/>
        <v>0</v>
      </c>
      <c r="S1760">
        <f t="shared" si="523"/>
        <v>0</v>
      </c>
      <c r="T1760">
        <f t="shared" si="524"/>
        <v>0</v>
      </c>
      <c r="U1760">
        <f t="shared" si="525"/>
        <v>0</v>
      </c>
      <c r="V1760">
        <f t="shared" si="526"/>
        <v>0</v>
      </c>
      <c r="W1760" t="s">
        <v>58</v>
      </c>
      <c r="X1760">
        <f t="shared" si="527"/>
        <v>0</v>
      </c>
      <c r="Y1760">
        <f t="shared" si="528"/>
        <v>1</v>
      </c>
      <c r="Z1760">
        <v>1</v>
      </c>
      <c r="AA1760">
        <f t="shared" si="529"/>
        <v>0</v>
      </c>
      <c r="AB1760" t="s">
        <v>46</v>
      </c>
      <c r="AC1760">
        <f t="shared" si="530"/>
        <v>0</v>
      </c>
      <c r="AD1760">
        <f t="shared" si="531"/>
        <v>0</v>
      </c>
      <c r="AE1760" t="s">
        <v>41</v>
      </c>
      <c r="AF1760">
        <f>IF(AE1760="website",1,0)</f>
        <v>1</v>
      </c>
    </row>
    <row r="1761" spans="1:32">
      <c r="A1761" t="s">
        <v>2413</v>
      </c>
      <c r="B1761" t="s">
        <v>33</v>
      </c>
      <c r="C1761" s="3">
        <f t="shared" si="513"/>
        <v>0</v>
      </c>
      <c r="D1761">
        <f t="shared" si="514"/>
        <v>1</v>
      </c>
      <c r="E1761" t="s">
        <v>548</v>
      </c>
      <c r="F1761" t="s">
        <v>573</v>
      </c>
      <c r="G1761" s="1">
        <v>27674</v>
      </c>
      <c r="H1761" s="2">
        <f t="shared" ca="1" si="515"/>
        <v>50</v>
      </c>
      <c r="I1761" s="2">
        <f t="shared" ca="1" si="516"/>
        <v>0.35714285714285715</v>
      </c>
      <c r="J1761" t="s">
        <v>36</v>
      </c>
      <c r="K1761" t="s">
        <v>153</v>
      </c>
      <c r="L1761">
        <f t="shared" si="517"/>
        <v>0</v>
      </c>
      <c r="M1761">
        <f t="shared" si="518"/>
        <v>0</v>
      </c>
      <c r="N1761">
        <f t="shared" si="519"/>
        <v>0</v>
      </c>
      <c r="O1761" t="s">
        <v>154</v>
      </c>
      <c r="P1761">
        <f t="shared" si="520"/>
        <v>0</v>
      </c>
      <c r="Q1761">
        <f t="shared" si="521"/>
        <v>0</v>
      </c>
      <c r="R1761">
        <f t="shared" si="522"/>
        <v>0</v>
      </c>
      <c r="S1761">
        <f t="shared" si="523"/>
        <v>0</v>
      </c>
      <c r="T1761">
        <f t="shared" si="524"/>
        <v>0</v>
      </c>
      <c r="U1761">
        <f t="shared" si="525"/>
        <v>0</v>
      </c>
      <c r="V1761">
        <f t="shared" si="526"/>
        <v>0</v>
      </c>
      <c r="W1761" t="s">
        <v>39</v>
      </c>
      <c r="X1761">
        <f t="shared" si="527"/>
        <v>1</v>
      </c>
      <c r="Y1761">
        <f t="shared" si="528"/>
        <v>0</v>
      </c>
      <c r="Z1761">
        <v>2</v>
      </c>
      <c r="AA1761">
        <f t="shared" si="529"/>
        <v>0.25</v>
      </c>
      <c r="AB1761" t="s">
        <v>46</v>
      </c>
      <c r="AC1761">
        <f t="shared" si="530"/>
        <v>0</v>
      </c>
      <c r="AD1761">
        <f t="shared" si="531"/>
        <v>0</v>
      </c>
      <c r="AE1761" t="s">
        <v>41</v>
      </c>
      <c r="AF1761">
        <f>IF(AE1761="website",1,0)</f>
        <v>1</v>
      </c>
    </row>
    <row r="1762" spans="1:32">
      <c r="A1762" t="s">
        <v>2414</v>
      </c>
      <c r="B1762" t="s">
        <v>33</v>
      </c>
      <c r="C1762" s="3">
        <f t="shared" si="513"/>
        <v>0</v>
      </c>
      <c r="D1762">
        <f t="shared" si="514"/>
        <v>1</v>
      </c>
      <c r="E1762" t="s">
        <v>596</v>
      </c>
      <c r="F1762" t="s">
        <v>798</v>
      </c>
      <c r="G1762" s="1">
        <v>20097</v>
      </c>
      <c r="H1762" s="2">
        <f t="shared" ca="1" si="515"/>
        <v>71</v>
      </c>
      <c r="I1762" s="2">
        <f t="shared" ca="1" si="516"/>
        <v>0.65714285714285714</v>
      </c>
      <c r="J1762" t="s">
        <v>45</v>
      </c>
      <c r="K1762" t="s">
        <v>37</v>
      </c>
      <c r="L1762">
        <f t="shared" si="517"/>
        <v>1</v>
      </c>
      <c r="M1762">
        <f t="shared" si="518"/>
        <v>0</v>
      </c>
      <c r="N1762">
        <f t="shared" si="519"/>
        <v>0</v>
      </c>
      <c r="O1762" t="s">
        <v>565</v>
      </c>
      <c r="P1762">
        <f t="shared" si="520"/>
        <v>0</v>
      </c>
      <c r="Q1762">
        <f t="shared" si="521"/>
        <v>0</v>
      </c>
      <c r="R1762">
        <f t="shared" si="522"/>
        <v>0</v>
      </c>
      <c r="S1762">
        <f t="shared" si="523"/>
        <v>0</v>
      </c>
      <c r="T1762">
        <f t="shared" si="524"/>
        <v>0</v>
      </c>
      <c r="U1762">
        <f t="shared" si="525"/>
        <v>0</v>
      </c>
      <c r="V1762">
        <f t="shared" si="526"/>
        <v>0</v>
      </c>
      <c r="W1762" t="s">
        <v>39</v>
      </c>
      <c r="X1762">
        <f t="shared" si="527"/>
        <v>1</v>
      </c>
      <c r="Y1762">
        <f t="shared" si="528"/>
        <v>0</v>
      </c>
      <c r="Z1762">
        <v>1</v>
      </c>
      <c r="AA1762">
        <f t="shared" si="529"/>
        <v>0</v>
      </c>
      <c r="AB1762" t="s">
        <v>46</v>
      </c>
      <c r="AC1762">
        <f t="shared" si="530"/>
        <v>0</v>
      </c>
      <c r="AD1762">
        <f t="shared" si="531"/>
        <v>0</v>
      </c>
      <c r="AE1762" t="s">
        <v>41</v>
      </c>
      <c r="AF1762">
        <f>IF(AE1762="website",1,0)</f>
        <v>1</v>
      </c>
    </row>
    <row r="1763" spans="1:32">
      <c r="A1763" t="s">
        <v>2415</v>
      </c>
      <c r="B1763" t="s">
        <v>33</v>
      </c>
      <c r="C1763" s="3">
        <f t="shared" si="513"/>
        <v>0</v>
      </c>
      <c r="D1763">
        <f t="shared" si="514"/>
        <v>1</v>
      </c>
      <c r="E1763" t="s">
        <v>544</v>
      </c>
      <c r="F1763" t="s">
        <v>573</v>
      </c>
      <c r="G1763" s="1">
        <v>23397</v>
      </c>
      <c r="H1763" s="2">
        <f t="shared" ca="1" si="515"/>
        <v>62</v>
      </c>
      <c r="I1763" s="2">
        <f t="shared" ca="1" si="516"/>
        <v>0.52857142857142858</v>
      </c>
      <c r="J1763" t="s">
        <v>45</v>
      </c>
      <c r="K1763" t="s">
        <v>37</v>
      </c>
      <c r="L1763">
        <f t="shared" si="517"/>
        <v>1</v>
      </c>
      <c r="M1763">
        <f t="shared" si="518"/>
        <v>0</v>
      </c>
      <c r="N1763">
        <f t="shared" si="519"/>
        <v>0</v>
      </c>
      <c r="O1763" t="s">
        <v>305</v>
      </c>
      <c r="P1763">
        <f t="shared" si="520"/>
        <v>0</v>
      </c>
      <c r="Q1763">
        <f t="shared" si="521"/>
        <v>0</v>
      </c>
      <c r="R1763">
        <f t="shared" si="522"/>
        <v>0</v>
      </c>
      <c r="S1763">
        <f t="shared" si="523"/>
        <v>0</v>
      </c>
      <c r="T1763">
        <f t="shared" si="524"/>
        <v>0</v>
      </c>
      <c r="U1763">
        <f t="shared" si="525"/>
        <v>0</v>
      </c>
      <c r="V1763">
        <f t="shared" si="526"/>
        <v>0</v>
      </c>
      <c r="W1763" t="s">
        <v>39</v>
      </c>
      <c r="X1763">
        <f t="shared" si="527"/>
        <v>1</v>
      </c>
      <c r="Y1763">
        <f t="shared" si="528"/>
        <v>0</v>
      </c>
      <c r="Z1763">
        <v>1</v>
      </c>
      <c r="AA1763">
        <f t="shared" si="529"/>
        <v>0</v>
      </c>
      <c r="AB1763" t="s">
        <v>46</v>
      </c>
      <c r="AC1763">
        <f t="shared" si="530"/>
        <v>0</v>
      </c>
      <c r="AD1763">
        <f t="shared" si="531"/>
        <v>0</v>
      </c>
      <c r="AE1763" t="s">
        <v>41</v>
      </c>
      <c r="AF1763">
        <f>IF(AE1763="website",1,0)</f>
        <v>1</v>
      </c>
    </row>
    <row r="1764" spans="1:32">
      <c r="A1764" t="s">
        <v>2416</v>
      </c>
      <c r="B1764" t="s">
        <v>33</v>
      </c>
      <c r="C1764" s="3">
        <f t="shared" si="513"/>
        <v>0</v>
      </c>
      <c r="D1764">
        <f t="shared" si="514"/>
        <v>1</v>
      </c>
      <c r="E1764" t="s">
        <v>924</v>
      </c>
      <c r="F1764" t="s">
        <v>796</v>
      </c>
      <c r="G1764" s="1">
        <v>20054</v>
      </c>
      <c r="H1764" s="2">
        <f t="shared" ca="1" si="515"/>
        <v>71</v>
      </c>
      <c r="I1764" s="2">
        <f t="shared" ca="1" si="516"/>
        <v>0.65714285714285714</v>
      </c>
      <c r="J1764" t="s">
        <v>36</v>
      </c>
      <c r="K1764" t="s">
        <v>37</v>
      </c>
      <c r="L1764">
        <f t="shared" si="517"/>
        <v>1</v>
      </c>
      <c r="M1764">
        <f t="shared" si="518"/>
        <v>0</v>
      </c>
      <c r="N1764">
        <f t="shared" si="519"/>
        <v>0</v>
      </c>
      <c r="O1764" t="s">
        <v>717</v>
      </c>
      <c r="P1764">
        <f t="shared" si="520"/>
        <v>0</v>
      </c>
      <c r="Q1764">
        <f t="shared" si="521"/>
        <v>0</v>
      </c>
      <c r="R1764">
        <f t="shared" si="522"/>
        <v>0</v>
      </c>
      <c r="S1764">
        <f t="shared" si="523"/>
        <v>0</v>
      </c>
      <c r="T1764">
        <f t="shared" si="524"/>
        <v>0</v>
      </c>
      <c r="U1764">
        <f t="shared" si="525"/>
        <v>0</v>
      </c>
      <c r="V1764">
        <f t="shared" si="526"/>
        <v>0</v>
      </c>
      <c r="W1764" t="s">
        <v>39</v>
      </c>
      <c r="X1764">
        <f t="shared" si="527"/>
        <v>1</v>
      </c>
      <c r="Y1764">
        <f t="shared" si="528"/>
        <v>0</v>
      </c>
      <c r="Z1764">
        <v>3</v>
      </c>
      <c r="AA1764">
        <f t="shared" si="529"/>
        <v>0.5</v>
      </c>
      <c r="AB1764" t="s">
        <v>46</v>
      </c>
      <c r="AC1764">
        <f t="shared" si="530"/>
        <v>0</v>
      </c>
      <c r="AD1764">
        <f t="shared" si="531"/>
        <v>0</v>
      </c>
      <c r="AE1764" t="s">
        <v>41</v>
      </c>
      <c r="AF1764">
        <f>IF(AE1764="website",1,0)</f>
        <v>1</v>
      </c>
    </row>
    <row r="1765" spans="1:32">
      <c r="A1765" t="s">
        <v>2417</v>
      </c>
      <c r="B1765" t="s">
        <v>33</v>
      </c>
      <c r="C1765" s="3">
        <f t="shared" si="513"/>
        <v>0</v>
      </c>
      <c r="D1765">
        <f t="shared" si="514"/>
        <v>1</v>
      </c>
      <c r="E1765" t="s">
        <v>649</v>
      </c>
      <c r="F1765" t="s">
        <v>728</v>
      </c>
      <c r="G1765" s="1">
        <v>17111</v>
      </c>
      <c r="H1765" s="2">
        <f t="shared" ca="1" si="515"/>
        <v>79</v>
      </c>
      <c r="I1765" s="2">
        <f t="shared" ca="1" si="516"/>
        <v>0.77142857142857146</v>
      </c>
      <c r="J1765" t="s">
        <v>36</v>
      </c>
      <c r="K1765" t="s">
        <v>37</v>
      </c>
      <c r="L1765">
        <f t="shared" si="517"/>
        <v>1</v>
      </c>
      <c r="M1765">
        <f t="shared" si="518"/>
        <v>0</v>
      </c>
      <c r="N1765">
        <f t="shared" si="519"/>
        <v>0</v>
      </c>
      <c r="O1765" t="s">
        <v>124</v>
      </c>
      <c r="P1765">
        <f t="shared" si="520"/>
        <v>0</v>
      </c>
      <c r="Q1765">
        <f t="shared" si="521"/>
        <v>0</v>
      </c>
      <c r="R1765">
        <f t="shared" si="522"/>
        <v>0</v>
      </c>
      <c r="S1765">
        <f t="shared" si="523"/>
        <v>0</v>
      </c>
      <c r="T1765">
        <f t="shared" si="524"/>
        <v>0</v>
      </c>
      <c r="U1765">
        <f t="shared" si="525"/>
        <v>1</v>
      </c>
      <c r="V1765">
        <f t="shared" si="526"/>
        <v>0</v>
      </c>
      <c r="W1765" t="s">
        <v>39</v>
      </c>
      <c r="X1765">
        <f t="shared" si="527"/>
        <v>1</v>
      </c>
      <c r="Y1765">
        <f t="shared" si="528"/>
        <v>0</v>
      </c>
      <c r="Z1765">
        <v>2</v>
      </c>
      <c r="AA1765">
        <f t="shared" si="529"/>
        <v>0.25</v>
      </c>
      <c r="AB1765" t="s">
        <v>46</v>
      </c>
      <c r="AC1765">
        <f t="shared" si="530"/>
        <v>1</v>
      </c>
      <c r="AD1765">
        <f t="shared" si="531"/>
        <v>0</v>
      </c>
      <c r="AE1765" t="s">
        <v>50</v>
      </c>
      <c r="AF1765">
        <f>IF(AE1765="website",1,0)</f>
        <v>0</v>
      </c>
    </row>
    <row r="1766" spans="1:32">
      <c r="A1766" t="s">
        <v>2418</v>
      </c>
      <c r="B1766" t="s">
        <v>33</v>
      </c>
      <c r="C1766" s="3">
        <f t="shared" si="513"/>
        <v>0</v>
      </c>
      <c r="D1766">
        <f t="shared" si="514"/>
        <v>1</v>
      </c>
      <c r="E1766" t="s">
        <v>556</v>
      </c>
      <c r="F1766" t="s">
        <v>641</v>
      </c>
      <c r="G1766" s="1">
        <v>35551</v>
      </c>
      <c r="H1766" s="2">
        <f t="shared" ca="1" si="515"/>
        <v>29</v>
      </c>
      <c r="I1766" s="2">
        <f t="shared" ca="1" si="516"/>
        <v>5.7142857142857141E-2</v>
      </c>
      <c r="J1766" t="s">
        <v>36</v>
      </c>
      <c r="K1766" t="s">
        <v>37</v>
      </c>
      <c r="L1766">
        <f t="shared" si="517"/>
        <v>1</v>
      </c>
      <c r="M1766">
        <f t="shared" si="518"/>
        <v>0</v>
      </c>
      <c r="N1766">
        <f t="shared" si="519"/>
        <v>0</v>
      </c>
      <c r="O1766" t="s">
        <v>137</v>
      </c>
      <c r="P1766">
        <f t="shared" si="520"/>
        <v>0</v>
      </c>
      <c r="Q1766">
        <f t="shared" si="521"/>
        <v>0</v>
      </c>
      <c r="R1766">
        <f t="shared" si="522"/>
        <v>0</v>
      </c>
      <c r="S1766">
        <f t="shared" si="523"/>
        <v>0</v>
      </c>
      <c r="T1766">
        <f t="shared" si="524"/>
        <v>0</v>
      </c>
      <c r="U1766">
        <f t="shared" si="525"/>
        <v>0</v>
      </c>
      <c r="V1766">
        <f t="shared" si="526"/>
        <v>0</v>
      </c>
      <c r="W1766" t="s">
        <v>39</v>
      </c>
      <c r="X1766">
        <f t="shared" si="527"/>
        <v>1</v>
      </c>
      <c r="Y1766">
        <f t="shared" si="528"/>
        <v>0</v>
      </c>
      <c r="Z1766">
        <v>1</v>
      </c>
      <c r="AA1766">
        <f t="shared" si="529"/>
        <v>0</v>
      </c>
      <c r="AB1766" t="s">
        <v>40</v>
      </c>
      <c r="AC1766">
        <f t="shared" si="530"/>
        <v>0</v>
      </c>
      <c r="AD1766">
        <f t="shared" si="531"/>
        <v>1</v>
      </c>
      <c r="AE1766" t="s">
        <v>90</v>
      </c>
      <c r="AF1766">
        <f>IF(AE1766="website",1,0)</f>
        <v>0</v>
      </c>
    </row>
    <row r="1767" spans="1:32">
      <c r="A1767" t="s">
        <v>2419</v>
      </c>
      <c r="B1767" t="s">
        <v>33</v>
      </c>
      <c r="C1767" s="3">
        <f t="shared" si="513"/>
        <v>0</v>
      </c>
      <c r="D1767">
        <f t="shared" si="514"/>
        <v>1</v>
      </c>
      <c r="E1767" t="s">
        <v>622</v>
      </c>
      <c r="F1767" t="s">
        <v>378</v>
      </c>
      <c r="G1767" s="1">
        <v>34094</v>
      </c>
      <c r="H1767" s="2">
        <f t="shared" ca="1" si="515"/>
        <v>33</v>
      </c>
      <c r="I1767" s="2">
        <f t="shared" ca="1" si="516"/>
        <v>0.11428571428571428</v>
      </c>
      <c r="J1767" t="s">
        <v>36</v>
      </c>
      <c r="K1767" t="s">
        <v>37</v>
      </c>
      <c r="L1767">
        <f t="shared" si="517"/>
        <v>1</v>
      </c>
      <c r="M1767">
        <f t="shared" si="518"/>
        <v>0</v>
      </c>
      <c r="N1767">
        <f t="shared" si="519"/>
        <v>0</v>
      </c>
      <c r="O1767" t="s">
        <v>38</v>
      </c>
      <c r="P1767">
        <f t="shared" si="520"/>
        <v>1</v>
      </c>
      <c r="Q1767">
        <f t="shared" si="521"/>
        <v>0</v>
      </c>
      <c r="R1767">
        <f t="shared" si="522"/>
        <v>0</v>
      </c>
      <c r="S1767">
        <f t="shared" si="523"/>
        <v>0</v>
      </c>
      <c r="T1767">
        <f t="shared" si="524"/>
        <v>0</v>
      </c>
      <c r="U1767">
        <f t="shared" si="525"/>
        <v>0</v>
      </c>
      <c r="V1767">
        <f t="shared" si="526"/>
        <v>0</v>
      </c>
      <c r="W1767" t="s">
        <v>39</v>
      </c>
      <c r="X1767">
        <f t="shared" si="527"/>
        <v>1</v>
      </c>
      <c r="Y1767">
        <f t="shared" si="528"/>
        <v>0</v>
      </c>
      <c r="Z1767">
        <v>4</v>
      </c>
      <c r="AA1767">
        <f t="shared" si="529"/>
        <v>0.75</v>
      </c>
      <c r="AB1767" t="s">
        <v>46</v>
      </c>
      <c r="AC1767">
        <f t="shared" si="530"/>
        <v>0</v>
      </c>
      <c r="AD1767">
        <f t="shared" si="531"/>
        <v>0</v>
      </c>
      <c r="AE1767" t="s">
        <v>41</v>
      </c>
      <c r="AF1767">
        <f>IF(AE1767="website",1,0)</f>
        <v>1</v>
      </c>
    </row>
    <row r="1768" spans="1:32">
      <c r="A1768" t="s">
        <v>2420</v>
      </c>
      <c r="B1768" t="s">
        <v>33</v>
      </c>
      <c r="C1768" s="3">
        <f t="shared" si="513"/>
        <v>0</v>
      </c>
      <c r="D1768">
        <f t="shared" si="514"/>
        <v>1</v>
      </c>
      <c r="E1768" t="s">
        <v>1389</v>
      </c>
      <c r="F1768" t="s">
        <v>557</v>
      </c>
      <c r="G1768" s="1">
        <v>28631</v>
      </c>
      <c r="H1768" s="2">
        <f t="shared" ca="1" si="515"/>
        <v>48</v>
      </c>
      <c r="I1768" s="2">
        <f t="shared" ca="1" si="516"/>
        <v>0.32857142857142857</v>
      </c>
      <c r="J1768" t="s">
        <v>45</v>
      </c>
      <c r="K1768" t="s">
        <v>37</v>
      </c>
      <c r="L1768">
        <f t="shared" si="517"/>
        <v>1</v>
      </c>
      <c r="M1768">
        <f t="shared" si="518"/>
        <v>0</v>
      </c>
      <c r="N1768">
        <f t="shared" si="519"/>
        <v>0</v>
      </c>
      <c r="O1768" t="s">
        <v>137</v>
      </c>
      <c r="P1768">
        <f t="shared" si="520"/>
        <v>0</v>
      </c>
      <c r="Q1768">
        <f t="shared" si="521"/>
        <v>0</v>
      </c>
      <c r="R1768">
        <f t="shared" si="522"/>
        <v>0</v>
      </c>
      <c r="S1768">
        <f t="shared" si="523"/>
        <v>0</v>
      </c>
      <c r="T1768">
        <f t="shared" si="524"/>
        <v>0</v>
      </c>
      <c r="U1768">
        <f t="shared" si="525"/>
        <v>0</v>
      </c>
      <c r="V1768">
        <f t="shared" si="526"/>
        <v>0</v>
      </c>
      <c r="W1768" t="s">
        <v>39</v>
      </c>
      <c r="X1768">
        <f t="shared" si="527"/>
        <v>1</v>
      </c>
      <c r="Y1768">
        <f t="shared" si="528"/>
        <v>0</v>
      </c>
      <c r="Z1768">
        <v>3</v>
      </c>
      <c r="AA1768">
        <f t="shared" si="529"/>
        <v>0.5</v>
      </c>
      <c r="AB1768" t="s">
        <v>46</v>
      </c>
      <c r="AC1768">
        <f t="shared" si="530"/>
        <v>0</v>
      </c>
      <c r="AD1768">
        <f t="shared" si="531"/>
        <v>0</v>
      </c>
      <c r="AE1768" t="s">
        <v>41</v>
      </c>
      <c r="AF1768">
        <f>IF(AE1768="website",1,0)</f>
        <v>1</v>
      </c>
    </row>
    <row r="1769" spans="1:32">
      <c r="A1769" t="s">
        <v>2421</v>
      </c>
      <c r="B1769" t="s">
        <v>33</v>
      </c>
      <c r="C1769" s="3">
        <f t="shared" si="513"/>
        <v>0</v>
      </c>
      <c r="D1769">
        <f t="shared" si="514"/>
        <v>1</v>
      </c>
      <c r="E1769" t="s">
        <v>1133</v>
      </c>
      <c r="F1769" t="s">
        <v>716</v>
      </c>
      <c r="G1769" s="1">
        <v>15766</v>
      </c>
      <c r="H1769" s="2">
        <f t="shared" ca="1" si="515"/>
        <v>83</v>
      </c>
      <c r="I1769" s="2">
        <f t="shared" ca="1" si="516"/>
        <v>0.82857142857142863</v>
      </c>
      <c r="J1769" t="s">
        <v>36</v>
      </c>
      <c r="K1769" t="s">
        <v>172</v>
      </c>
      <c r="L1769">
        <f t="shared" si="517"/>
        <v>0</v>
      </c>
      <c r="M1769">
        <f t="shared" si="518"/>
        <v>0</v>
      </c>
      <c r="N1769">
        <f t="shared" si="519"/>
        <v>0</v>
      </c>
      <c r="O1769" t="s">
        <v>355</v>
      </c>
      <c r="P1769">
        <f t="shared" si="520"/>
        <v>0</v>
      </c>
      <c r="Q1769">
        <f t="shared" si="521"/>
        <v>0</v>
      </c>
      <c r="R1769">
        <f t="shared" si="522"/>
        <v>0</v>
      </c>
      <c r="S1769">
        <f t="shared" si="523"/>
        <v>0</v>
      </c>
      <c r="T1769">
        <f t="shared" si="524"/>
        <v>0</v>
      </c>
      <c r="U1769">
        <f t="shared" si="525"/>
        <v>0</v>
      </c>
      <c r="V1769">
        <f t="shared" si="526"/>
        <v>0</v>
      </c>
      <c r="W1769" t="s">
        <v>39</v>
      </c>
      <c r="X1769">
        <f t="shared" si="527"/>
        <v>1</v>
      </c>
      <c r="Y1769">
        <f t="shared" si="528"/>
        <v>0</v>
      </c>
      <c r="Z1769">
        <v>4</v>
      </c>
      <c r="AA1769">
        <f t="shared" si="529"/>
        <v>0.75</v>
      </c>
      <c r="AB1769" t="s">
        <v>46</v>
      </c>
      <c r="AC1769">
        <f t="shared" si="530"/>
        <v>0</v>
      </c>
      <c r="AD1769">
        <f t="shared" si="531"/>
        <v>0</v>
      </c>
      <c r="AE1769" t="s">
        <v>41</v>
      </c>
      <c r="AF1769">
        <f>IF(AE1769="website",1,0)</f>
        <v>1</v>
      </c>
    </row>
    <row r="1770" spans="1:32">
      <c r="A1770" t="s">
        <v>2422</v>
      </c>
      <c r="B1770" t="s">
        <v>55</v>
      </c>
      <c r="C1770" s="3">
        <f t="shared" si="513"/>
        <v>1</v>
      </c>
      <c r="D1770">
        <f t="shared" si="514"/>
        <v>0</v>
      </c>
      <c r="E1770" t="s">
        <v>706</v>
      </c>
      <c r="F1770" t="s">
        <v>57</v>
      </c>
      <c r="G1770" s="1">
        <v>31342</v>
      </c>
      <c r="H1770" s="2">
        <f t="shared" ca="1" si="515"/>
        <v>40</v>
      </c>
      <c r="I1770" s="2">
        <f t="shared" ca="1" si="516"/>
        <v>0.21428571428571427</v>
      </c>
      <c r="J1770" t="s">
        <v>45</v>
      </c>
      <c r="K1770" t="s">
        <v>37</v>
      </c>
      <c r="L1770">
        <f t="shared" si="517"/>
        <v>1</v>
      </c>
      <c r="M1770">
        <f t="shared" si="518"/>
        <v>0</v>
      </c>
      <c r="N1770">
        <f t="shared" si="519"/>
        <v>0</v>
      </c>
      <c r="O1770" t="s">
        <v>76</v>
      </c>
      <c r="P1770">
        <f t="shared" si="520"/>
        <v>0</v>
      </c>
      <c r="Q1770">
        <f t="shared" si="521"/>
        <v>1</v>
      </c>
      <c r="R1770">
        <f t="shared" si="522"/>
        <v>0</v>
      </c>
      <c r="S1770">
        <f t="shared" si="523"/>
        <v>0</v>
      </c>
      <c r="T1770">
        <f t="shared" si="524"/>
        <v>0</v>
      </c>
      <c r="U1770">
        <f t="shared" si="525"/>
        <v>0</v>
      </c>
      <c r="V1770">
        <f t="shared" si="526"/>
        <v>0</v>
      </c>
      <c r="W1770" t="s">
        <v>39</v>
      </c>
      <c r="X1770">
        <f t="shared" si="527"/>
        <v>1</v>
      </c>
      <c r="Y1770">
        <f t="shared" si="528"/>
        <v>0</v>
      </c>
      <c r="Z1770">
        <v>1</v>
      </c>
      <c r="AA1770">
        <f t="shared" si="529"/>
        <v>0</v>
      </c>
      <c r="AB1770" t="s">
        <v>40</v>
      </c>
      <c r="AC1770">
        <f t="shared" si="530"/>
        <v>0</v>
      </c>
      <c r="AD1770">
        <f t="shared" si="531"/>
        <v>1</v>
      </c>
      <c r="AE1770" t="s">
        <v>90</v>
      </c>
      <c r="AF1770">
        <f>IF(AE1770="website",1,0)</f>
        <v>0</v>
      </c>
    </row>
    <row r="1771" spans="1:32">
      <c r="A1771" t="s">
        <v>2423</v>
      </c>
      <c r="B1771" t="s">
        <v>33</v>
      </c>
      <c r="C1771" s="3">
        <f t="shared" si="513"/>
        <v>0</v>
      </c>
      <c r="D1771">
        <f t="shared" si="514"/>
        <v>1</v>
      </c>
      <c r="E1771" t="s">
        <v>755</v>
      </c>
      <c r="F1771" t="s">
        <v>538</v>
      </c>
      <c r="G1771" s="1">
        <v>16758</v>
      </c>
      <c r="H1771" s="2">
        <f t="shared" ca="1" si="515"/>
        <v>80</v>
      </c>
      <c r="I1771" s="2">
        <f t="shared" ca="1" si="516"/>
        <v>0.7857142857142857</v>
      </c>
      <c r="J1771" t="s">
        <v>36</v>
      </c>
      <c r="K1771" t="s">
        <v>37</v>
      </c>
      <c r="L1771">
        <f t="shared" si="517"/>
        <v>1</v>
      </c>
      <c r="M1771">
        <f t="shared" si="518"/>
        <v>0</v>
      </c>
      <c r="N1771">
        <f t="shared" si="519"/>
        <v>0</v>
      </c>
      <c r="O1771" t="s">
        <v>565</v>
      </c>
      <c r="P1771">
        <f t="shared" si="520"/>
        <v>0</v>
      </c>
      <c r="Q1771">
        <f t="shared" si="521"/>
        <v>0</v>
      </c>
      <c r="R1771">
        <f t="shared" si="522"/>
        <v>0</v>
      </c>
      <c r="S1771">
        <f t="shared" si="523"/>
        <v>0</v>
      </c>
      <c r="T1771">
        <f t="shared" si="524"/>
        <v>0</v>
      </c>
      <c r="U1771">
        <f t="shared" si="525"/>
        <v>0</v>
      </c>
      <c r="V1771">
        <f t="shared" si="526"/>
        <v>0</v>
      </c>
      <c r="W1771" t="s">
        <v>39</v>
      </c>
      <c r="X1771">
        <f t="shared" si="527"/>
        <v>1</v>
      </c>
      <c r="Y1771">
        <f t="shared" si="528"/>
        <v>0</v>
      </c>
      <c r="Z1771">
        <v>1</v>
      </c>
      <c r="AA1771">
        <f t="shared" si="529"/>
        <v>0</v>
      </c>
      <c r="AB1771" t="s">
        <v>40</v>
      </c>
      <c r="AC1771">
        <f t="shared" si="530"/>
        <v>1</v>
      </c>
      <c r="AD1771">
        <f t="shared" si="531"/>
        <v>0</v>
      </c>
      <c r="AE1771" t="s">
        <v>50</v>
      </c>
      <c r="AF1771">
        <f>IF(AE1771="website",1,0)</f>
        <v>0</v>
      </c>
    </row>
    <row r="1772" spans="1:32">
      <c r="A1772" t="s">
        <v>2424</v>
      </c>
      <c r="B1772" t="s">
        <v>55</v>
      </c>
      <c r="C1772" s="3">
        <f t="shared" si="513"/>
        <v>1</v>
      </c>
      <c r="D1772">
        <f t="shared" si="514"/>
        <v>0</v>
      </c>
      <c r="E1772" t="s">
        <v>688</v>
      </c>
      <c r="F1772" t="s">
        <v>57</v>
      </c>
      <c r="G1772" s="1">
        <v>27567</v>
      </c>
      <c r="H1772" s="2">
        <f t="shared" ca="1" si="515"/>
        <v>51</v>
      </c>
      <c r="I1772" s="2">
        <f t="shared" ca="1" si="516"/>
        <v>0.37142857142857144</v>
      </c>
      <c r="J1772" t="s">
        <v>45</v>
      </c>
      <c r="K1772" t="s">
        <v>37</v>
      </c>
      <c r="L1772">
        <f t="shared" si="517"/>
        <v>1</v>
      </c>
      <c r="M1772">
        <f t="shared" si="518"/>
        <v>0</v>
      </c>
      <c r="N1772">
        <f t="shared" si="519"/>
        <v>0</v>
      </c>
      <c r="O1772" t="s">
        <v>785</v>
      </c>
      <c r="P1772">
        <f t="shared" si="520"/>
        <v>0</v>
      </c>
      <c r="Q1772">
        <f t="shared" si="521"/>
        <v>0</v>
      </c>
      <c r="R1772">
        <f t="shared" si="522"/>
        <v>0</v>
      </c>
      <c r="S1772">
        <f t="shared" si="523"/>
        <v>0</v>
      </c>
      <c r="T1772">
        <f t="shared" si="524"/>
        <v>0</v>
      </c>
      <c r="U1772">
        <f t="shared" si="525"/>
        <v>0</v>
      </c>
      <c r="V1772">
        <f t="shared" si="526"/>
        <v>0</v>
      </c>
      <c r="W1772" t="s">
        <v>39</v>
      </c>
      <c r="X1772">
        <f t="shared" si="527"/>
        <v>1</v>
      </c>
      <c r="Y1772">
        <f t="shared" si="528"/>
        <v>0</v>
      </c>
      <c r="Z1772">
        <v>3</v>
      </c>
      <c r="AA1772">
        <f t="shared" si="529"/>
        <v>0.5</v>
      </c>
      <c r="AB1772" t="s">
        <v>40</v>
      </c>
      <c r="AC1772">
        <f t="shared" si="530"/>
        <v>0</v>
      </c>
      <c r="AD1772">
        <f t="shared" si="531"/>
        <v>1</v>
      </c>
      <c r="AE1772" t="s">
        <v>90</v>
      </c>
      <c r="AF1772">
        <f>IF(AE1772="website",1,0)</f>
        <v>0</v>
      </c>
    </row>
    <row r="1773" spans="1:32">
      <c r="A1773" t="s">
        <v>2425</v>
      </c>
      <c r="B1773" t="s">
        <v>55</v>
      </c>
      <c r="C1773" s="3">
        <f t="shared" si="513"/>
        <v>1</v>
      </c>
      <c r="D1773">
        <f t="shared" si="514"/>
        <v>0</v>
      </c>
      <c r="E1773" t="s">
        <v>706</v>
      </c>
      <c r="F1773" t="s">
        <v>57</v>
      </c>
      <c r="G1773" s="1">
        <v>27407</v>
      </c>
      <c r="H1773" s="2">
        <f t="shared" ca="1" si="515"/>
        <v>51</v>
      </c>
      <c r="I1773" s="2">
        <f t="shared" ca="1" si="516"/>
        <v>0.37142857142857144</v>
      </c>
      <c r="J1773" t="s">
        <v>36</v>
      </c>
      <c r="K1773" t="s">
        <v>65</v>
      </c>
      <c r="L1773">
        <f t="shared" si="517"/>
        <v>0</v>
      </c>
      <c r="M1773">
        <f t="shared" si="518"/>
        <v>1</v>
      </c>
      <c r="N1773">
        <f t="shared" si="519"/>
        <v>0</v>
      </c>
      <c r="O1773" t="s">
        <v>843</v>
      </c>
      <c r="P1773">
        <f t="shared" si="520"/>
        <v>0</v>
      </c>
      <c r="Q1773">
        <f t="shared" si="521"/>
        <v>0</v>
      </c>
      <c r="R1773">
        <f t="shared" si="522"/>
        <v>0</v>
      </c>
      <c r="S1773">
        <f t="shared" si="523"/>
        <v>0</v>
      </c>
      <c r="T1773">
        <f t="shared" si="524"/>
        <v>0</v>
      </c>
      <c r="U1773">
        <f t="shared" si="525"/>
        <v>0</v>
      </c>
      <c r="V1773">
        <f t="shared" si="526"/>
        <v>0</v>
      </c>
      <c r="W1773" t="s">
        <v>58</v>
      </c>
      <c r="X1773">
        <f t="shared" si="527"/>
        <v>0</v>
      </c>
      <c r="Y1773">
        <f t="shared" si="528"/>
        <v>1</v>
      </c>
      <c r="Z1773">
        <v>5</v>
      </c>
      <c r="AA1773">
        <f t="shared" si="529"/>
        <v>1</v>
      </c>
      <c r="AB1773" t="s">
        <v>40</v>
      </c>
      <c r="AC1773">
        <f t="shared" si="530"/>
        <v>1</v>
      </c>
      <c r="AD1773">
        <f t="shared" si="531"/>
        <v>0</v>
      </c>
      <c r="AE1773" t="s">
        <v>50</v>
      </c>
      <c r="AF1773">
        <f>IF(AE1773="website",1,0)</f>
        <v>0</v>
      </c>
    </row>
    <row r="1774" spans="1:32">
      <c r="A1774" t="s">
        <v>2426</v>
      </c>
      <c r="B1774" t="s">
        <v>33</v>
      </c>
      <c r="C1774" s="3">
        <f t="shared" si="513"/>
        <v>0</v>
      </c>
      <c r="D1774">
        <f t="shared" si="514"/>
        <v>1</v>
      </c>
      <c r="E1774" t="s">
        <v>719</v>
      </c>
      <c r="F1774" t="s">
        <v>579</v>
      </c>
      <c r="G1774" s="1">
        <v>29580</v>
      </c>
      <c r="H1774" s="2">
        <f t="shared" ca="1" si="515"/>
        <v>45</v>
      </c>
      <c r="I1774" s="2">
        <f t="shared" ca="1" si="516"/>
        <v>0.2857142857142857</v>
      </c>
      <c r="J1774" t="s">
        <v>45</v>
      </c>
      <c r="K1774" t="s">
        <v>37</v>
      </c>
      <c r="L1774">
        <f t="shared" si="517"/>
        <v>1</v>
      </c>
      <c r="M1774">
        <f t="shared" si="518"/>
        <v>0</v>
      </c>
      <c r="N1774">
        <f t="shared" si="519"/>
        <v>0</v>
      </c>
      <c r="O1774" t="s">
        <v>124</v>
      </c>
      <c r="P1774">
        <f t="shared" si="520"/>
        <v>0</v>
      </c>
      <c r="Q1774">
        <f t="shared" si="521"/>
        <v>0</v>
      </c>
      <c r="R1774">
        <f t="shared" si="522"/>
        <v>0</v>
      </c>
      <c r="S1774">
        <f t="shared" si="523"/>
        <v>0</v>
      </c>
      <c r="T1774">
        <f t="shared" si="524"/>
        <v>0</v>
      </c>
      <c r="U1774">
        <f t="shared" si="525"/>
        <v>1</v>
      </c>
      <c r="V1774">
        <f t="shared" si="526"/>
        <v>0</v>
      </c>
      <c r="W1774" t="s">
        <v>58</v>
      </c>
      <c r="X1774">
        <f t="shared" si="527"/>
        <v>0</v>
      </c>
      <c r="Y1774">
        <f t="shared" si="528"/>
        <v>1</v>
      </c>
      <c r="Z1774">
        <v>3</v>
      </c>
      <c r="AA1774">
        <f t="shared" si="529"/>
        <v>0.5</v>
      </c>
      <c r="AB1774" t="s">
        <v>40</v>
      </c>
      <c r="AC1774">
        <f t="shared" si="530"/>
        <v>1</v>
      </c>
      <c r="AD1774">
        <f t="shared" si="531"/>
        <v>0</v>
      </c>
      <c r="AE1774" t="s">
        <v>50</v>
      </c>
      <c r="AF1774">
        <f>IF(AE1774="website",1,0)</f>
        <v>0</v>
      </c>
    </row>
    <row r="1775" spans="1:32">
      <c r="A1775" t="s">
        <v>2427</v>
      </c>
      <c r="B1775" t="s">
        <v>33</v>
      </c>
      <c r="C1775" s="3">
        <f t="shared" si="513"/>
        <v>0</v>
      </c>
      <c r="D1775">
        <f t="shared" si="514"/>
        <v>1</v>
      </c>
      <c r="E1775" t="s">
        <v>344</v>
      </c>
      <c r="F1775" t="s">
        <v>659</v>
      </c>
      <c r="G1775" s="1">
        <v>31042</v>
      </c>
      <c r="H1775" s="2">
        <f t="shared" ca="1" si="515"/>
        <v>41</v>
      </c>
      <c r="I1775" s="2">
        <f t="shared" ca="1" si="516"/>
        <v>0.22857142857142856</v>
      </c>
      <c r="J1775" t="s">
        <v>45</v>
      </c>
      <c r="K1775" t="s">
        <v>37</v>
      </c>
      <c r="L1775">
        <f t="shared" si="517"/>
        <v>1</v>
      </c>
      <c r="M1775">
        <f t="shared" si="518"/>
        <v>0</v>
      </c>
      <c r="N1775">
        <f t="shared" si="519"/>
        <v>0</v>
      </c>
      <c r="O1775" t="s">
        <v>76</v>
      </c>
      <c r="P1775">
        <f t="shared" si="520"/>
        <v>0</v>
      </c>
      <c r="Q1775">
        <f t="shared" si="521"/>
        <v>1</v>
      </c>
      <c r="R1775">
        <f t="shared" si="522"/>
        <v>0</v>
      </c>
      <c r="S1775">
        <f t="shared" si="523"/>
        <v>0</v>
      </c>
      <c r="T1775">
        <f t="shared" si="524"/>
        <v>0</v>
      </c>
      <c r="U1775">
        <f t="shared" si="525"/>
        <v>0</v>
      </c>
      <c r="V1775">
        <f t="shared" si="526"/>
        <v>0</v>
      </c>
      <c r="W1775" t="s">
        <v>39</v>
      </c>
      <c r="X1775">
        <f t="shared" si="527"/>
        <v>1</v>
      </c>
      <c r="Y1775">
        <f t="shared" si="528"/>
        <v>0</v>
      </c>
      <c r="Z1775">
        <v>4</v>
      </c>
      <c r="AA1775">
        <f t="shared" si="529"/>
        <v>0.75</v>
      </c>
      <c r="AB1775" t="s">
        <v>46</v>
      </c>
      <c r="AC1775">
        <f t="shared" si="530"/>
        <v>1</v>
      </c>
      <c r="AD1775">
        <f t="shared" si="531"/>
        <v>0</v>
      </c>
      <c r="AE1775" t="s">
        <v>50</v>
      </c>
      <c r="AF1775">
        <f>IF(AE1775="website",1,0)</f>
        <v>0</v>
      </c>
    </row>
    <row r="1776" spans="1:32">
      <c r="A1776" t="s">
        <v>2428</v>
      </c>
      <c r="B1776" t="s">
        <v>33</v>
      </c>
      <c r="C1776" s="3">
        <f t="shared" si="513"/>
        <v>0</v>
      </c>
      <c r="D1776">
        <f t="shared" si="514"/>
        <v>1</v>
      </c>
      <c r="E1776" t="s">
        <v>755</v>
      </c>
      <c r="F1776" t="s">
        <v>339</v>
      </c>
      <c r="G1776" s="1">
        <v>25848</v>
      </c>
      <c r="H1776" s="2">
        <f t="shared" ca="1" si="515"/>
        <v>55</v>
      </c>
      <c r="I1776" s="2">
        <f t="shared" ca="1" si="516"/>
        <v>0.42857142857142855</v>
      </c>
      <c r="J1776" t="s">
        <v>36</v>
      </c>
      <c r="K1776" t="s">
        <v>37</v>
      </c>
      <c r="L1776">
        <f t="shared" si="517"/>
        <v>1</v>
      </c>
      <c r="M1776">
        <f t="shared" si="518"/>
        <v>0</v>
      </c>
      <c r="N1776">
        <f t="shared" si="519"/>
        <v>0</v>
      </c>
      <c r="O1776" t="s">
        <v>38</v>
      </c>
      <c r="P1776">
        <f t="shared" si="520"/>
        <v>1</v>
      </c>
      <c r="Q1776">
        <f t="shared" si="521"/>
        <v>0</v>
      </c>
      <c r="R1776">
        <f t="shared" si="522"/>
        <v>0</v>
      </c>
      <c r="S1776">
        <f t="shared" si="523"/>
        <v>0</v>
      </c>
      <c r="T1776">
        <f t="shared" si="524"/>
        <v>0</v>
      </c>
      <c r="U1776">
        <f t="shared" si="525"/>
        <v>0</v>
      </c>
      <c r="V1776">
        <f t="shared" si="526"/>
        <v>0</v>
      </c>
      <c r="W1776" t="s">
        <v>39</v>
      </c>
      <c r="X1776">
        <f t="shared" si="527"/>
        <v>1</v>
      </c>
      <c r="Y1776">
        <f t="shared" si="528"/>
        <v>0</v>
      </c>
      <c r="Z1776">
        <v>3</v>
      </c>
      <c r="AA1776">
        <f t="shared" si="529"/>
        <v>0.5</v>
      </c>
      <c r="AB1776" t="s">
        <v>46</v>
      </c>
      <c r="AC1776">
        <f t="shared" si="530"/>
        <v>1</v>
      </c>
      <c r="AD1776">
        <f t="shared" si="531"/>
        <v>0</v>
      </c>
      <c r="AE1776" t="s">
        <v>50</v>
      </c>
      <c r="AF1776">
        <f>IF(AE1776="website",1,0)</f>
        <v>0</v>
      </c>
    </row>
    <row r="1777" spans="1:32">
      <c r="A1777" t="s">
        <v>2429</v>
      </c>
      <c r="B1777" t="s">
        <v>33</v>
      </c>
      <c r="C1777" s="3">
        <f t="shared" si="513"/>
        <v>0</v>
      </c>
      <c r="D1777">
        <f t="shared" si="514"/>
        <v>1</v>
      </c>
      <c r="E1777" t="s">
        <v>1346</v>
      </c>
      <c r="F1777" t="s">
        <v>1270</v>
      </c>
      <c r="G1777" s="1">
        <v>26908</v>
      </c>
      <c r="H1777" s="2">
        <f t="shared" ca="1" si="515"/>
        <v>53</v>
      </c>
      <c r="I1777" s="2">
        <f t="shared" ca="1" si="516"/>
        <v>0.4</v>
      </c>
      <c r="J1777" t="s">
        <v>36</v>
      </c>
      <c r="K1777" t="s">
        <v>626</v>
      </c>
      <c r="L1777">
        <f t="shared" si="517"/>
        <v>0</v>
      </c>
      <c r="M1777">
        <f t="shared" si="518"/>
        <v>0</v>
      </c>
      <c r="N1777">
        <f t="shared" si="519"/>
        <v>0</v>
      </c>
      <c r="O1777" t="s">
        <v>1188</v>
      </c>
      <c r="P1777">
        <f t="shared" si="520"/>
        <v>0</v>
      </c>
      <c r="Q1777">
        <f t="shared" si="521"/>
        <v>0</v>
      </c>
      <c r="R1777">
        <f t="shared" si="522"/>
        <v>0</v>
      </c>
      <c r="S1777">
        <f t="shared" si="523"/>
        <v>0</v>
      </c>
      <c r="T1777">
        <f t="shared" si="524"/>
        <v>0</v>
      </c>
      <c r="U1777">
        <f t="shared" si="525"/>
        <v>0</v>
      </c>
      <c r="V1777">
        <f t="shared" si="526"/>
        <v>0</v>
      </c>
      <c r="W1777" t="s">
        <v>39</v>
      </c>
      <c r="X1777">
        <f t="shared" si="527"/>
        <v>1</v>
      </c>
      <c r="Y1777">
        <f t="shared" si="528"/>
        <v>0</v>
      </c>
      <c r="Z1777">
        <v>1</v>
      </c>
      <c r="AA1777">
        <f t="shared" si="529"/>
        <v>0</v>
      </c>
      <c r="AB1777" t="s">
        <v>46</v>
      </c>
      <c r="AC1777">
        <f t="shared" si="530"/>
        <v>0</v>
      </c>
      <c r="AD1777">
        <f t="shared" si="531"/>
        <v>0</v>
      </c>
      <c r="AE1777" t="s">
        <v>41</v>
      </c>
      <c r="AF1777">
        <f>IF(AE1777="website",1,0)</f>
        <v>1</v>
      </c>
    </row>
    <row r="1778" spans="1:32">
      <c r="A1778" t="s">
        <v>2430</v>
      </c>
      <c r="B1778" t="s">
        <v>33</v>
      </c>
      <c r="C1778" s="3">
        <f t="shared" si="513"/>
        <v>0</v>
      </c>
      <c r="D1778">
        <f t="shared" si="514"/>
        <v>1</v>
      </c>
      <c r="E1778" t="s">
        <v>671</v>
      </c>
      <c r="F1778" t="s">
        <v>738</v>
      </c>
      <c r="G1778" s="1">
        <v>27296</v>
      </c>
      <c r="H1778" s="2">
        <f t="shared" ca="1" si="515"/>
        <v>52</v>
      </c>
      <c r="I1778" s="2">
        <f t="shared" ca="1" si="516"/>
        <v>0.38571428571428573</v>
      </c>
      <c r="J1778" t="s">
        <v>45</v>
      </c>
      <c r="K1778" t="s">
        <v>37</v>
      </c>
      <c r="L1778">
        <f t="shared" si="517"/>
        <v>1</v>
      </c>
      <c r="M1778">
        <f t="shared" si="518"/>
        <v>0</v>
      </c>
      <c r="N1778">
        <f t="shared" si="519"/>
        <v>0</v>
      </c>
      <c r="O1778" t="s">
        <v>38</v>
      </c>
      <c r="P1778">
        <f t="shared" si="520"/>
        <v>1</v>
      </c>
      <c r="Q1778">
        <f t="shared" si="521"/>
        <v>0</v>
      </c>
      <c r="R1778">
        <f t="shared" si="522"/>
        <v>0</v>
      </c>
      <c r="S1778">
        <f t="shared" si="523"/>
        <v>0</v>
      </c>
      <c r="T1778">
        <f t="shared" si="524"/>
        <v>0</v>
      </c>
      <c r="U1778">
        <f t="shared" si="525"/>
        <v>0</v>
      </c>
      <c r="V1778">
        <f t="shared" si="526"/>
        <v>0</v>
      </c>
      <c r="W1778" t="s">
        <v>58</v>
      </c>
      <c r="X1778">
        <f t="shared" si="527"/>
        <v>0</v>
      </c>
      <c r="Y1778">
        <f t="shared" si="528"/>
        <v>1</v>
      </c>
      <c r="Z1778">
        <v>5</v>
      </c>
      <c r="AA1778">
        <f t="shared" si="529"/>
        <v>1</v>
      </c>
      <c r="AB1778" t="s">
        <v>46</v>
      </c>
      <c r="AC1778">
        <f t="shared" si="530"/>
        <v>0</v>
      </c>
      <c r="AD1778">
        <f t="shared" si="531"/>
        <v>1</v>
      </c>
      <c r="AE1778" t="s">
        <v>90</v>
      </c>
      <c r="AF1778">
        <f>IF(AE1778="website",1,0)</f>
        <v>0</v>
      </c>
    </row>
    <row r="1779" spans="1:32">
      <c r="A1779" t="s">
        <v>2431</v>
      </c>
      <c r="B1779" t="s">
        <v>33</v>
      </c>
      <c r="C1779" s="3">
        <f t="shared" si="513"/>
        <v>0</v>
      </c>
      <c r="D1779">
        <f t="shared" si="514"/>
        <v>1</v>
      </c>
      <c r="E1779" t="s">
        <v>1110</v>
      </c>
      <c r="F1779" t="s">
        <v>856</v>
      </c>
      <c r="G1779" s="1">
        <v>34343</v>
      </c>
      <c r="H1779" s="2">
        <f t="shared" ca="1" si="515"/>
        <v>32</v>
      </c>
      <c r="I1779" s="2">
        <f t="shared" ca="1" si="516"/>
        <v>0.1</v>
      </c>
      <c r="J1779" t="s">
        <v>45</v>
      </c>
      <c r="K1779" t="s">
        <v>37</v>
      </c>
      <c r="L1779">
        <f t="shared" si="517"/>
        <v>1</v>
      </c>
      <c r="M1779">
        <f t="shared" si="518"/>
        <v>0</v>
      </c>
      <c r="N1779">
        <f t="shared" si="519"/>
        <v>0</v>
      </c>
      <c r="O1779" t="s">
        <v>785</v>
      </c>
      <c r="P1779">
        <f t="shared" si="520"/>
        <v>0</v>
      </c>
      <c r="Q1779">
        <f t="shared" si="521"/>
        <v>0</v>
      </c>
      <c r="R1779">
        <f t="shared" si="522"/>
        <v>0</v>
      </c>
      <c r="S1779">
        <f t="shared" si="523"/>
        <v>0</v>
      </c>
      <c r="T1779">
        <f t="shared" si="524"/>
        <v>0</v>
      </c>
      <c r="U1779">
        <f t="shared" si="525"/>
        <v>0</v>
      </c>
      <c r="V1779">
        <f t="shared" si="526"/>
        <v>0</v>
      </c>
      <c r="W1779" t="s">
        <v>58</v>
      </c>
      <c r="X1779">
        <f t="shared" si="527"/>
        <v>0</v>
      </c>
      <c r="Y1779">
        <f t="shared" si="528"/>
        <v>1</v>
      </c>
      <c r="Z1779">
        <v>4</v>
      </c>
      <c r="AA1779">
        <f t="shared" si="529"/>
        <v>0.75</v>
      </c>
      <c r="AB1779" t="s">
        <v>40</v>
      </c>
      <c r="AC1779">
        <f t="shared" si="530"/>
        <v>0</v>
      </c>
      <c r="AD1779">
        <f t="shared" si="531"/>
        <v>0</v>
      </c>
      <c r="AE1779" t="s">
        <v>41</v>
      </c>
      <c r="AF1779">
        <f>IF(AE1779="website",1,0)</f>
        <v>1</v>
      </c>
    </row>
    <row r="1780" spans="1:32">
      <c r="A1780" t="s">
        <v>2432</v>
      </c>
      <c r="B1780" t="s">
        <v>33</v>
      </c>
      <c r="C1780" s="3">
        <f t="shared" si="513"/>
        <v>0</v>
      </c>
      <c r="D1780">
        <f t="shared" si="514"/>
        <v>1</v>
      </c>
      <c r="E1780" t="s">
        <v>622</v>
      </c>
      <c r="F1780" t="s">
        <v>1041</v>
      </c>
      <c r="G1780" s="1">
        <v>28965</v>
      </c>
      <c r="H1780" s="2">
        <f t="shared" ca="1" si="515"/>
        <v>47</v>
      </c>
      <c r="I1780" s="2">
        <f t="shared" ca="1" si="516"/>
        <v>0.31428571428571428</v>
      </c>
      <c r="J1780" t="s">
        <v>36</v>
      </c>
      <c r="K1780" t="s">
        <v>37</v>
      </c>
      <c r="L1780">
        <f t="shared" si="517"/>
        <v>1</v>
      </c>
      <c r="M1780">
        <f t="shared" si="518"/>
        <v>0</v>
      </c>
      <c r="N1780">
        <f t="shared" si="519"/>
        <v>0</v>
      </c>
      <c r="O1780" t="s">
        <v>38</v>
      </c>
      <c r="P1780">
        <f t="shared" si="520"/>
        <v>1</v>
      </c>
      <c r="Q1780">
        <f t="shared" si="521"/>
        <v>0</v>
      </c>
      <c r="R1780">
        <f t="shared" si="522"/>
        <v>0</v>
      </c>
      <c r="S1780">
        <f t="shared" si="523"/>
        <v>0</v>
      </c>
      <c r="T1780">
        <f t="shared" si="524"/>
        <v>0</v>
      </c>
      <c r="U1780">
        <f t="shared" si="525"/>
        <v>0</v>
      </c>
      <c r="V1780">
        <f t="shared" si="526"/>
        <v>0</v>
      </c>
      <c r="W1780" t="s">
        <v>39</v>
      </c>
      <c r="X1780">
        <f t="shared" si="527"/>
        <v>1</v>
      </c>
      <c r="Y1780">
        <f t="shared" si="528"/>
        <v>0</v>
      </c>
      <c r="Z1780">
        <v>5</v>
      </c>
      <c r="AA1780">
        <f t="shared" si="529"/>
        <v>1</v>
      </c>
      <c r="AB1780" t="s">
        <v>46</v>
      </c>
      <c r="AC1780">
        <f t="shared" si="530"/>
        <v>0</v>
      </c>
      <c r="AD1780">
        <f t="shared" si="531"/>
        <v>1</v>
      </c>
      <c r="AE1780" t="s">
        <v>90</v>
      </c>
      <c r="AF1780">
        <f>IF(AE1780="website",1,0)</f>
        <v>0</v>
      </c>
    </row>
    <row r="1781" spans="1:32">
      <c r="A1781" t="s">
        <v>2433</v>
      </c>
      <c r="B1781" t="s">
        <v>33</v>
      </c>
      <c r="C1781" s="3">
        <f t="shared" si="513"/>
        <v>0</v>
      </c>
      <c r="D1781">
        <f t="shared" si="514"/>
        <v>1</v>
      </c>
      <c r="E1781" t="s">
        <v>918</v>
      </c>
      <c r="F1781" t="s">
        <v>726</v>
      </c>
      <c r="G1781" s="1">
        <v>20593</v>
      </c>
      <c r="H1781" s="2">
        <f t="shared" ca="1" si="515"/>
        <v>70</v>
      </c>
      <c r="I1781" s="2">
        <f t="shared" ca="1" si="516"/>
        <v>0.6428571428571429</v>
      </c>
      <c r="J1781" t="s">
        <v>45</v>
      </c>
      <c r="K1781" t="s">
        <v>37</v>
      </c>
      <c r="L1781">
        <f t="shared" si="517"/>
        <v>1</v>
      </c>
      <c r="M1781">
        <f t="shared" si="518"/>
        <v>0</v>
      </c>
      <c r="N1781">
        <f t="shared" si="519"/>
        <v>0</v>
      </c>
      <c r="O1781" t="s">
        <v>183</v>
      </c>
      <c r="P1781">
        <f t="shared" si="520"/>
        <v>0</v>
      </c>
      <c r="Q1781">
        <f t="shared" si="521"/>
        <v>0</v>
      </c>
      <c r="R1781">
        <f t="shared" si="522"/>
        <v>0</v>
      </c>
      <c r="S1781">
        <f t="shared" si="523"/>
        <v>0</v>
      </c>
      <c r="T1781">
        <f t="shared" si="524"/>
        <v>0</v>
      </c>
      <c r="U1781">
        <f t="shared" si="525"/>
        <v>0</v>
      </c>
      <c r="V1781">
        <f t="shared" si="526"/>
        <v>0</v>
      </c>
      <c r="W1781" t="s">
        <v>58</v>
      </c>
      <c r="X1781">
        <f t="shared" si="527"/>
        <v>0</v>
      </c>
      <c r="Y1781">
        <f t="shared" si="528"/>
        <v>1</v>
      </c>
      <c r="Z1781">
        <v>1</v>
      </c>
      <c r="AA1781">
        <f t="shared" si="529"/>
        <v>0</v>
      </c>
      <c r="AB1781" t="s">
        <v>46</v>
      </c>
      <c r="AC1781">
        <f t="shared" si="530"/>
        <v>0</v>
      </c>
      <c r="AD1781">
        <f t="shared" si="531"/>
        <v>0</v>
      </c>
      <c r="AE1781" t="s">
        <v>41</v>
      </c>
      <c r="AF1781">
        <f>IF(AE1781="website",1,0)</f>
        <v>1</v>
      </c>
    </row>
    <row r="1782" spans="1:32">
      <c r="A1782" t="s">
        <v>2434</v>
      </c>
      <c r="B1782" t="s">
        <v>33</v>
      </c>
      <c r="C1782" s="3">
        <f t="shared" si="513"/>
        <v>0</v>
      </c>
      <c r="D1782">
        <f t="shared" si="514"/>
        <v>1</v>
      </c>
      <c r="E1782" t="s">
        <v>755</v>
      </c>
      <c r="F1782" t="s">
        <v>1041</v>
      </c>
      <c r="G1782" s="1">
        <v>25119</v>
      </c>
      <c r="H1782" s="2">
        <f t="shared" ca="1" si="515"/>
        <v>57</v>
      </c>
      <c r="I1782" s="2">
        <f t="shared" ca="1" si="516"/>
        <v>0.45714285714285713</v>
      </c>
      <c r="J1782" t="s">
        <v>36</v>
      </c>
      <c r="K1782" t="s">
        <v>37</v>
      </c>
      <c r="L1782">
        <f t="shared" si="517"/>
        <v>1</v>
      </c>
      <c r="M1782">
        <f t="shared" si="518"/>
        <v>0</v>
      </c>
      <c r="N1782">
        <f t="shared" si="519"/>
        <v>0</v>
      </c>
      <c r="O1782" t="s">
        <v>38</v>
      </c>
      <c r="P1782">
        <f t="shared" si="520"/>
        <v>1</v>
      </c>
      <c r="Q1782">
        <f t="shared" si="521"/>
        <v>0</v>
      </c>
      <c r="R1782">
        <f t="shared" si="522"/>
        <v>0</v>
      </c>
      <c r="S1782">
        <f t="shared" si="523"/>
        <v>0</v>
      </c>
      <c r="T1782">
        <f t="shared" si="524"/>
        <v>0</v>
      </c>
      <c r="U1782">
        <f t="shared" si="525"/>
        <v>0</v>
      </c>
      <c r="V1782">
        <f t="shared" si="526"/>
        <v>0</v>
      </c>
      <c r="W1782" t="s">
        <v>39</v>
      </c>
      <c r="X1782">
        <f t="shared" si="527"/>
        <v>1</v>
      </c>
      <c r="Y1782">
        <f t="shared" si="528"/>
        <v>0</v>
      </c>
      <c r="Z1782">
        <v>4</v>
      </c>
      <c r="AA1782">
        <f t="shared" si="529"/>
        <v>0.75</v>
      </c>
      <c r="AB1782" t="s">
        <v>46</v>
      </c>
      <c r="AC1782">
        <f t="shared" si="530"/>
        <v>0</v>
      </c>
      <c r="AD1782">
        <f t="shared" si="531"/>
        <v>0</v>
      </c>
      <c r="AE1782" t="s">
        <v>41</v>
      </c>
      <c r="AF1782">
        <f>IF(AE1782="website",1,0)</f>
        <v>1</v>
      </c>
    </row>
    <row r="1783" spans="1:32">
      <c r="A1783" t="s">
        <v>2435</v>
      </c>
      <c r="B1783" t="s">
        <v>33</v>
      </c>
      <c r="C1783" s="3">
        <f t="shared" si="513"/>
        <v>0</v>
      </c>
      <c r="D1783">
        <f t="shared" si="514"/>
        <v>1</v>
      </c>
      <c r="E1783" t="s">
        <v>894</v>
      </c>
      <c r="F1783" t="s">
        <v>904</v>
      </c>
      <c r="G1783" s="1">
        <v>36498</v>
      </c>
      <c r="H1783" s="2">
        <f t="shared" ca="1" si="515"/>
        <v>26</v>
      </c>
      <c r="I1783" s="2">
        <f t="shared" ca="1" si="516"/>
        <v>1.4285714285714285E-2</v>
      </c>
      <c r="J1783" t="s">
        <v>36</v>
      </c>
      <c r="K1783" t="s">
        <v>248</v>
      </c>
      <c r="L1783">
        <f t="shared" si="517"/>
        <v>0</v>
      </c>
      <c r="M1783">
        <f t="shared" si="518"/>
        <v>0</v>
      </c>
      <c r="N1783">
        <f t="shared" si="519"/>
        <v>0</v>
      </c>
      <c r="O1783" t="s">
        <v>582</v>
      </c>
      <c r="P1783">
        <f t="shared" si="520"/>
        <v>0</v>
      </c>
      <c r="Q1783">
        <f t="shared" si="521"/>
        <v>0</v>
      </c>
      <c r="R1783">
        <f t="shared" si="522"/>
        <v>0</v>
      </c>
      <c r="S1783">
        <f t="shared" si="523"/>
        <v>0</v>
      </c>
      <c r="T1783">
        <f t="shared" si="524"/>
        <v>0</v>
      </c>
      <c r="U1783">
        <f t="shared" si="525"/>
        <v>0</v>
      </c>
      <c r="V1783">
        <f t="shared" si="526"/>
        <v>0</v>
      </c>
      <c r="W1783" t="s">
        <v>58</v>
      </c>
      <c r="X1783">
        <f t="shared" si="527"/>
        <v>0</v>
      </c>
      <c r="Y1783">
        <f t="shared" si="528"/>
        <v>1</v>
      </c>
      <c r="Z1783">
        <v>1</v>
      </c>
      <c r="AA1783">
        <f t="shared" si="529"/>
        <v>0</v>
      </c>
      <c r="AB1783" t="s">
        <v>46</v>
      </c>
      <c r="AC1783">
        <f t="shared" si="530"/>
        <v>0</v>
      </c>
      <c r="AD1783">
        <f t="shared" si="531"/>
        <v>0</v>
      </c>
      <c r="AE1783" t="s">
        <v>41</v>
      </c>
      <c r="AF1783">
        <f>IF(AE1783="website",1,0)</f>
        <v>1</v>
      </c>
    </row>
    <row r="1784" spans="1:32">
      <c r="A1784" t="s">
        <v>2436</v>
      </c>
      <c r="B1784" t="s">
        <v>33</v>
      </c>
      <c r="C1784" s="3">
        <f t="shared" si="513"/>
        <v>0</v>
      </c>
      <c r="D1784">
        <f t="shared" si="514"/>
        <v>1</v>
      </c>
      <c r="E1784" t="s">
        <v>561</v>
      </c>
      <c r="F1784" t="s">
        <v>714</v>
      </c>
      <c r="G1784" s="1">
        <v>19790</v>
      </c>
      <c r="H1784" s="2">
        <f t="shared" ca="1" si="515"/>
        <v>72</v>
      </c>
      <c r="I1784" s="2">
        <f t="shared" ca="1" si="516"/>
        <v>0.67142857142857137</v>
      </c>
      <c r="J1784" t="s">
        <v>45</v>
      </c>
      <c r="K1784" t="s">
        <v>37</v>
      </c>
      <c r="L1784">
        <f t="shared" si="517"/>
        <v>1</v>
      </c>
      <c r="M1784">
        <f t="shared" si="518"/>
        <v>0</v>
      </c>
      <c r="N1784">
        <f t="shared" si="519"/>
        <v>0</v>
      </c>
      <c r="O1784" t="s">
        <v>38</v>
      </c>
      <c r="P1784">
        <f t="shared" si="520"/>
        <v>1</v>
      </c>
      <c r="Q1784">
        <f t="shared" si="521"/>
        <v>0</v>
      </c>
      <c r="R1784">
        <f t="shared" si="522"/>
        <v>0</v>
      </c>
      <c r="S1784">
        <f t="shared" si="523"/>
        <v>0</v>
      </c>
      <c r="T1784">
        <f t="shared" si="524"/>
        <v>0</v>
      </c>
      <c r="U1784">
        <f t="shared" si="525"/>
        <v>0</v>
      </c>
      <c r="V1784">
        <f t="shared" si="526"/>
        <v>0</v>
      </c>
      <c r="W1784" t="s">
        <v>39</v>
      </c>
      <c r="X1784">
        <f t="shared" si="527"/>
        <v>1</v>
      </c>
      <c r="Y1784">
        <f t="shared" si="528"/>
        <v>0</v>
      </c>
      <c r="Z1784">
        <v>3</v>
      </c>
      <c r="AA1784">
        <f t="shared" si="529"/>
        <v>0.5</v>
      </c>
      <c r="AB1784" t="s">
        <v>46</v>
      </c>
      <c r="AC1784">
        <f t="shared" si="530"/>
        <v>0</v>
      </c>
      <c r="AD1784">
        <f t="shared" si="531"/>
        <v>0</v>
      </c>
      <c r="AE1784" t="s">
        <v>41</v>
      </c>
      <c r="AF1784">
        <f>IF(AE1784="website",1,0)</f>
        <v>1</v>
      </c>
    </row>
    <row r="1785" spans="1:32">
      <c r="A1785" t="s">
        <v>2437</v>
      </c>
      <c r="B1785" t="s">
        <v>33</v>
      </c>
      <c r="C1785" s="3">
        <f t="shared" si="513"/>
        <v>0</v>
      </c>
      <c r="D1785">
        <f t="shared" si="514"/>
        <v>1</v>
      </c>
      <c r="E1785" t="s">
        <v>677</v>
      </c>
      <c r="F1785" t="s">
        <v>620</v>
      </c>
      <c r="G1785" s="1">
        <v>35850</v>
      </c>
      <c r="H1785" s="2">
        <f t="shared" ca="1" si="515"/>
        <v>28</v>
      </c>
      <c r="I1785" s="2">
        <f t="shared" ca="1" si="516"/>
        <v>4.2857142857142858E-2</v>
      </c>
      <c r="J1785" t="s">
        <v>45</v>
      </c>
      <c r="K1785" t="s">
        <v>819</v>
      </c>
      <c r="L1785">
        <f t="shared" si="517"/>
        <v>0</v>
      </c>
      <c r="M1785">
        <f t="shared" si="518"/>
        <v>0</v>
      </c>
      <c r="N1785">
        <f t="shared" si="519"/>
        <v>0</v>
      </c>
      <c r="O1785" t="s">
        <v>1562</v>
      </c>
      <c r="P1785">
        <f t="shared" si="520"/>
        <v>0</v>
      </c>
      <c r="Q1785">
        <f t="shared" si="521"/>
        <v>0</v>
      </c>
      <c r="R1785">
        <f t="shared" si="522"/>
        <v>0</v>
      </c>
      <c r="S1785">
        <f t="shared" si="523"/>
        <v>0</v>
      </c>
      <c r="T1785">
        <f t="shared" si="524"/>
        <v>0</v>
      </c>
      <c r="U1785">
        <f t="shared" si="525"/>
        <v>0</v>
      </c>
      <c r="V1785">
        <f t="shared" si="526"/>
        <v>0</v>
      </c>
      <c r="W1785" t="s">
        <v>39</v>
      </c>
      <c r="X1785">
        <f t="shared" si="527"/>
        <v>1</v>
      </c>
      <c r="Y1785">
        <f t="shared" si="528"/>
        <v>0</v>
      </c>
      <c r="Z1785">
        <v>3</v>
      </c>
      <c r="AA1785">
        <f t="shared" si="529"/>
        <v>0.5</v>
      </c>
      <c r="AB1785" t="s">
        <v>46</v>
      </c>
      <c r="AC1785">
        <f t="shared" si="530"/>
        <v>0</v>
      </c>
      <c r="AD1785">
        <f t="shared" si="531"/>
        <v>1</v>
      </c>
      <c r="AE1785" t="s">
        <v>90</v>
      </c>
      <c r="AF1785">
        <f>IF(AE1785="website",1,0)</f>
        <v>0</v>
      </c>
    </row>
    <row r="1786" spans="1:32">
      <c r="A1786" t="s">
        <v>2438</v>
      </c>
      <c r="B1786" t="s">
        <v>33</v>
      </c>
      <c r="C1786" s="3">
        <f t="shared" si="513"/>
        <v>0</v>
      </c>
      <c r="D1786">
        <f t="shared" si="514"/>
        <v>1</v>
      </c>
      <c r="E1786" t="s">
        <v>639</v>
      </c>
      <c r="F1786" t="s">
        <v>720</v>
      </c>
      <c r="G1786" s="1">
        <v>20512</v>
      </c>
      <c r="H1786" s="2">
        <f t="shared" ca="1" si="515"/>
        <v>70</v>
      </c>
      <c r="I1786" s="2">
        <f t="shared" ca="1" si="516"/>
        <v>0.6428571428571429</v>
      </c>
      <c r="J1786" t="s">
        <v>36</v>
      </c>
      <c r="K1786" t="s">
        <v>37</v>
      </c>
      <c r="L1786">
        <f t="shared" si="517"/>
        <v>1</v>
      </c>
      <c r="M1786">
        <f t="shared" si="518"/>
        <v>0</v>
      </c>
      <c r="N1786">
        <f t="shared" si="519"/>
        <v>0</v>
      </c>
      <c r="O1786" t="s">
        <v>137</v>
      </c>
      <c r="P1786">
        <f t="shared" si="520"/>
        <v>0</v>
      </c>
      <c r="Q1786">
        <f t="shared" si="521"/>
        <v>0</v>
      </c>
      <c r="R1786">
        <f t="shared" si="522"/>
        <v>0</v>
      </c>
      <c r="S1786">
        <f t="shared" si="523"/>
        <v>0</v>
      </c>
      <c r="T1786">
        <f t="shared" si="524"/>
        <v>0</v>
      </c>
      <c r="U1786">
        <f t="shared" si="525"/>
        <v>0</v>
      </c>
      <c r="V1786">
        <f t="shared" si="526"/>
        <v>0</v>
      </c>
      <c r="W1786" t="s">
        <v>39</v>
      </c>
      <c r="X1786">
        <f t="shared" si="527"/>
        <v>1</v>
      </c>
      <c r="Y1786">
        <f t="shared" si="528"/>
        <v>0</v>
      </c>
      <c r="Z1786">
        <v>1</v>
      </c>
      <c r="AA1786">
        <f t="shared" si="529"/>
        <v>0</v>
      </c>
      <c r="AB1786" t="s">
        <v>40</v>
      </c>
      <c r="AC1786">
        <f t="shared" si="530"/>
        <v>0</v>
      </c>
      <c r="AD1786">
        <f t="shared" si="531"/>
        <v>0</v>
      </c>
      <c r="AE1786" t="s">
        <v>41</v>
      </c>
      <c r="AF1786">
        <f>IF(AE1786="website",1,0)</f>
        <v>1</v>
      </c>
    </row>
    <row r="1787" spans="1:32">
      <c r="A1787" t="s">
        <v>2439</v>
      </c>
      <c r="B1787" t="s">
        <v>33</v>
      </c>
      <c r="C1787" s="3">
        <f t="shared" si="513"/>
        <v>0</v>
      </c>
      <c r="D1787">
        <f t="shared" si="514"/>
        <v>1</v>
      </c>
      <c r="E1787" t="s">
        <v>1070</v>
      </c>
      <c r="F1787" t="s">
        <v>633</v>
      </c>
      <c r="G1787" s="1">
        <v>34765</v>
      </c>
      <c r="H1787" s="2">
        <f t="shared" ca="1" si="515"/>
        <v>31</v>
      </c>
      <c r="I1787" s="2">
        <f t="shared" ca="1" si="516"/>
        <v>8.5714285714285715E-2</v>
      </c>
      <c r="J1787" t="s">
        <v>45</v>
      </c>
      <c r="K1787" t="s">
        <v>37</v>
      </c>
      <c r="L1787">
        <f t="shared" si="517"/>
        <v>1</v>
      </c>
      <c r="M1787">
        <f t="shared" si="518"/>
        <v>0</v>
      </c>
      <c r="N1787">
        <f t="shared" si="519"/>
        <v>0</v>
      </c>
      <c r="O1787" t="s">
        <v>38</v>
      </c>
      <c r="P1787">
        <f t="shared" si="520"/>
        <v>1</v>
      </c>
      <c r="Q1787">
        <f t="shared" si="521"/>
        <v>0</v>
      </c>
      <c r="R1787">
        <f t="shared" si="522"/>
        <v>0</v>
      </c>
      <c r="S1787">
        <f t="shared" si="523"/>
        <v>0</v>
      </c>
      <c r="T1787">
        <f t="shared" si="524"/>
        <v>0</v>
      </c>
      <c r="U1787">
        <f t="shared" si="525"/>
        <v>0</v>
      </c>
      <c r="V1787">
        <f t="shared" si="526"/>
        <v>0</v>
      </c>
      <c r="W1787" t="s">
        <v>39</v>
      </c>
      <c r="X1787">
        <f t="shared" si="527"/>
        <v>1</v>
      </c>
      <c r="Y1787">
        <f t="shared" si="528"/>
        <v>0</v>
      </c>
      <c r="Z1787">
        <v>1</v>
      </c>
      <c r="AA1787">
        <f t="shared" si="529"/>
        <v>0</v>
      </c>
      <c r="AB1787" t="s">
        <v>46</v>
      </c>
      <c r="AC1787">
        <f t="shared" si="530"/>
        <v>0</v>
      </c>
      <c r="AD1787">
        <f t="shared" si="531"/>
        <v>0</v>
      </c>
      <c r="AE1787" t="s">
        <v>41</v>
      </c>
      <c r="AF1787">
        <f>IF(AE1787="website",1,0)</f>
        <v>1</v>
      </c>
    </row>
    <row r="1788" spans="1:32">
      <c r="A1788" t="s">
        <v>2440</v>
      </c>
      <c r="B1788" t="s">
        <v>33</v>
      </c>
      <c r="C1788" s="3">
        <f t="shared" si="513"/>
        <v>0</v>
      </c>
      <c r="D1788">
        <f t="shared" si="514"/>
        <v>1</v>
      </c>
      <c r="E1788" t="s">
        <v>734</v>
      </c>
      <c r="F1788" t="s">
        <v>882</v>
      </c>
      <c r="G1788" s="1">
        <v>20354</v>
      </c>
      <c r="H1788" s="2">
        <f t="shared" ca="1" si="515"/>
        <v>71</v>
      </c>
      <c r="I1788" s="2">
        <f t="shared" ca="1" si="516"/>
        <v>0.65714285714285714</v>
      </c>
      <c r="J1788" t="s">
        <v>45</v>
      </c>
      <c r="K1788" t="s">
        <v>37</v>
      </c>
      <c r="L1788">
        <f t="shared" si="517"/>
        <v>1</v>
      </c>
      <c r="M1788">
        <f t="shared" si="518"/>
        <v>0</v>
      </c>
      <c r="N1788">
        <f t="shared" si="519"/>
        <v>0</v>
      </c>
      <c r="O1788" t="s">
        <v>785</v>
      </c>
      <c r="P1788">
        <f t="shared" si="520"/>
        <v>0</v>
      </c>
      <c r="Q1788">
        <f t="shared" si="521"/>
        <v>0</v>
      </c>
      <c r="R1788">
        <f t="shared" si="522"/>
        <v>0</v>
      </c>
      <c r="S1788">
        <f t="shared" si="523"/>
        <v>0</v>
      </c>
      <c r="T1788">
        <f t="shared" si="524"/>
        <v>0</v>
      </c>
      <c r="U1788">
        <f t="shared" si="525"/>
        <v>0</v>
      </c>
      <c r="V1788">
        <f t="shared" si="526"/>
        <v>0</v>
      </c>
      <c r="W1788" t="s">
        <v>58</v>
      </c>
      <c r="X1788">
        <f t="shared" si="527"/>
        <v>0</v>
      </c>
      <c r="Y1788">
        <f t="shared" si="528"/>
        <v>1</v>
      </c>
      <c r="Z1788">
        <v>5</v>
      </c>
      <c r="AA1788">
        <f t="shared" si="529"/>
        <v>1</v>
      </c>
      <c r="AB1788" t="s">
        <v>46</v>
      </c>
      <c r="AC1788">
        <f t="shared" si="530"/>
        <v>1</v>
      </c>
      <c r="AD1788">
        <f t="shared" si="531"/>
        <v>0</v>
      </c>
      <c r="AE1788" t="s">
        <v>50</v>
      </c>
      <c r="AF1788">
        <f>IF(AE1788="website",1,0)</f>
        <v>0</v>
      </c>
    </row>
    <row r="1789" spans="1:32">
      <c r="A1789" t="s">
        <v>2441</v>
      </c>
      <c r="B1789" t="s">
        <v>33</v>
      </c>
      <c r="C1789" s="3">
        <f t="shared" si="513"/>
        <v>0</v>
      </c>
      <c r="D1789">
        <f t="shared" si="514"/>
        <v>1</v>
      </c>
      <c r="E1789" t="s">
        <v>842</v>
      </c>
      <c r="F1789" t="s">
        <v>659</v>
      </c>
      <c r="G1789" s="1">
        <v>32808</v>
      </c>
      <c r="H1789" s="2">
        <f t="shared" ca="1" si="515"/>
        <v>36</v>
      </c>
      <c r="I1789" s="2">
        <f t="shared" ca="1" si="516"/>
        <v>0.15714285714285714</v>
      </c>
      <c r="J1789" t="s">
        <v>45</v>
      </c>
      <c r="K1789" t="s">
        <v>37</v>
      </c>
      <c r="L1789">
        <f t="shared" si="517"/>
        <v>1</v>
      </c>
      <c r="M1789">
        <f t="shared" si="518"/>
        <v>0</v>
      </c>
      <c r="N1789">
        <f t="shared" si="519"/>
        <v>0</v>
      </c>
      <c r="O1789" t="s">
        <v>38</v>
      </c>
      <c r="P1789">
        <f t="shared" si="520"/>
        <v>1</v>
      </c>
      <c r="Q1789">
        <f t="shared" si="521"/>
        <v>0</v>
      </c>
      <c r="R1789">
        <f t="shared" si="522"/>
        <v>0</v>
      </c>
      <c r="S1789">
        <f t="shared" si="523"/>
        <v>0</v>
      </c>
      <c r="T1789">
        <f t="shared" si="524"/>
        <v>0</v>
      </c>
      <c r="U1789">
        <f t="shared" si="525"/>
        <v>0</v>
      </c>
      <c r="V1789">
        <f t="shared" si="526"/>
        <v>0</v>
      </c>
      <c r="W1789" t="s">
        <v>39</v>
      </c>
      <c r="X1789">
        <f t="shared" si="527"/>
        <v>1</v>
      </c>
      <c r="Y1789">
        <f t="shared" si="528"/>
        <v>0</v>
      </c>
      <c r="Z1789">
        <v>3</v>
      </c>
      <c r="AA1789">
        <f t="shared" si="529"/>
        <v>0.5</v>
      </c>
      <c r="AB1789" t="s">
        <v>46</v>
      </c>
      <c r="AC1789">
        <f t="shared" si="530"/>
        <v>0</v>
      </c>
      <c r="AD1789">
        <f t="shared" si="531"/>
        <v>0</v>
      </c>
      <c r="AE1789" t="s">
        <v>41</v>
      </c>
      <c r="AF1789">
        <f>IF(AE1789="website",1,0)</f>
        <v>1</v>
      </c>
    </row>
    <row r="1790" spans="1:32">
      <c r="A1790" t="s">
        <v>2442</v>
      </c>
      <c r="B1790" t="s">
        <v>33</v>
      </c>
      <c r="C1790" s="3">
        <f t="shared" si="513"/>
        <v>0</v>
      </c>
      <c r="D1790">
        <f t="shared" si="514"/>
        <v>1</v>
      </c>
      <c r="E1790" t="s">
        <v>858</v>
      </c>
      <c r="F1790" t="s">
        <v>645</v>
      </c>
      <c r="G1790" s="1">
        <v>30157</v>
      </c>
      <c r="H1790" s="2">
        <f t="shared" ca="1" si="515"/>
        <v>44</v>
      </c>
      <c r="I1790" s="2">
        <f t="shared" ca="1" si="516"/>
        <v>0.27142857142857141</v>
      </c>
      <c r="J1790" t="s">
        <v>45</v>
      </c>
      <c r="K1790" t="s">
        <v>37</v>
      </c>
      <c r="L1790">
        <f t="shared" si="517"/>
        <v>1</v>
      </c>
      <c r="M1790">
        <f t="shared" si="518"/>
        <v>0</v>
      </c>
      <c r="N1790">
        <f t="shared" si="519"/>
        <v>0</v>
      </c>
      <c r="O1790" t="s">
        <v>137</v>
      </c>
      <c r="P1790">
        <f t="shared" si="520"/>
        <v>0</v>
      </c>
      <c r="Q1790">
        <f t="shared" si="521"/>
        <v>0</v>
      </c>
      <c r="R1790">
        <f t="shared" si="522"/>
        <v>0</v>
      </c>
      <c r="S1790">
        <f t="shared" si="523"/>
        <v>0</v>
      </c>
      <c r="T1790">
        <f t="shared" si="524"/>
        <v>0</v>
      </c>
      <c r="U1790">
        <f t="shared" si="525"/>
        <v>0</v>
      </c>
      <c r="V1790">
        <f t="shared" si="526"/>
        <v>0</v>
      </c>
      <c r="W1790" t="s">
        <v>39</v>
      </c>
      <c r="X1790">
        <f t="shared" si="527"/>
        <v>1</v>
      </c>
      <c r="Y1790">
        <f t="shared" si="528"/>
        <v>0</v>
      </c>
      <c r="Z1790">
        <v>5</v>
      </c>
      <c r="AA1790">
        <f t="shared" si="529"/>
        <v>1</v>
      </c>
      <c r="AB1790" t="s">
        <v>40</v>
      </c>
      <c r="AC1790">
        <f t="shared" si="530"/>
        <v>1</v>
      </c>
      <c r="AD1790">
        <f t="shared" si="531"/>
        <v>0</v>
      </c>
      <c r="AE1790" t="s">
        <v>50</v>
      </c>
      <c r="AF1790">
        <f>IF(AE1790="website",1,0)</f>
        <v>0</v>
      </c>
    </row>
    <row r="1791" spans="1:32">
      <c r="A1791" t="s">
        <v>2443</v>
      </c>
      <c r="B1791" t="s">
        <v>33</v>
      </c>
      <c r="C1791" s="3">
        <f t="shared" si="513"/>
        <v>0</v>
      </c>
      <c r="D1791">
        <f t="shared" si="514"/>
        <v>1</v>
      </c>
      <c r="E1791" t="s">
        <v>561</v>
      </c>
      <c r="F1791" t="s">
        <v>513</v>
      </c>
      <c r="G1791" s="1">
        <v>14659</v>
      </c>
      <c r="H1791" s="2">
        <f t="shared" ca="1" si="515"/>
        <v>86</v>
      </c>
      <c r="I1791" s="2">
        <f t="shared" ca="1" si="516"/>
        <v>0.87142857142857144</v>
      </c>
      <c r="J1791" t="s">
        <v>45</v>
      </c>
      <c r="K1791" t="s">
        <v>37</v>
      </c>
      <c r="L1791">
        <f t="shared" si="517"/>
        <v>1</v>
      </c>
      <c r="M1791">
        <f t="shared" si="518"/>
        <v>0</v>
      </c>
      <c r="N1791">
        <f t="shared" si="519"/>
        <v>0</v>
      </c>
      <c r="O1791" t="s">
        <v>124</v>
      </c>
      <c r="P1791">
        <f t="shared" si="520"/>
        <v>0</v>
      </c>
      <c r="Q1791">
        <f t="shared" si="521"/>
        <v>0</v>
      </c>
      <c r="R1791">
        <f t="shared" si="522"/>
        <v>0</v>
      </c>
      <c r="S1791">
        <f t="shared" si="523"/>
        <v>0</v>
      </c>
      <c r="T1791">
        <f t="shared" si="524"/>
        <v>0</v>
      </c>
      <c r="U1791">
        <f t="shared" si="525"/>
        <v>1</v>
      </c>
      <c r="V1791">
        <f t="shared" si="526"/>
        <v>0</v>
      </c>
      <c r="W1791" t="s">
        <v>58</v>
      </c>
      <c r="X1791">
        <f t="shared" si="527"/>
        <v>0</v>
      </c>
      <c r="Y1791">
        <f t="shared" si="528"/>
        <v>1</v>
      </c>
      <c r="Z1791">
        <v>5</v>
      </c>
      <c r="AA1791">
        <f t="shared" si="529"/>
        <v>1</v>
      </c>
      <c r="AB1791" t="s">
        <v>46</v>
      </c>
      <c r="AC1791">
        <f t="shared" si="530"/>
        <v>0</v>
      </c>
      <c r="AD1791">
        <f t="shared" si="531"/>
        <v>1</v>
      </c>
      <c r="AE1791" t="s">
        <v>90</v>
      </c>
      <c r="AF1791">
        <f>IF(AE1791="website",1,0)</f>
        <v>0</v>
      </c>
    </row>
    <row r="1792" spans="1:32">
      <c r="A1792" t="s">
        <v>2444</v>
      </c>
      <c r="B1792" t="s">
        <v>33</v>
      </c>
      <c r="C1792" s="3">
        <f t="shared" si="513"/>
        <v>0</v>
      </c>
      <c r="D1792">
        <f t="shared" si="514"/>
        <v>1</v>
      </c>
      <c r="E1792" t="s">
        <v>722</v>
      </c>
      <c r="F1792" t="s">
        <v>941</v>
      </c>
      <c r="G1792" s="1">
        <v>24223</v>
      </c>
      <c r="H1792" s="2">
        <f t="shared" ca="1" si="515"/>
        <v>60</v>
      </c>
      <c r="I1792" s="2">
        <f t="shared" ca="1" si="516"/>
        <v>0.5</v>
      </c>
      <c r="J1792" t="s">
        <v>45</v>
      </c>
      <c r="K1792" t="s">
        <v>37</v>
      </c>
      <c r="L1792">
        <f t="shared" si="517"/>
        <v>1</v>
      </c>
      <c r="M1792">
        <f t="shared" si="518"/>
        <v>0</v>
      </c>
      <c r="N1792">
        <f t="shared" si="519"/>
        <v>0</v>
      </c>
      <c r="O1792" t="s">
        <v>38</v>
      </c>
      <c r="P1792">
        <f t="shared" si="520"/>
        <v>1</v>
      </c>
      <c r="Q1792">
        <f t="shared" si="521"/>
        <v>0</v>
      </c>
      <c r="R1792">
        <f t="shared" si="522"/>
        <v>0</v>
      </c>
      <c r="S1792">
        <f t="shared" si="523"/>
        <v>0</v>
      </c>
      <c r="T1792">
        <f t="shared" si="524"/>
        <v>0</v>
      </c>
      <c r="U1792">
        <f t="shared" si="525"/>
        <v>0</v>
      </c>
      <c r="V1792">
        <f t="shared" si="526"/>
        <v>0</v>
      </c>
      <c r="W1792" t="s">
        <v>39</v>
      </c>
      <c r="X1792">
        <f t="shared" si="527"/>
        <v>1</v>
      </c>
      <c r="Y1792">
        <f t="shared" si="528"/>
        <v>0</v>
      </c>
      <c r="Z1792">
        <v>5</v>
      </c>
      <c r="AA1792">
        <f t="shared" si="529"/>
        <v>1</v>
      </c>
      <c r="AB1792" t="s">
        <v>46</v>
      </c>
      <c r="AC1792">
        <f t="shared" si="530"/>
        <v>1</v>
      </c>
      <c r="AD1792">
        <f t="shared" si="531"/>
        <v>0</v>
      </c>
      <c r="AE1792" t="s">
        <v>50</v>
      </c>
      <c r="AF1792">
        <f>IF(AE1792="website",1,0)</f>
        <v>0</v>
      </c>
    </row>
    <row r="1793" spans="1:32">
      <c r="A1793" t="s">
        <v>2445</v>
      </c>
      <c r="B1793" t="s">
        <v>33</v>
      </c>
      <c r="C1793" s="3">
        <f t="shared" si="513"/>
        <v>0</v>
      </c>
      <c r="D1793">
        <f t="shared" si="514"/>
        <v>1</v>
      </c>
      <c r="E1793" t="s">
        <v>329</v>
      </c>
      <c r="F1793" t="s">
        <v>599</v>
      </c>
      <c r="G1793" s="1">
        <v>34867</v>
      </c>
      <c r="H1793" s="2">
        <f t="shared" ca="1" si="515"/>
        <v>31</v>
      </c>
      <c r="I1793" s="2">
        <f t="shared" ca="1" si="516"/>
        <v>8.5714285714285715E-2</v>
      </c>
      <c r="J1793" t="s">
        <v>45</v>
      </c>
      <c r="K1793" t="s">
        <v>37</v>
      </c>
      <c r="L1793">
        <f t="shared" si="517"/>
        <v>1</v>
      </c>
      <c r="M1793">
        <f t="shared" si="518"/>
        <v>0</v>
      </c>
      <c r="N1793">
        <f t="shared" si="519"/>
        <v>0</v>
      </c>
      <c r="O1793" t="s">
        <v>38</v>
      </c>
      <c r="P1793">
        <f t="shared" si="520"/>
        <v>1</v>
      </c>
      <c r="Q1793">
        <f t="shared" si="521"/>
        <v>0</v>
      </c>
      <c r="R1793">
        <f t="shared" si="522"/>
        <v>0</v>
      </c>
      <c r="S1793">
        <f t="shared" si="523"/>
        <v>0</v>
      </c>
      <c r="T1793">
        <f t="shared" si="524"/>
        <v>0</v>
      </c>
      <c r="U1793">
        <f t="shared" si="525"/>
        <v>0</v>
      </c>
      <c r="V1793">
        <f t="shared" si="526"/>
        <v>0</v>
      </c>
      <c r="W1793" t="s">
        <v>39</v>
      </c>
      <c r="X1793">
        <f t="shared" si="527"/>
        <v>1</v>
      </c>
      <c r="Y1793">
        <f t="shared" si="528"/>
        <v>0</v>
      </c>
      <c r="Z1793">
        <v>3</v>
      </c>
      <c r="AA1793">
        <f t="shared" si="529"/>
        <v>0.5</v>
      </c>
      <c r="AB1793" t="s">
        <v>46</v>
      </c>
      <c r="AC1793">
        <f t="shared" si="530"/>
        <v>1</v>
      </c>
      <c r="AD1793">
        <f t="shared" si="531"/>
        <v>0</v>
      </c>
      <c r="AE1793" t="s">
        <v>50</v>
      </c>
      <c r="AF1793">
        <f>IF(AE1793="website",1,0)</f>
        <v>0</v>
      </c>
    </row>
    <row r="1794" spans="1:32">
      <c r="A1794" t="s">
        <v>2446</v>
      </c>
      <c r="B1794" t="s">
        <v>33</v>
      </c>
      <c r="C1794" s="3">
        <f t="shared" ref="C1794:C1857" si="532">IF(B1794="company",1,0)</f>
        <v>0</v>
      </c>
      <c r="D1794">
        <f t="shared" ref="D1794:D1857" si="533">IF(B1794="individual",1,0)</f>
        <v>1</v>
      </c>
      <c r="E1794" t="s">
        <v>918</v>
      </c>
      <c r="F1794" t="s">
        <v>659</v>
      </c>
      <c r="G1794" s="1">
        <v>25298</v>
      </c>
      <c r="H1794" s="2">
        <f t="shared" ref="H1794:H1857" ca="1" si="534">DATEDIF(G1794,TODAY(),"Y")</f>
        <v>57</v>
      </c>
      <c r="I1794" s="2">
        <f t="shared" ref="I1794:I1857" ca="1" si="535">(H1794-MIN(H:H))/(MAX(H:H)-MIN(H:H))</f>
        <v>0.45714285714285713</v>
      </c>
      <c r="J1794" t="s">
        <v>45</v>
      </c>
      <c r="K1794" t="s">
        <v>37</v>
      </c>
      <c r="L1794">
        <f t="shared" ref="L1794:L1857" si="536">IF(K1794="usa",1,0)</f>
        <v>1</v>
      </c>
      <c r="M1794">
        <f t="shared" ref="M1794:M1857" si="537">IF(K1794="canada",1,0)</f>
        <v>0</v>
      </c>
      <c r="N1794">
        <f t="shared" ref="N1794:N1857" si="538">IF(K1794="germany",1,0)</f>
        <v>0</v>
      </c>
      <c r="O1794" t="s">
        <v>183</v>
      </c>
      <c r="P1794">
        <f t="shared" ref="P1794:P1857" si="539">IF(O1794="california",1,0)</f>
        <v>0</v>
      </c>
      <c r="Q1794">
        <f t="shared" ref="Q1794:Q1857" si="540">IF(O1794="oregon",1,0)</f>
        <v>0</v>
      </c>
      <c r="R1794">
        <f t="shared" ref="R1794:R1857" si="541">IF(O1794="quebec",1,0)</f>
        <v>0</v>
      </c>
      <c r="S1794">
        <f t="shared" ref="S1794:S1857" si="542">IF(O1794="berlin",1,0)</f>
        <v>0</v>
      </c>
      <c r="T1794">
        <f t="shared" ref="T1794:T1857" si="543">IF(O1794="arizona",1,0)</f>
        <v>0</v>
      </c>
      <c r="U1794">
        <f t="shared" ref="U1794:U1857" si="544">IF(O1794="nevada",1,0)</f>
        <v>0</v>
      </c>
      <c r="V1794">
        <f t="shared" ref="V1794:V1857" si="545">IF(O1794="colardo",1,0)</f>
        <v>0</v>
      </c>
      <c r="W1794" t="s">
        <v>58</v>
      </c>
      <c r="X1794">
        <f t="shared" ref="X1794:X1857" si="546">IF(W1794="home",1,0)</f>
        <v>0</v>
      </c>
      <c r="Y1794">
        <f t="shared" ref="Y1794:Y1857" si="547">IF(W1794="investment",1,0)</f>
        <v>1</v>
      </c>
      <c r="Z1794">
        <v>1</v>
      </c>
      <c r="AA1794">
        <f t="shared" ref="AA1794:AA1857" si="548">(Z1794-1)/4</f>
        <v>0</v>
      </c>
      <c r="AB1794" t="s">
        <v>46</v>
      </c>
      <c r="AC1794">
        <f t="shared" ref="AC1794:AC1857" si="549">IF(AE1794="agency",1,0)</f>
        <v>0</v>
      </c>
      <c r="AD1794">
        <f t="shared" ref="AD1794:AD1857" si="550">IF(AE1794="client",1,0)</f>
        <v>0</v>
      </c>
      <c r="AE1794" t="s">
        <v>41</v>
      </c>
      <c r="AF1794">
        <f>IF(AE1794="website",1,0)</f>
        <v>1</v>
      </c>
    </row>
    <row r="1795" spans="1:32">
      <c r="A1795" t="s">
        <v>2447</v>
      </c>
      <c r="B1795" t="s">
        <v>33</v>
      </c>
      <c r="C1795" s="3">
        <f t="shared" si="532"/>
        <v>0</v>
      </c>
      <c r="D1795">
        <f t="shared" si="533"/>
        <v>1</v>
      </c>
      <c r="E1795" t="s">
        <v>965</v>
      </c>
      <c r="F1795" t="s">
        <v>585</v>
      </c>
      <c r="G1795" s="1">
        <v>35058</v>
      </c>
      <c r="H1795" s="2">
        <f t="shared" ca="1" si="534"/>
        <v>30</v>
      </c>
      <c r="I1795" s="2">
        <f t="shared" ca="1" si="535"/>
        <v>7.1428571428571425E-2</v>
      </c>
      <c r="J1795" t="s">
        <v>45</v>
      </c>
      <c r="K1795" t="s">
        <v>37</v>
      </c>
      <c r="L1795">
        <f t="shared" si="536"/>
        <v>1</v>
      </c>
      <c r="M1795">
        <f t="shared" si="537"/>
        <v>0</v>
      </c>
      <c r="N1795">
        <f t="shared" si="538"/>
        <v>0</v>
      </c>
      <c r="O1795" t="s">
        <v>137</v>
      </c>
      <c r="P1795">
        <f t="shared" si="539"/>
        <v>0</v>
      </c>
      <c r="Q1795">
        <f t="shared" si="540"/>
        <v>0</v>
      </c>
      <c r="R1795">
        <f t="shared" si="541"/>
        <v>0</v>
      </c>
      <c r="S1795">
        <f t="shared" si="542"/>
        <v>0</v>
      </c>
      <c r="T1795">
        <f t="shared" si="543"/>
        <v>0</v>
      </c>
      <c r="U1795">
        <f t="shared" si="544"/>
        <v>0</v>
      </c>
      <c r="V1795">
        <f t="shared" si="545"/>
        <v>0</v>
      </c>
      <c r="W1795" t="s">
        <v>39</v>
      </c>
      <c r="X1795">
        <f t="shared" si="546"/>
        <v>1</v>
      </c>
      <c r="Y1795">
        <f t="shared" si="547"/>
        <v>0</v>
      </c>
      <c r="Z1795">
        <v>3</v>
      </c>
      <c r="AA1795">
        <f t="shared" si="548"/>
        <v>0.5</v>
      </c>
      <c r="AB1795" t="s">
        <v>46</v>
      </c>
      <c r="AC1795">
        <f t="shared" si="549"/>
        <v>0</v>
      </c>
      <c r="AD1795">
        <f t="shared" si="550"/>
        <v>0</v>
      </c>
      <c r="AE1795" t="s">
        <v>41</v>
      </c>
      <c r="AF1795">
        <f>IF(AE1795="website",1,0)</f>
        <v>1</v>
      </c>
    </row>
    <row r="1796" spans="1:32">
      <c r="A1796" t="s">
        <v>2448</v>
      </c>
      <c r="B1796" t="s">
        <v>33</v>
      </c>
      <c r="C1796" s="3">
        <f t="shared" si="532"/>
        <v>0</v>
      </c>
      <c r="D1796">
        <f t="shared" si="533"/>
        <v>1</v>
      </c>
      <c r="E1796" t="s">
        <v>683</v>
      </c>
      <c r="F1796" t="s">
        <v>247</v>
      </c>
      <c r="G1796" s="1">
        <v>16772</v>
      </c>
      <c r="H1796" s="2">
        <f t="shared" ca="1" si="534"/>
        <v>80</v>
      </c>
      <c r="I1796" s="2">
        <f t="shared" ca="1" si="535"/>
        <v>0.7857142857142857</v>
      </c>
      <c r="J1796" t="s">
        <v>45</v>
      </c>
      <c r="K1796" t="s">
        <v>37</v>
      </c>
      <c r="L1796">
        <f t="shared" si="536"/>
        <v>1</v>
      </c>
      <c r="M1796">
        <f t="shared" si="537"/>
        <v>0</v>
      </c>
      <c r="N1796">
        <f t="shared" si="538"/>
        <v>0</v>
      </c>
      <c r="O1796" t="s">
        <v>38</v>
      </c>
      <c r="P1796">
        <f t="shared" si="539"/>
        <v>1</v>
      </c>
      <c r="Q1796">
        <f t="shared" si="540"/>
        <v>0</v>
      </c>
      <c r="R1796">
        <f t="shared" si="541"/>
        <v>0</v>
      </c>
      <c r="S1796">
        <f t="shared" si="542"/>
        <v>0</v>
      </c>
      <c r="T1796">
        <f t="shared" si="543"/>
        <v>0</v>
      </c>
      <c r="U1796">
        <f t="shared" si="544"/>
        <v>0</v>
      </c>
      <c r="V1796">
        <f t="shared" si="545"/>
        <v>0</v>
      </c>
      <c r="W1796" t="s">
        <v>39</v>
      </c>
      <c r="X1796">
        <f t="shared" si="546"/>
        <v>1</v>
      </c>
      <c r="Y1796">
        <f t="shared" si="547"/>
        <v>0</v>
      </c>
      <c r="Z1796">
        <v>5</v>
      </c>
      <c r="AA1796">
        <f t="shared" si="548"/>
        <v>1</v>
      </c>
      <c r="AB1796" t="s">
        <v>40</v>
      </c>
      <c r="AC1796">
        <f t="shared" si="549"/>
        <v>0</v>
      </c>
      <c r="AD1796">
        <f t="shared" si="550"/>
        <v>0</v>
      </c>
      <c r="AE1796" t="s">
        <v>41</v>
      </c>
      <c r="AF1796">
        <f>IF(AE1796="website",1,0)</f>
        <v>1</v>
      </c>
    </row>
    <row r="1797" spans="1:32">
      <c r="A1797" t="s">
        <v>2449</v>
      </c>
      <c r="B1797" t="s">
        <v>33</v>
      </c>
      <c r="C1797" s="3">
        <f t="shared" si="532"/>
        <v>0</v>
      </c>
      <c r="D1797">
        <f t="shared" si="533"/>
        <v>1</v>
      </c>
      <c r="E1797" t="s">
        <v>755</v>
      </c>
      <c r="F1797" t="s">
        <v>716</v>
      </c>
      <c r="G1797" s="1">
        <v>18527</v>
      </c>
      <c r="H1797" s="2">
        <f t="shared" ca="1" si="534"/>
        <v>76</v>
      </c>
      <c r="I1797" s="2">
        <f t="shared" ca="1" si="535"/>
        <v>0.72857142857142854</v>
      </c>
      <c r="J1797" t="s">
        <v>36</v>
      </c>
      <c r="K1797" t="s">
        <v>37</v>
      </c>
      <c r="L1797">
        <f t="shared" si="536"/>
        <v>1</v>
      </c>
      <c r="M1797">
        <f t="shared" si="537"/>
        <v>0</v>
      </c>
      <c r="N1797">
        <f t="shared" si="538"/>
        <v>0</v>
      </c>
      <c r="O1797" t="s">
        <v>38</v>
      </c>
      <c r="P1797">
        <f t="shared" si="539"/>
        <v>1</v>
      </c>
      <c r="Q1797">
        <f t="shared" si="540"/>
        <v>0</v>
      </c>
      <c r="R1797">
        <f t="shared" si="541"/>
        <v>0</v>
      </c>
      <c r="S1797">
        <f t="shared" si="542"/>
        <v>0</v>
      </c>
      <c r="T1797">
        <f t="shared" si="543"/>
        <v>0</v>
      </c>
      <c r="U1797">
        <f t="shared" si="544"/>
        <v>0</v>
      </c>
      <c r="V1797">
        <f t="shared" si="545"/>
        <v>0</v>
      </c>
      <c r="W1797" t="s">
        <v>58</v>
      </c>
      <c r="X1797">
        <f t="shared" si="546"/>
        <v>0</v>
      </c>
      <c r="Y1797">
        <f t="shared" si="547"/>
        <v>1</v>
      </c>
      <c r="Z1797">
        <v>5</v>
      </c>
      <c r="AA1797">
        <f t="shared" si="548"/>
        <v>1</v>
      </c>
      <c r="AB1797" t="s">
        <v>40</v>
      </c>
      <c r="AC1797">
        <f t="shared" si="549"/>
        <v>0</v>
      </c>
      <c r="AD1797">
        <f t="shared" si="550"/>
        <v>1</v>
      </c>
      <c r="AE1797" t="s">
        <v>90</v>
      </c>
      <c r="AF1797">
        <f>IF(AE1797="website",1,0)</f>
        <v>0</v>
      </c>
    </row>
    <row r="1798" spans="1:32">
      <c r="A1798" t="s">
        <v>2450</v>
      </c>
      <c r="B1798" t="s">
        <v>33</v>
      </c>
      <c r="C1798" s="3">
        <f t="shared" si="532"/>
        <v>0</v>
      </c>
      <c r="D1798">
        <f t="shared" si="533"/>
        <v>1</v>
      </c>
      <c r="E1798" t="s">
        <v>807</v>
      </c>
      <c r="F1798" t="s">
        <v>339</v>
      </c>
      <c r="G1798" s="1">
        <v>20877</v>
      </c>
      <c r="H1798" s="2">
        <f t="shared" ca="1" si="534"/>
        <v>69</v>
      </c>
      <c r="I1798" s="2">
        <f t="shared" ca="1" si="535"/>
        <v>0.62857142857142856</v>
      </c>
      <c r="J1798" t="s">
        <v>36</v>
      </c>
      <c r="K1798" t="s">
        <v>37</v>
      </c>
      <c r="L1798">
        <f t="shared" si="536"/>
        <v>1</v>
      </c>
      <c r="M1798">
        <f t="shared" si="537"/>
        <v>0</v>
      </c>
      <c r="N1798">
        <f t="shared" si="538"/>
        <v>0</v>
      </c>
      <c r="O1798" t="s">
        <v>76</v>
      </c>
      <c r="P1798">
        <f t="shared" si="539"/>
        <v>0</v>
      </c>
      <c r="Q1798">
        <f t="shared" si="540"/>
        <v>1</v>
      </c>
      <c r="R1798">
        <f t="shared" si="541"/>
        <v>0</v>
      </c>
      <c r="S1798">
        <f t="shared" si="542"/>
        <v>0</v>
      </c>
      <c r="T1798">
        <f t="shared" si="543"/>
        <v>0</v>
      </c>
      <c r="U1798">
        <f t="shared" si="544"/>
        <v>0</v>
      </c>
      <c r="V1798">
        <f t="shared" si="545"/>
        <v>0</v>
      </c>
      <c r="W1798" t="s">
        <v>39</v>
      </c>
      <c r="X1798">
        <f t="shared" si="546"/>
        <v>1</v>
      </c>
      <c r="Y1798">
        <f t="shared" si="547"/>
        <v>0</v>
      </c>
      <c r="Z1798">
        <v>3</v>
      </c>
      <c r="AA1798">
        <f t="shared" si="548"/>
        <v>0.5</v>
      </c>
      <c r="AB1798" t="s">
        <v>40</v>
      </c>
      <c r="AC1798">
        <f t="shared" si="549"/>
        <v>0</v>
      </c>
      <c r="AD1798">
        <f t="shared" si="550"/>
        <v>0</v>
      </c>
      <c r="AE1798" t="s">
        <v>41</v>
      </c>
      <c r="AF1798">
        <f>IF(AE1798="website",1,0)</f>
        <v>1</v>
      </c>
    </row>
    <row r="1799" spans="1:32">
      <c r="A1799" t="s">
        <v>2451</v>
      </c>
      <c r="B1799" t="s">
        <v>33</v>
      </c>
      <c r="C1799" s="3">
        <f t="shared" si="532"/>
        <v>0</v>
      </c>
      <c r="D1799">
        <f t="shared" si="533"/>
        <v>1</v>
      </c>
      <c r="E1799" t="s">
        <v>1147</v>
      </c>
      <c r="F1799" t="s">
        <v>591</v>
      </c>
      <c r="G1799" s="1">
        <v>24329</v>
      </c>
      <c r="H1799" s="2">
        <f t="shared" ca="1" si="534"/>
        <v>60</v>
      </c>
      <c r="I1799" s="2">
        <f t="shared" ca="1" si="535"/>
        <v>0.5</v>
      </c>
      <c r="J1799" t="s">
        <v>45</v>
      </c>
      <c r="K1799" t="s">
        <v>37</v>
      </c>
      <c r="L1799">
        <f t="shared" si="536"/>
        <v>1</v>
      </c>
      <c r="M1799">
        <f t="shared" si="537"/>
        <v>0</v>
      </c>
      <c r="N1799">
        <f t="shared" si="538"/>
        <v>0</v>
      </c>
      <c r="O1799" t="s">
        <v>97</v>
      </c>
      <c r="P1799">
        <f t="shared" si="539"/>
        <v>0</v>
      </c>
      <c r="Q1799">
        <f t="shared" si="540"/>
        <v>0</v>
      </c>
      <c r="R1799">
        <f t="shared" si="541"/>
        <v>0</v>
      </c>
      <c r="S1799">
        <f t="shared" si="542"/>
        <v>0</v>
      </c>
      <c r="T1799">
        <f t="shared" si="543"/>
        <v>1</v>
      </c>
      <c r="U1799">
        <f t="shared" si="544"/>
        <v>0</v>
      </c>
      <c r="V1799">
        <f t="shared" si="545"/>
        <v>0</v>
      </c>
      <c r="W1799" t="s">
        <v>58</v>
      </c>
      <c r="X1799">
        <f t="shared" si="546"/>
        <v>0</v>
      </c>
      <c r="Y1799">
        <f t="shared" si="547"/>
        <v>1</v>
      </c>
      <c r="Z1799">
        <v>1</v>
      </c>
      <c r="AA1799">
        <f t="shared" si="548"/>
        <v>0</v>
      </c>
      <c r="AB1799" t="s">
        <v>40</v>
      </c>
      <c r="AC1799">
        <f t="shared" si="549"/>
        <v>0</v>
      </c>
      <c r="AD1799">
        <f t="shared" si="550"/>
        <v>0</v>
      </c>
      <c r="AE1799" t="s">
        <v>41</v>
      </c>
      <c r="AF1799">
        <f>IF(AE1799="website",1,0)</f>
        <v>1</v>
      </c>
    </row>
    <row r="1800" spans="1:32">
      <c r="A1800" t="s">
        <v>2452</v>
      </c>
      <c r="B1800" t="s">
        <v>33</v>
      </c>
      <c r="C1800" s="3">
        <f t="shared" si="532"/>
        <v>0</v>
      </c>
      <c r="D1800">
        <f t="shared" si="533"/>
        <v>1</v>
      </c>
      <c r="E1800" t="s">
        <v>606</v>
      </c>
      <c r="F1800" t="s">
        <v>757</v>
      </c>
      <c r="G1800" s="1">
        <v>18274</v>
      </c>
      <c r="H1800" s="2">
        <f t="shared" ca="1" si="534"/>
        <v>76</v>
      </c>
      <c r="I1800" s="2">
        <f t="shared" ca="1" si="535"/>
        <v>0.72857142857142854</v>
      </c>
      <c r="J1800" t="s">
        <v>36</v>
      </c>
      <c r="K1800" t="s">
        <v>37</v>
      </c>
      <c r="L1800">
        <f t="shared" si="536"/>
        <v>1</v>
      </c>
      <c r="M1800">
        <f t="shared" si="537"/>
        <v>0</v>
      </c>
      <c r="N1800">
        <f t="shared" si="538"/>
        <v>0</v>
      </c>
      <c r="O1800" t="s">
        <v>137</v>
      </c>
      <c r="P1800">
        <f t="shared" si="539"/>
        <v>0</v>
      </c>
      <c r="Q1800">
        <f t="shared" si="540"/>
        <v>0</v>
      </c>
      <c r="R1800">
        <f t="shared" si="541"/>
        <v>0</v>
      </c>
      <c r="S1800">
        <f t="shared" si="542"/>
        <v>0</v>
      </c>
      <c r="T1800">
        <f t="shared" si="543"/>
        <v>0</v>
      </c>
      <c r="U1800">
        <f t="shared" si="544"/>
        <v>0</v>
      </c>
      <c r="V1800">
        <f t="shared" si="545"/>
        <v>0</v>
      </c>
      <c r="W1800" t="s">
        <v>39</v>
      </c>
      <c r="X1800">
        <f t="shared" si="546"/>
        <v>1</v>
      </c>
      <c r="Y1800">
        <f t="shared" si="547"/>
        <v>0</v>
      </c>
      <c r="Z1800">
        <v>5</v>
      </c>
      <c r="AA1800">
        <f t="shared" si="548"/>
        <v>1</v>
      </c>
      <c r="AB1800" t="s">
        <v>46</v>
      </c>
      <c r="AC1800">
        <f t="shared" si="549"/>
        <v>1</v>
      </c>
      <c r="AD1800">
        <f t="shared" si="550"/>
        <v>0</v>
      </c>
      <c r="AE1800" t="s">
        <v>50</v>
      </c>
      <c r="AF1800">
        <f>IF(AE1800="website",1,0)</f>
        <v>0</v>
      </c>
    </row>
    <row r="1801" spans="1:32">
      <c r="A1801" t="s">
        <v>2453</v>
      </c>
      <c r="B1801" t="s">
        <v>33</v>
      </c>
      <c r="C1801" s="3">
        <f t="shared" si="532"/>
        <v>0</v>
      </c>
      <c r="D1801">
        <f t="shared" si="533"/>
        <v>1</v>
      </c>
      <c r="E1801" t="s">
        <v>659</v>
      </c>
      <c r="F1801" t="s">
        <v>623</v>
      </c>
      <c r="G1801" s="1">
        <v>16175</v>
      </c>
      <c r="H1801" s="2">
        <f t="shared" ca="1" si="534"/>
        <v>82</v>
      </c>
      <c r="I1801" s="2">
        <f t="shared" ca="1" si="535"/>
        <v>0.81428571428571428</v>
      </c>
      <c r="J1801" t="s">
        <v>45</v>
      </c>
      <c r="K1801" t="s">
        <v>37</v>
      </c>
      <c r="L1801">
        <f t="shared" si="536"/>
        <v>1</v>
      </c>
      <c r="M1801">
        <f t="shared" si="537"/>
        <v>0</v>
      </c>
      <c r="N1801">
        <f t="shared" si="538"/>
        <v>0</v>
      </c>
      <c r="O1801" t="s">
        <v>76</v>
      </c>
      <c r="P1801">
        <f t="shared" si="539"/>
        <v>0</v>
      </c>
      <c r="Q1801">
        <f t="shared" si="540"/>
        <v>1</v>
      </c>
      <c r="R1801">
        <f t="shared" si="541"/>
        <v>0</v>
      </c>
      <c r="S1801">
        <f t="shared" si="542"/>
        <v>0</v>
      </c>
      <c r="T1801">
        <f t="shared" si="543"/>
        <v>0</v>
      </c>
      <c r="U1801">
        <f t="shared" si="544"/>
        <v>0</v>
      </c>
      <c r="V1801">
        <f t="shared" si="545"/>
        <v>0</v>
      </c>
      <c r="W1801" t="s">
        <v>39</v>
      </c>
      <c r="X1801">
        <f t="shared" si="546"/>
        <v>1</v>
      </c>
      <c r="Y1801">
        <f t="shared" si="547"/>
        <v>0</v>
      </c>
      <c r="Z1801">
        <v>1</v>
      </c>
      <c r="AA1801">
        <f t="shared" si="548"/>
        <v>0</v>
      </c>
      <c r="AB1801" t="s">
        <v>46</v>
      </c>
      <c r="AC1801">
        <f t="shared" si="549"/>
        <v>0</v>
      </c>
      <c r="AD1801">
        <f t="shared" si="550"/>
        <v>1</v>
      </c>
      <c r="AE1801" t="s">
        <v>90</v>
      </c>
      <c r="AF1801">
        <f>IF(AE1801="website",1,0)</f>
        <v>0</v>
      </c>
    </row>
    <row r="1802" spans="1:32">
      <c r="A1802" t="s">
        <v>2454</v>
      </c>
      <c r="B1802" t="s">
        <v>33</v>
      </c>
      <c r="C1802" s="3">
        <f t="shared" si="532"/>
        <v>0</v>
      </c>
      <c r="D1802">
        <f t="shared" si="533"/>
        <v>1</v>
      </c>
      <c r="E1802" t="s">
        <v>609</v>
      </c>
      <c r="F1802" t="s">
        <v>339</v>
      </c>
      <c r="G1802" s="1">
        <v>23415</v>
      </c>
      <c r="H1802" s="2">
        <f t="shared" ca="1" si="534"/>
        <v>62</v>
      </c>
      <c r="I1802" s="2">
        <f t="shared" ca="1" si="535"/>
        <v>0.52857142857142858</v>
      </c>
      <c r="J1802" t="s">
        <v>45</v>
      </c>
      <c r="K1802" t="s">
        <v>37</v>
      </c>
      <c r="L1802">
        <f t="shared" si="536"/>
        <v>1</v>
      </c>
      <c r="M1802">
        <f t="shared" si="537"/>
        <v>0</v>
      </c>
      <c r="N1802">
        <f t="shared" si="538"/>
        <v>0</v>
      </c>
      <c r="O1802" t="s">
        <v>38</v>
      </c>
      <c r="P1802">
        <f t="shared" si="539"/>
        <v>1</v>
      </c>
      <c r="Q1802">
        <f t="shared" si="540"/>
        <v>0</v>
      </c>
      <c r="R1802">
        <f t="shared" si="541"/>
        <v>0</v>
      </c>
      <c r="S1802">
        <f t="shared" si="542"/>
        <v>0</v>
      </c>
      <c r="T1802">
        <f t="shared" si="543"/>
        <v>0</v>
      </c>
      <c r="U1802">
        <f t="shared" si="544"/>
        <v>0</v>
      </c>
      <c r="V1802">
        <f t="shared" si="545"/>
        <v>0</v>
      </c>
      <c r="W1802" t="s">
        <v>39</v>
      </c>
      <c r="X1802">
        <f t="shared" si="546"/>
        <v>1</v>
      </c>
      <c r="Y1802">
        <f t="shared" si="547"/>
        <v>0</v>
      </c>
      <c r="Z1802">
        <v>5</v>
      </c>
      <c r="AA1802">
        <f t="shared" si="548"/>
        <v>1</v>
      </c>
      <c r="AB1802" t="s">
        <v>40</v>
      </c>
      <c r="AC1802">
        <f t="shared" si="549"/>
        <v>0</v>
      </c>
      <c r="AD1802">
        <f t="shared" si="550"/>
        <v>0</v>
      </c>
      <c r="AE1802" t="s">
        <v>41</v>
      </c>
      <c r="AF1802">
        <f>IF(AE1802="website",1,0)</f>
        <v>1</v>
      </c>
    </row>
    <row r="1803" spans="1:32">
      <c r="A1803" t="s">
        <v>2455</v>
      </c>
      <c r="B1803" t="s">
        <v>33</v>
      </c>
      <c r="C1803" s="3">
        <f t="shared" si="532"/>
        <v>0</v>
      </c>
      <c r="D1803">
        <f t="shared" si="533"/>
        <v>1</v>
      </c>
      <c r="E1803" t="s">
        <v>357</v>
      </c>
      <c r="F1803" t="s">
        <v>742</v>
      </c>
      <c r="G1803" s="1">
        <v>17618</v>
      </c>
      <c r="H1803" s="2">
        <f t="shared" ca="1" si="534"/>
        <v>78</v>
      </c>
      <c r="I1803" s="2">
        <f t="shared" ca="1" si="535"/>
        <v>0.75714285714285712</v>
      </c>
      <c r="J1803" t="s">
        <v>45</v>
      </c>
      <c r="K1803" t="s">
        <v>37</v>
      </c>
      <c r="L1803">
        <f t="shared" si="536"/>
        <v>1</v>
      </c>
      <c r="M1803">
        <f t="shared" si="537"/>
        <v>0</v>
      </c>
      <c r="N1803">
        <f t="shared" si="538"/>
        <v>0</v>
      </c>
      <c r="O1803" t="s">
        <v>124</v>
      </c>
      <c r="P1803">
        <f t="shared" si="539"/>
        <v>0</v>
      </c>
      <c r="Q1803">
        <f t="shared" si="540"/>
        <v>0</v>
      </c>
      <c r="R1803">
        <f t="shared" si="541"/>
        <v>0</v>
      </c>
      <c r="S1803">
        <f t="shared" si="542"/>
        <v>0</v>
      </c>
      <c r="T1803">
        <f t="shared" si="543"/>
        <v>0</v>
      </c>
      <c r="U1803">
        <f t="shared" si="544"/>
        <v>1</v>
      </c>
      <c r="V1803">
        <f t="shared" si="545"/>
        <v>0</v>
      </c>
      <c r="W1803" t="s">
        <v>58</v>
      </c>
      <c r="X1803">
        <f t="shared" si="546"/>
        <v>0</v>
      </c>
      <c r="Y1803">
        <f t="shared" si="547"/>
        <v>1</v>
      </c>
      <c r="Z1803">
        <v>1</v>
      </c>
      <c r="AA1803">
        <f t="shared" si="548"/>
        <v>0</v>
      </c>
      <c r="AB1803" t="s">
        <v>46</v>
      </c>
      <c r="AC1803">
        <f t="shared" si="549"/>
        <v>0</v>
      </c>
      <c r="AD1803">
        <f t="shared" si="550"/>
        <v>1</v>
      </c>
      <c r="AE1803" t="s">
        <v>90</v>
      </c>
      <c r="AF1803">
        <f>IF(AE1803="website",1,0)</f>
        <v>0</v>
      </c>
    </row>
    <row r="1804" spans="1:32">
      <c r="A1804" t="s">
        <v>2456</v>
      </c>
      <c r="B1804" t="s">
        <v>33</v>
      </c>
      <c r="C1804" s="3">
        <f t="shared" si="532"/>
        <v>0</v>
      </c>
      <c r="D1804">
        <f t="shared" si="533"/>
        <v>1</v>
      </c>
      <c r="E1804" t="s">
        <v>811</v>
      </c>
      <c r="F1804" t="s">
        <v>378</v>
      </c>
      <c r="G1804" s="1">
        <v>31881</v>
      </c>
      <c r="H1804" s="2">
        <f t="shared" ca="1" si="534"/>
        <v>39</v>
      </c>
      <c r="I1804" s="2">
        <f t="shared" ca="1" si="535"/>
        <v>0.2</v>
      </c>
      <c r="J1804" t="s">
        <v>36</v>
      </c>
      <c r="K1804" t="s">
        <v>65</v>
      </c>
      <c r="L1804">
        <f t="shared" si="536"/>
        <v>0</v>
      </c>
      <c r="M1804">
        <f t="shared" si="537"/>
        <v>1</v>
      </c>
      <c r="N1804">
        <f t="shared" si="538"/>
        <v>0</v>
      </c>
      <c r="O1804" t="s">
        <v>66</v>
      </c>
      <c r="P1804">
        <f t="shared" si="539"/>
        <v>0</v>
      </c>
      <c r="Q1804">
        <f t="shared" si="540"/>
        <v>0</v>
      </c>
      <c r="R1804">
        <f t="shared" si="541"/>
        <v>1</v>
      </c>
      <c r="S1804">
        <f t="shared" si="542"/>
        <v>0</v>
      </c>
      <c r="T1804">
        <f t="shared" si="543"/>
        <v>0</v>
      </c>
      <c r="U1804">
        <f t="shared" si="544"/>
        <v>0</v>
      </c>
      <c r="V1804">
        <f t="shared" si="545"/>
        <v>0</v>
      </c>
      <c r="W1804" t="s">
        <v>58</v>
      </c>
      <c r="X1804">
        <f t="shared" si="546"/>
        <v>0</v>
      </c>
      <c r="Y1804">
        <f t="shared" si="547"/>
        <v>1</v>
      </c>
      <c r="Z1804">
        <v>5</v>
      </c>
      <c r="AA1804">
        <f t="shared" si="548"/>
        <v>1</v>
      </c>
      <c r="AB1804" t="s">
        <v>46</v>
      </c>
      <c r="AC1804">
        <f t="shared" si="549"/>
        <v>1</v>
      </c>
      <c r="AD1804">
        <f t="shared" si="550"/>
        <v>0</v>
      </c>
      <c r="AE1804" t="s">
        <v>50</v>
      </c>
      <c r="AF1804">
        <f>IF(AE1804="website",1,0)</f>
        <v>0</v>
      </c>
    </row>
    <row r="1805" spans="1:32">
      <c r="A1805" t="s">
        <v>2457</v>
      </c>
      <c r="B1805" t="s">
        <v>33</v>
      </c>
      <c r="C1805" s="3">
        <f t="shared" si="532"/>
        <v>0</v>
      </c>
      <c r="D1805">
        <f t="shared" si="533"/>
        <v>1</v>
      </c>
      <c r="E1805" t="s">
        <v>677</v>
      </c>
      <c r="F1805" t="s">
        <v>607</v>
      </c>
      <c r="G1805" s="1">
        <v>32570</v>
      </c>
      <c r="H1805" s="2">
        <f t="shared" ca="1" si="534"/>
        <v>37</v>
      </c>
      <c r="I1805" s="2">
        <f t="shared" ca="1" si="535"/>
        <v>0.17142857142857143</v>
      </c>
      <c r="J1805" t="s">
        <v>45</v>
      </c>
      <c r="K1805" t="s">
        <v>37</v>
      </c>
      <c r="L1805">
        <f t="shared" si="536"/>
        <v>1</v>
      </c>
      <c r="M1805">
        <f t="shared" si="537"/>
        <v>0</v>
      </c>
      <c r="N1805">
        <f t="shared" si="538"/>
        <v>0</v>
      </c>
      <c r="O1805" t="s">
        <v>38</v>
      </c>
      <c r="P1805">
        <f t="shared" si="539"/>
        <v>1</v>
      </c>
      <c r="Q1805">
        <f t="shared" si="540"/>
        <v>0</v>
      </c>
      <c r="R1805">
        <f t="shared" si="541"/>
        <v>0</v>
      </c>
      <c r="S1805">
        <f t="shared" si="542"/>
        <v>0</v>
      </c>
      <c r="T1805">
        <f t="shared" si="543"/>
        <v>0</v>
      </c>
      <c r="U1805">
        <f t="shared" si="544"/>
        <v>0</v>
      </c>
      <c r="V1805">
        <f t="shared" si="545"/>
        <v>0</v>
      </c>
      <c r="W1805" t="s">
        <v>39</v>
      </c>
      <c r="X1805">
        <f t="shared" si="546"/>
        <v>1</v>
      </c>
      <c r="Y1805">
        <f t="shared" si="547"/>
        <v>0</v>
      </c>
      <c r="Z1805">
        <v>1</v>
      </c>
      <c r="AA1805">
        <f t="shared" si="548"/>
        <v>0</v>
      </c>
      <c r="AB1805" t="s">
        <v>46</v>
      </c>
      <c r="AC1805">
        <f t="shared" si="549"/>
        <v>0</v>
      </c>
      <c r="AD1805">
        <f t="shared" si="550"/>
        <v>0</v>
      </c>
      <c r="AE1805" t="s">
        <v>41</v>
      </c>
      <c r="AF1805">
        <f>IF(AE1805="website",1,0)</f>
        <v>1</v>
      </c>
    </row>
    <row r="1806" spans="1:32">
      <c r="A1806" t="s">
        <v>2458</v>
      </c>
      <c r="B1806" t="s">
        <v>33</v>
      </c>
      <c r="C1806" s="3">
        <f t="shared" si="532"/>
        <v>0</v>
      </c>
      <c r="D1806">
        <f t="shared" si="533"/>
        <v>1</v>
      </c>
      <c r="E1806" t="s">
        <v>1023</v>
      </c>
      <c r="F1806" t="s">
        <v>607</v>
      </c>
      <c r="G1806" s="1">
        <v>19368</v>
      </c>
      <c r="H1806" s="2">
        <f t="shared" ca="1" si="534"/>
        <v>73</v>
      </c>
      <c r="I1806" s="2">
        <f t="shared" ca="1" si="535"/>
        <v>0.68571428571428572</v>
      </c>
      <c r="J1806" t="s">
        <v>45</v>
      </c>
      <c r="K1806" t="s">
        <v>248</v>
      </c>
      <c r="L1806">
        <f t="shared" si="536"/>
        <v>0</v>
      </c>
      <c r="M1806">
        <f t="shared" si="537"/>
        <v>0</v>
      </c>
      <c r="N1806">
        <f t="shared" si="538"/>
        <v>0</v>
      </c>
      <c r="O1806" t="s">
        <v>249</v>
      </c>
      <c r="P1806">
        <f t="shared" si="539"/>
        <v>0</v>
      </c>
      <c r="Q1806">
        <f t="shared" si="540"/>
        <v>0</v>
      </c>
      <c r="R1806">
        <f t="shared" si="541"/>
        <v>0</v>
      </c>
      <c r="S1806">
        <f t="shared" si="542"/>
        <v>0</v>
      </c>
      <c r="T1806">
        <f t="shared" si="543"/>
        <v>0</v>
      </c>
      <c r="U1806">
        <f t="shared" si="544"/>
        <v>0</v>
      </c>
      <c r="V1806">
        <f t="shared" si="545"/>
        <v>0</v>
      </c>
      <c r="W1806" t="s">
        <v>58</v>
      </c>
      <c r="X1806">
        <f t="shared" si="546"/>
        <v>0</v>
      </c>
      <c r="Y1806">
        <f t="shared" si="547"/>
        <v>1</v>
      </c>
      <c r="Z1806">
        <v>3</v>
      </c>
      <c r="AA1806">
        <f t="shared" si="548"/>
        <v>0.5</v>
      </c>
      <c r="AB1806" t="s">
        <v>46</v>
      </c>
      <c r="AC1806">
        <f t="shared" si="549"/>
        <v>0</v>
      </c>
      <c r="AD1806">
        <f t="shared" si="550"/>
        <v>0</v>
      </c>
      <c r="AE1806" t="s">
        <v>41</v>
      </c>
      <c r="AF1806">
        <f>IF(AE1806="website",1,0)</f>
        <v>1</v>
      </c>
    </row>
    <row r="1807" spans="1:32">
      <c r="A1807" t="s">
        <v>2459</v>
      </c>
      <c r="B1807" t="s">
        <v>33</v>
      </c>
      <c r="C1807" s="3">
        <f t="shared" si="532"/>
        <v>0</v>
      </c>
      <c r="D1807">
        <f t="shared" si="533"/>
        <v>1</v>
      </c>
      <c r="E1807" t="s">
        <v>1346</v>
      </c>
      <c r="F1807" t="s">
        <v>430</v>
      </c>
      <c r="G1807" s="1">
        <v>24575</v>
      </c>
      <c r="H1807" s="2">
        <f t="shared" ca="1" si="534"/>
        <v>59</v>
      </c>
      <c r="I1807" s="2">
        <f t="shared" ca="1" si="535"/>
        <v>0.48571428571428571</v>
      </c>
      <c r="J1807" t="s">
        <v>36</v>
      </c>
      <c r="K1807" t="s">
        <v>819</v>
      </c>
      <c r="L1807">
        <f t="shared" si="536"/>
        <v>0</v>
      </c>
      <c r="M1807">
        <f t="shared" si="537"/>
        <v>0</v>
      </c>
      <c r="N1807">
        <f t="shared" si="538"/>
        <v>0</v>
      </c>
      <c r="O1807" t="s">
        <v>820</v>
      </c>
      <c r="P1807">
        <f t="shared" si="539"/>
        <v>0</v>
      </c>
      <c r="Q1807">
        <f t="shared" si="540"/>
        <v>0</v>
      </c>
      <c r="R1807">
        <f t="shared" si="541"/>
        <v>0</v>
      </c>
      <c r="S1807">
        <f t="shared" si="542"/>
        <v>0</v>
      </c>
      <c r="T1807">
        <f t="shared" si="543"/>
        <v>0</v>
      </c>
      <c r="U1807">
        <f t="shared" si="544"/>
        <v>0</v>
      </c>
      <c r="V1807">
        <f t="shared" si="545"/>
        <v>0</v>
      </c>
      <c r="W1807" t="s">
        <v>58</v>
      </c>
      <c r="X1807">
        <f t="shared" si="546"/>
        <v>0</v>
      </c>
      <c r="Y1807">
        <f t="shared" si="547"/>
        <v>1</v>
      </c>
      <c r="Z1807">
        <v>2</v>
      </c>
      <c r="AA1807">
        <f t="shared" si="548"/>
        <v>0.25</v>
      </c>
      <c r="AB1807" t="s">
        <v>46</v>
      </c>
      <c r="AC1807">
        <f t="shared" si="549"/>
        <v>1</v>
      </c>
      <c r="AD1807">
        <f t="shared" si="550"/>
        <v>0</v>
      </c>
      <c r="AE1807" t="s">
        <v>50</v>
      </c>
      <c r="AF1807">
        <f>IF(AE1807="website",1,0)</f>
        <v>0</v>
      </c>
    </row>
    <row r="1808" spans="1:32">
      <c r="A1808" t="s">
        <v>2460</v>
      </c>
      <c r="B1808" t="s">
        <v>33</v>
      </c>
      <c r="C1808" s="3">
        <f t="shared" si="532"/>
        <v>0</v>
      </c>
      <c r="D1808">
        <f t="shared" si="533"/>
        <v>1</v>
      </c>
      <c r="E1808" t="s">
        <v>1695</v>
      </c>
      <c r="F1808" t="s">
        <v>720</v>
      </c>
      <c r="G1808" s="1">
        <v>20856</v>
      </c>
      <c r="H1808" s="2">
        <f t="shared" ca="1" si="534"/>
        <v>69</v>
      </c>
      <c r="I1808" s="2">
        <f t="shared" ca="1" si="535"/>
        <v>0.62857142857142856</v>
      </c>
      <c r="J1808" t="s">
        <v>36</v>
      </c>
      <c r="K1808" t="s">
        <v>626</v>
      </c>
      <c r="L1808">
        <f t="shared" si="536"/>
        <v>0</v>
      </c>
      <c r="M1808">
        <f t="shared" si="537"/>
        <v>0</v>
      </c>
      <c r="N1808">
        <f t="shared" si="538"/>
        <v>0</v>
      </c>
      <c r="O1808" t="s">
        <v>1117</v>
      </c>
      <c r="P1808">
        <f t="shared" si="539"/>
        <v>0</v>
      </c>
      <c r="Q1808">
        <f t="shared" si="540"/>
        <v>0</v>
      </c>
      <c r="R1808">
        <f t="shared" si="541"/>
        <v>0</v>
      </c>
      <c r="S1808">
        <f t="shared" si="542"/>
        <v>0</v>
      </c>
      <c r="T1808">
        <f t="shared" si="543"/>
        <v>0</v>
      </c>
      <c r="U1808">
        <f t="shared" si="544"/>
        <v>0</v>
      </c>
      <c r="V1808">
        <f t="shared" si="545"/>
        <v>0</v>
      </c>
      <c r="W1808" t="s">
        <v>39</v>
      </c>
      <c r="X1808">
        <f t="shared" si="546"/>
        <v>1</v>
      </c>
      <c r="Y1808">
        <f t="shared" si="547"/>
        <v>0</v>
      </c>
      <c r="Z1808">
        <v>5</v>
      </c>
      <c r="AA1808">
        <f t="shared" si="548"/>
        <v>1</v>
      </c>
      <c r="AB1808" t="s">
        <v>46</v>
      </c>
      <c r="AC1808">
        <f t="shared" si="549"/>
        <v>0</v>
      </c>
      <c r="AD1808">
        <f t="shared" si="550"/>
        <v>0</v>
      </c>
      <c r="AE1808" t="s">
        <v>41</v>
      </c>
      <c r="AF1808">
        <f>IF(AE1808="website",1,0)</f>
        <v>1</v>
      </c>
    </row>
    <row r="1809" spans="1:32">
      <c r="A1809" t="s">
        <v>2461</v>
      </c>
      <c r="B1809" t="s">
        <v>33</v>
      </c>
      <c r="C1809" s="3">
        <f t="shared" si="532"/>
        <v>0</v>
      </c>
      <c r="D1809">
        <f t="shared" si="533"/>
        <v>1</v>
      </c>
      <c r="E1809" t="s">
        <v>1061</v>
      </c>
      <c r="F1809" t="s">
        <v>372</v>
      </c>
      <c r="G1809" s="1">
        <v>32881</v>
      </c>
      <c r="H1809" s="2">
        <f t="shared" ca="1" si="534"/>
        <v>36</v>
      </c>
      <c r="I1809" s="2">
        <f t="shared" ca="1" si="535"/>
        <v>0.15714285714285714</v>
      </c>
      <c r="J1809" t="s">
        <v>36</v>
      </c>
      <c r="K1809" t="s">
        <v>37</v>
      </c>
      <c r="L1809">
        <f t="shared" si="536"/>
        <v>1</v>
      </c>
      <c r="M1809">
        <f t="shared" si="537"/>
        <v>0</v>
      </c>
      <c r="N1809">
        <f t="shared" si="538"/>
        <v>0</v>
      </c>
      <c r="O1809" t="s">
        <v>565</v>
      </c>
      <c r="P1809">
        <f t="shared" si="539"/>
        <v>0</v>
      </c>
      <c r="Q1809">
        <f t="shared" si="540"/>
        <v>0</v>
      </c>
      <c r="R1809">
        <f t="shared" si="541"/>
        <v>0</v>
      </c>
      <c r="S1809">
        <f t="shared" si="542"/>
        <v>0</v>
      </c>
      <c r="T1809">
        <f t="shared" si="543"/>
        <v>0</v>
      </c>
      <c r="U1809">
        <f t="shared" si="544"/>
        <v>0</v>
      </c>
      <c r="V1809">
        <f t="shared" si="545"/>
        <v>0</v>
      </c>
      <c r="W1809" t="s">
        <v>58</v>
      </c>
      <c r="X1809">
        <f t="shared" si="546"/>
        <v>0</v>
      </c>
      <c r="Y1809">
        <f t="shared" si="547"/>
        <v>1</v>
      </c>
      <c r="Z1809">
        <v>2</v>
      </c>
      <c r="AA1809">
        <f t="shared" si="548"/>
        <v>0.25</v>
      </c>
      <c r="AB1809" t="s">
        <v>46</v>
      </c>
      <c r="AC1809">
        <f t="shared" si="549"/>
        <v>0</v>
      </c>
      <c r="AD1809">
        <f t="shared" si="550"/>
        <v>1</v>
      </c>
      <c r="AE1809" t="s">
        <v>90</v>
      </c>
      <c r="AF1809">
        <f>IF(AE1809="website",1,0)</f>
        <v>0</v>
      </c>
    </row>
    <row r="1810" spans="1:32">
      <c r="A1810" t="s">
        <v>2462</v>
      </c>
      <c r="B1810" t="s">
        <v>33</v>
      </c>
      <c r="C1810" s="3">
        <f t="shared" si="532"/>
        <v>0</v>
      </c>
      <c r="D1810">
        <f t="shared" si="533"/>
        <v>1</v>
      </c>
      <c r="E1810" t="s">
        <v>584</v>
      </c>
      <c r="F1810" t="s">
        <v>633</v>
      </c>
      <c r="G1810" s="1">
        <v>29709</v>
      </c>
      <c r="H1810" s="2">
        <f t="shared" ca="1" si="534"/>
        <v>45</v>
      </c>
      <c r="I1810" s="2">
        <f t="shared" ca="1" si="535"/>
        <v>0.2857142857142857</v>
      </c>
      <c r="J1810" t="s">
        <v>36</v>
      </c>
      <c r="K1810" t="s">
        <v>37</v>
      </c>
      <c r="L1810">
        <f t="shared" si="536"/>
        <v>1</v>
      </c>
      <c r="M1810">
        <f t="shared" si="537"/>
        <v>0</v>
      </c>
      <c r="N1810">
        <f t="shared" si="538"/>
        <v>0</v>
      </c>
      <c r="O1810" t="s">
        <v>717</v>
      </c>
      <c r="P1810">
        <f t="shared" si="539"/>
        <v>0</v>
      </c>
      <c r="Q1810">
        <f t="shared" si="540"/>
        <v>0</v>
      </c>
      <c r="R1810">
        <f t="shared" si="541"/>
        <v>0</v>
      </c>
      <c r="S1810">
        <f t="shared" si="542"/>
        <v>0</v>
      </c>
      <c r="T1810">
        <f t="shared" si="543"/>
        <v>0</v>
      </c>
      <c r="U1810">
        <f t="shared" si="544"/>
        <v>0</v>
      </c>
      <c r="V1810">
        <f t="shared" si="545"/>
        <v>0</v>
      </c>
      <c r="W1810" t="s">
        <v>39</v>
      </c>
      <c r="X1810">
        <f t="shared" si="546"/>
        <v>1</v>
      </c>
      <c r="Y1810">
        <f t="shared" si="547"/>
        <v>0</v>
      </c>
      <c r="Z1810">
        <v>4</v>
      </c>
      <c r="AA1810">
        <f t="shared" si="548"/>
        <v>0.75</v>
      </c>
      <c r="AB1810" t="s">
        <v>40</v>
      </c>
      <c r="AC1810">
        <f t="shared" si="549"/>
        <v>1</v>
      </c>
      <c r="AD1810">
        <f t="shared" si="550"/>
        <v>0</v>
      </c>
      <c r="AE1810" t="s">
        <v>50</v>
      </c>
      <c r="AF1810">
        <f>IF(AE1810="website",1,0)</f>
        <v>0</v>
      </c>
    </row>
    <row r="1811" spans="1:32">
      <c r="A1811" t="s">
        <v>2463</v>
      </c>
      <c r="B1811" t="s">
        <v>33</v>
      </c>
      <c r="C1811" s="3">
        <f t="shared" si="532"/>
        <v>0</v>
      </c>
      <c r="D1811">
        <f t="shared" si="533"/>
        <v>1</v>
      </c>
      <c r="E1811" t="s">
        <v>847</v>
      </c>
      <c r="F1811" t="s">
        <v>745</v>
      </c>
      <c r="G1811" s="1">
        <v>16443</v>
      </c>
      <c r="H1811" s="2">
        <f t="shared" ca="1" si="534"/>
        <v>81</v>
      </c>
      <c r="I1811" s="2">
        <f t="shared" ca="1" si="535"/>
        <v>0.8</v>
      </c>
      <c r="J1811" t="s">
        <v>36</v>
      </c>
      <c r="K1811" t="s">
        <v>37</v>
      </c>
      <c r="L1811">
        <f t="shared" si="536"/>
        <v>1</v>
      </c>
      <c r="M1811">
        <f t="shared" si="537"/>
        <v>0</v>
      </c>
      <c r="N1811">
        <f t="shared" si="538"/>
        <v>0</v>
      </c>
      <c r="O1811" t="s">
        <v>592</v>
      </c>
      <c r="P1811">
        <f t="shared" si="539"/>
        <v>0</v>
      </c>
      <c r="Q1811">
        <f t="shared" si="540"/>
        <v>0</v>
      </c>
      <c r="R1811">
        <f t="shared" si="541"/>
        <v>0</v>
      </c>
      <c r="S1811">
        <f t="shared" si="542"/>
        <v>0</v>
      </c>
      <c r="T1811">
        <f t="shared" si="543"/>
        <v>0</v>
      </c>
      <c r="U1811">
        <f t="shared" si="544"/>
        <v>0</v>
      </c>
      <c r="V1811">
        <f t="shared" si="545"/>
        <v>0</v>
      </c>
      <c r="W1811" t="s">
        <v>39</v>
      </c>
      <c r="X1811">
        <f t="shared" si="546"/>
        <v>1</v>
      </c>
      <c r="Y1811">
        <f t="shared" si="547"/>
        <v>0</v>
      </c>
      <c r="Z1811">
        <v>3</v>
      </c>
      <c r="AA1811">
        <f t="shared" si="548"/>
        <v>0.5</v>
      </c>
      <c r="AB1811" t="s">
        <v>46</v>
      </c>
      <c r="AC1811">
        <f t="shared" si="549"/>
        <v>1</v>
      </c>
      <c r="AD1811">
        <f t="shared" si="550"/>
        <v>0</v>
      </c>
      <c r="AE1811" t="s">
        <v>50</v>
      </c>
      <c r="AF1811">
        <f>IF(AE1811="website",1,0)</f>
        <v>0</v>
      </c>
    </row>
    <row r="1812" spans="1:32">
      <c r="A1812" t="s">
        <v>2464</v>
      </c>
      <c r="B1812" t="s">
        <v>33</v>
      </c>
      <c r="C1812" s="3">
        <f t="shared" si="532"/>
        <v>0</v>
      </c>
      <c r="D1812">
        <f t="shared" si="533"/>
        <v>1</v>
      </c>
      <c r="E1812" t="s">
        <v>747</v>
      </c>
      <c r="F1812" t="s">
        <v>579</v>
      </c>
      <c r="G1812" s="1">
        <v>21232</v>
      </c>
      <c r="H1812" s="2">
        <f t="shared" ca="1" si="534"/>
        <v>68</v>
      </c>
      <c r="I1812" s="2">
        <f t="shared" ca="1" si="535"/>
        <v>0.61428571428571432</v>
      </c>
      <c r="J1812" t="s">
        <v>36</v>
      </c>
      <c r="K1812" t="s">
        <v>37</v>
      </c>
      <c r="L1812">
        <f t="shared" si="536"/>
        <v>1</v>
      </c>
      <c r="M1812">
        <f t="shared" si="537"/>
        <v>0</v>
      </c>
      <c r="N1812">
        <f t="shared" si="538"/>
        <v>0</v>
      </c>
      <c r="O1812" t="s">
        <v>38</v>
      </c>
      <c r="P1812">
        <f t="shared" si="539"/>
        <v>1</v>
      </c>
      <c r="Q1812">
        <f t="shared" si="540"/>
        <v>0</v>
      </c>
      <c r="R1812">
        <f t="shared" si="541"/>
        <v>0</v>
      </c>
      <c r="S1812">
        <f t="shared" si="542"/>
        <v>0</v>
      </c>
      <c r="T1812">
        <f t="shared" si="543"/>
        <v>0</v>
      </c>
      <c r="U1812">
        <f t="shared" si="544"/>
        <v>0</v>
      </c>
      <c r="V1812">
        <f t="shared" si="545"/>
        <v>0</v>
      </c>
      <c r="W1812" t="s">
        <v>39</v>
      </c>
      <c r="X1812">
        <f t="shared" si="546"/>
        <v>1</v>
      </c>
      <c r="Y1812">
        <f t="shared" si="547"/>
        <v>0</v>
      </c>
      <c r="Z1812">
        <v>3</v>
      </c>
      <c r="AA1812">
        <f t="shared" si="548"/>
        <v>0.5</v>
      </c>
      <c r="AB1812" t="s">
        <v>40</v>
      </c>
      <c r="AC1812">
        <f t="shared" si="549"/>
        <v>1</v>
      </c>
      <c r="AD1812">
        <f t="shared" si="550"/>
        <v>0</v>
      </c>
      <c r="AE1812" t="s">
        <v>50</v>
      </c>
      <c r="AF1812">
        <f>IF(AE1812="website",1,0)</f>
        <v>0</v>
      </c>
    </row>
    <row r="1813" spans="1:32">
      <c r="A1813" t="s">
        <v>2465</v>
      </c>
      <c r="B1813" t="s">
        <v>33</v>
      </c>
      <c r="C1813" s="3">
        <f t="shared" si="532"/>
        <v>0</v>
      </c>
      <c r="D1813">
        <f t="shared" si="533"/>
        <v>1</v>
      </c>
      <c r="E1813" t="s">
        <v>635</v>
      </c>
      <c r="F1813" t="s">
        <v>633</v>
      </c>
      <c r="G1813" s="1">
        <v>28233</v>
      </c>
      <c r="H1813" s="2">
        <f t="shared" ca="1" si="534"/>
        <v>49</v>
      </c>
      <c r="I1813" s="2">
        <f t="shared" ca="1" si="535"/>
        <v>0.34285714285714286</v>
      </c>
      <c r="J1813" t="s">
        <v>45</v>
      </c>
      <c r="K1813" t="s">
        <v>626</v>
      </c>
      <c r="L1813">
        <f t="shared" si="536"/>
        <v>0</v>
      </c>
      <c r="M1813">
        <f t="shared" si="537"/>
        <v>0</v>
      </c>
      <c r="N1813">
        <f t="shared" si="538"/>
        <v>0</v>
      </c>
      <c r="O1813" t="s">
        <v>660</v>
      </c>
      <c r="P1813">
        <f t="shared" si="539"/>
        <v>0</v>
      </c>
      <c r="Q1813">
        <f t="shared" si="540"/>
        <v>0</v>
      </c>
      <c r="R1813">
        <f t="shared" si="541"/>
        <v>0</v>
      </c>
      <c r="S1813">
        <f t="shared" si="542"/>
        <v>0</v>
      </c>
      <c r="T1813">
        <f t="shared" si="543"/>
        <v>0</v>
      </c>
      <c r="U1813">
        <f t="shared" si="544"/>
        <v>0</v>
      </c>
      <c r="V1813">
        <f t="shared" si="545"/>
        <v>0</v>
      </c>
      <c r="W1813" t="s">
        <v>39</v>
      </c>
      <c r="X1813">
        <f t="shared" si="546"/>
        <v>1</v>
      </c>
      <c r="Y1813">
        <f t="shared" si="547"/>
        <v>0</v>
      </c>
      <c r="Z1813">
        <v>5</v>
      </c>
      <c r="AA1813">
        <f t="shared" si="548"/>
        <v>1</v>
      </c>
      <c r="AB1813" t="s">
        <v>40</v>
      </c>
      <c r="AC1813">
        <f t="shared" si="549"/>
        <v>0</v>
      </c>
      <c r="AD1813">
        <f t="shared" si="550"/>
        <v>0</v>
      </c>
      <c r="AE1813" t="s">
        <v>41</v>
      </c>
      <c r="AF1813">
        <f>IF(AE1813="website",1,0)</f>
        <v>1</v>
      </c>
    </row>
    <row r="1814" spans="1:32">
      <c r="A1814" t="s">
        <v>2466</v>
      </c>
      <c r="B1814" t="s">
        <v>33</v>
      </c>
      <c r="C1814" s="3">
        <f t="shared" si="532"/>
        <v>0</v>
      </c>
      <c r="D1814">
        <f t="shared" si="533"/>
        <v>1</v>
      </c>
      <c r="E1814" t="s">
        <v>216</v>
      </c>
      <c r="F1814" t="s">
        <v>700</v>
      </c>
      <c r="G1814" s="1">
        <v>17503</v>
      </c>
      <c r="H1814" s="2">
        <f t="shared" ca="1" si="534"/>
        <v>78</v>
      </c>
      <c r="I1814" s="2">
        <f t="shared" ca="1" si="535"/>
        <v>0.75714285714285712</v>
      </c>
      <c r="J1814" t="s">
        <v>45</v>
      </c>
      <c r="K1814" t="s">
        <v>113</v>
      </c>
      <c r="L1814">
        <f t="shared" si="536"/>
        <v>0</v>
      </c>
      <c r="M1814">
        <f t="shared" si="537"/>
        <v>0</v>
      </c>
      <c r="N1814">
        <f t="shared" si="538"/>
        <v>1</v>
      </c>
      <c r="O1814" t="s">
        <v>675</v>
      </c>
      <c r="P1814">
        <f t="shared" si="539"/>
        <v>0</v>
      </c>
      <c r="Q1814">
        <f t="shared" si="540"/>
        <v>0</v>
      </c>
      <c r="R1814">
        <f t="shared" si="541"/>
        <v>0</v>
      </c>
      <c r="S1814">
        <f t="shared" si="542"/>
        <v>0</v>
      </c>
      <c r="T1814">
        <f t="shared" si="543"/>
        <v>0</v>
      </c>
      <c r="U1814">
        <f t="shared" si="544"/>
        <v>0</v>
      </c>
      <c r="V1814">
        <f t="shared" si="545"/>
        <v>0</v>
      </c>
      <c r="W1814" t="s">
        <v>58</v>
      </c>
      <c r="X1814">
        <f t="shared" si="546"/>
        <v>0</v>
      </c>
      <c r="Y1814">
        <f t="shared" si="547"/>
        <v>1</v>
      </c>
      <c r="Z1814">
        <v>3</v>
      </c>
      <c r="AA1814">
        <f t="shared" si="548"/>
        <v>0.5</v>
      </c>
      <c r="AB1814" t="s">
        <v>40</v>
      </c>
      <c r="AC1814">
        <f t="shared" si="549"/>
        <v>0</v>
      </c>
      <c r="AD1814">
        <f t="shared" si="550"/>
        <v>0</v>
      </c>
      <c r="AE1814" t="s">
        <v>41</v>
      </c>
      <c r="AF1814">
        <f>IF(AE1814="website",1,0)</f>
        <v>1</v>
      </c>
    </row>
    <row r="1815" spans="1:32">
      <c r="A1815" t="s">
        <v>2467</v>
      </c>
      <c r="B1815" t="s">
        <v>33</v>
      </c>
      <c r="C1815" s="3">
        <f t="shared" si="532"/>
        <v>0</v>
      </c>
      <c r="D1815">
        <f t="shared" si="533"/>
        <v>1</v>
      </c>
      <c r="E1815" t="s">
        <v>941</v>
      </c>
      <c r="F1815" t="s">
        <v>653</v>
      </c>
      <c r="G1815" s="1">
        <v>31874</v>
      </c>
      <c r="H1815" s="2">
        <f t="shared" ca="1" si="534"/>
        <v>39</v>
      </c>
      <c r="I1815" s="2">
        <f t="shared" ca="1" si="535"/>
        <v>0.2</v>
      </c>
      <c r="J1815" t="s">
        <v>45</v>
      </c>
      <c r="K1815" t="s">
        <v>276</v>
      </c>
      <c r="L1815">
        <f t="shared" si="536"/>
        <v>0</v>
      </c>
      <c r="M1815">
        <f t="shared" si="537"/>
        <v>0</v>
      </c>
      <c r="N1815">
        <f t="shared" si="538"/>
        <v>0</v>
      </c>
      <c r="O1815" t="s">
        <v>1173</v>
      </c>
      <c r="P1815">
        <f t="shared" si="539"/>
        <v>0</v>
      </c>
      <c r="Q1815">
        <f t="shared" si="540"/>
        <v>0</v>
      </c>
      <c r="R1815">
        <f t="shared" si="541"/>
        <v>0</v>
      </c>
      <c r="S1815">
        <f t="shared" si="542"/>
        <v>0</v>
      </c>
      <c r="T1815">
        <f t="shared" si="543"/>
        <v>0</v>
      </c>
      <c r="U1815">
        <f t="shared" si="544"/>
        <v>0</v>
      </c>
      <c r="V1815">
        <f t="shared" si="545"/>
        <v>0</v>
      </c>
      <c r="W1815" t="s">
        <v>39</v>
      </c>
      <c r="X1815">
        <f t="shared" si="546"/>
        <v>1</v>
      </c>
      <c r="Y1815">
        <f t="shared" si="547"/>
        <v>0</v>
      </c>
      <c r="Z1815">
        <v>2</v>
      </c>
      <c r="AA1815">
        <f t="shared" si="548"/>
        <v>0.25</v>
      </c>
      <c r="AB1815" t="s">
        <v>46</v>
      </c>
      <c r="AC1815">
        <f t="shared" si="549"/>
        <v>0</v>
      </c>
      <c r="AD1815">
        <f t="shared" si="550"/>
        <v>0</v>
      </c>
      <c r="AE1815" t="s">
        <v>41</v>
      </c>
      <c r="AF1815">
        <f>IF(AE1815="website",1,0)</f>
        <v>1</v>
      </c>
    </row>
    <row r="1816" spans="1:32">
      <c r="A1816" t="s">
        <v>2468</v>
      </c>
      <c r="B1816" t="s">
        <v>33</v>
      </c>
      <c r="C1816" s="3">
        <f t="shared" si="532"/>
        <v>0</v>
      </c>
      <c r="D1816">
        <f t="shared" si="533"/>
        <v>1</v>
      </c>
      <c r="E1816" t="s">
        <v>780</v>
      </c>
      <c r="F1816" t="s">
        <v>568</v>
      </c>
      <c r="G1816" s="1">
        <v>17983</v>
      </c>
      <c r="H1816" s="2">
        <f t="shared" ca="1" si="534"/>
        <v>77</v>
      </c>
      <c r="I1816" s="2">
        <f t="shared" ca="1" si="535"/>
        <v>0.74285714285714288</v>
      </c>
      <c r="J1816" t="s">
        <v>45</v>
      </c>
      <c r="K1816" t="s">
        <v>37</v>
      </c>
      <c r="L1816">
        <f t="shared" si="536"/>
        <v>1</v>
      </c>
      <c r="M1816">
        <f t="shared" si="537"/>
        <v>0</v>
      </c>
      <c r="N1816">
        <f t="shared" si="538"/>
        <v>0</v>
      </c>
      <c r="O1816" t="s">
        <v>38</v>
      </c>
      <c r="P1816">
        <f t="shared" si="539"/>
        <v>1</v>
      </c>
      <c r="Q1816">
        <f t="shared" si="540"/>
        <v>0</v>
      </c>
      <c r="R1816">
        <f t="shared" si="541"/>
        <v>0</v>
      </c>
      <c r="S1816">
        <f t="shared" si="542"/>
        <v>0</v>
      </c>
      <c r="T1816">
        <f t="shared" si="543"/>
        <v>0</v>
      </c>
      <c r="U1816">
        <f t="shared" si="544"/>
        <v>0</v>
      </c>
      <c r="V1816">
        <f t="shared" si="545"/>
        <v>0</v>
      </c>
      <c r="W1816" t="s">
        <v>39</v>
      </c>
      <c r="X1816">
        <f t="shared" si="546"/>
        <v>1</v>
      </c>
      <c r="Y1816">
        <f t="shared" si="547"/>
        <v>0</v>
      </c>
      <c r="Z1816">
        <v>5</v>
      </c>
      <c r="AA1816">
        <f t="shared" si="548"/>
        <v>1</v>
      </c>
      <c r="AB1816" t="s">
        <v>46</v>
      </c>
      <c r="AC1816">
        <f t="shared" si="549"/>
        <v>1</v>
      </c>
      <c r="AD1816">
        <f t="shared" si="550"/>
        <v>0</v>
      </c>
      <c r="AE1816" t="s">
        <v>50</v>
      </c>
      <c r="AF1816">
        <f>IF(AE1816="website",1,0)</f>
        <v>0</v>
      </c>
    </row>
    <row r="1817" spans="1:32">
      <c r="A1817" t="s">
        <v>2469</v>
      </c>
      <c r="B1817" t="s">
        <v>33</v>
      </c>
      <c r="C1817" s="3">
        <f t="shared" si="532"/>
        <v>0</v>
      </c>
      <c r="D1817">
        <f t="shared" si="533"/>
        <v>1</v>
      </c>
      <c r="E1817" t="s">
        <v>629</v>
      </c>
      <c r="F1817" t="s">
        <v>364</v>
      </c>
      <c r="G1817" s="1">
        <v>22744</v>
      </c>
      <c r="H1817" s="2">
        <f t="shared" ca="1" si="534"/>
        <v>64</v>
      </c>
      <c r="I1817" s="2">
        <f t="shared" ca="1" si="535"/>
        <v>0.55714285714285716</v>
      </c>
      <c r="J1817" t="s">
        <v>45</v>
      </c>
      <c r="K1817" t="s">
        <v>65</v>
      </c>
      <c r="L1817">
        <f t="shared" si="536"/>
        <v>0</v>
      </c>
      <c r="M1817">
        <f t="shared" si="537"/>
        <v>1</v>
      </c>
      <c r="N1817">
        <f t="shared" si="538"/>
        <v>0</v>
      </c>
      <c r="O1817" t="s">
        <v>66</v>
      </c>
      <c r="P1817">
        <f t="shared" si="539"/>
        <v>0</v>
      </c>
      <c r="Q1817">
        <f t="shared" si="540"/>
        <v>0</v>
      </c>
      <c r="R1817">
        <f t="shared" si="541"/>
        <v>1</v>
      </c>
      <c r="S1817">
        <f t="shared" si="542"/>
        <v>0</v>
      </c>
      <c r="T1817">
        <f t="shared" si="543"/>
        <v>0</v>
      </c>
      <c r="U1817">
        <f t="shared" si="544"/>
        <v>0</v>
      </c>
      <c r="V1817">
        <f t="shared" si="545"/>
        <v>0</v>
      </c>
      <c r="W1817" t="s">
        <v>39</v>
      </c>
      <c r="X1817">
        <f t="shared" si="546"/>
        <v>1</v>
      </c>
      <c r="Y1817">
        <f t="shared" si="547"/>
        <v>0</v>
      </c>
      <c r="Z1817">
        <v>2</v>
      </c>
      <c r="AA1817">
        <f t="shared" si="548"/>
        <v>0.25</v>
      </c>
      <c r="AB1817" t="s">
        <v>46</v>
      </c>
      <c r="AC1817">
        <f t="shared" si="549"/>
        <v>0</v>
      </c>
      <c r="AD1817">
        <f t="shared" si="550"/>
        <v>0</v>
      </c>
      <c r="AE1817" t="s">
        <v>41</v>
      </c>
      <c r="AF1817">
        <f>IF(AE1817="website",1,0)</f>
        <v>1</v>
      </c>
    </row>
    <row r="1818" spans="1:32">
      <c r="A1818" t="s">
        <v>2470</v>
      </c>
      <c r="B1818" t="s">
        <v>33</v>
      </c>
      <c r="C1818" s="3">
        <f t="shared" si="532"/>
        <v>0</v>
      </c>
      <c r="D1818">
        <f t="shared" si="533"/>
        <v>1</v>
      </c>
      <c r="E1818" t="s">
        <v>1133</v>
      </c>
      <c r="F1818" t="s">
        <v>714</v>
      </c>
      <c r="G1818" s="1">
        <v>16281</v>
      </c>
      <c r="H1818" s="2">
        <f t="shared" ca="1" si="534"/>
        <v>82</v>
      </c>
      <c r="I1818" s="2">
        <f t="shared" ca="1" si="535"/>
        <v>0.81428571428571428</v>
      </c>
      <c r="J1818" t="s">
        <v>36</v>
      </c>
      <c r="K1818" t="s">
        <v>37</v>
      </c>
      <c r="L1818">
        <f t="shared" si="536"/>
        <v>1</v>
      </c>
      <c r="M1818">
        <f t="shared" si="537"/>
        <v>0</v>
      </c>
      <c r="N1818">
        <f t="shared" si="538"/>
        <v>0</v>
      </c>
      <c r="O1818" t="s">
        <v>305</v>
      </c>
      <c r="P1818">
        <f t="shared" si="539"/>
        <v>0</v>
      </c>
      <c r="Q1818">
        <f t="shared" si="540"/>
        <v>0</v>
      </c>
      <c r="R1818">
        <f t="shared" si="541"/>
        <v>0</v>
      </c>
      <c r="S1818">
        <f t="shared" si="542"/>
        <v>0</v>
      </c>
      <c r="T1818">
        <f t="shared" si="543"/>
        <v>0</v>
      </c>
      <c r="U1818">
        <f t="shared" si="544"/>
        <v>0</v>
      </c>
      <c r="V1818">
        <f t="shared" si="545"/>
        <v>0</v>
      </c>
      <c r="W1818" t="s">
        <v>39</v>
      </c>
      <c r="X1818">
        <f t="shared" si="546"/>
        <v>1</v>
      </c>
      <c r="Y1818">
        <f t="shared" si="547"/>
        <v>0</v>
      </c>
      <c r="Z1818">
        <v>1</v>
      </c>
      <c r="AA1818">
        <f t="shared" si="548"/>
        <v>0</v>
      </c>
      <c r="AB1818" t="s">
        <v>46</v>
      </c>
      <c r="AC1818">
        <f t="shared" si="549"/>
        <v>1</v>
      </c>
      <c r="AD1818">
        <f t="shared" si="550"/>
        <v>0</v>
      </c>
      <c r="AE1818" t="s">
        <v>50</v>
      </c>
      <c r="AF1818">
        <f>IF(AE1818="website",1,0)</f>
        <v>0</v>
      </c>
    </row>
    <row r="1819" spans="1:32">
      <c r="A1819" t="s">
        <v>2471</v>
      </c>
      <c r="B1819" t="s">
        <v>33</v>
      </c>
      <c r="C1819" s="3">
        <f t="shared" si="532"/>
        <v>0</v>
      </c>
      <c r="D1819">
        <f t="shared" si="533"/>
        <v>1</v>
      </c>
      <c r="E1819" t="s">
        <v>644</v>
      </c>
      <c r="F1819" t="s">
        <v>669</v>
      </c>
      <c r="G1819" s="1">
        <v>34563</v>
      </c>
      <c r="H1819" s="2">
        <f t="shared" ca="1" si="534"/>
        <v>32</v>
      </c>
      <c r="I1819" s="2">
        <f t="shared" ca="1" si="535"/>
        <v>0.1</v>
      </c>
      <c r="J1819" t="s">
        <v>36</v>
      </c>
      <c r="K1819" t="s">
        <v>37</v>
      </c>
      <c r="L1819">
        <f t="shared" si="536"/>
        <v>1</v>
      </c>
      <c r="M1819">
        <f t="shared" si="537"/>
        <v>0</v>
      </c>
      <c r="N1819">
        <f t="shared" si="538"/>
        <v>0</v>
      </c>
      <c r="O1819" t="s">
        <v>565</v>
      </c>
      <c r="P1819">
        <f t="shared" si="539"/>
        <v>0</v>
      </c>
      <c r="Q1819">
        <f t="shared" si="540"/>
        <v>0</v>
      </c>
      <c r="R1819">
        <f t="shared" si="541"/>
        <v>0</v>
      </c>
      <c r="S1819">
        <f t="shared" si="542"/>
        <v>0</v>
      </c>
      <c r="T1819">
        <f t="shared" si="543"/>
        <v>0</v>
      </c>
      <c r="U1819">
        <f t="shared" si="544"/>
        <v>0</v>
      </c>
      <c r="V1819">
        <f t="shared" si="545"/>
        <v>0</v>
      </c>
      <c r="W1819" t="s">
        <v>58</v>
      </c>
      <c r="X1819">
        <f t="shared" si="546"/>
        <v>0</v>
      </c>
      <c r="Y1819">
        <f t="shared" si="547"/>
        <v>1</v>
      </c>
      <c r="Z1819">
        <v>5</v>
      </c>
      <c r="AA1819">
        <f t="shared" si="548"/>
        <v>1</v>
      </c>
      <c r="AB1819" t="s">
        <v>40</v>
      </c>
      <c r="AC1819">
        <f t="shared" si="549"/>
        <v>0</v>
      </c>
      <c r="AD1819">
        <f t="shared" si="550"/>
        <v>0</v>
      </c>
      <c r="AE1819" t="s">
        <v>41</v>
      </c>
      <c r="AF1819">
        <f>IF(AE1819="website",1,0)</f>
        <v>1</v>
      </c>
    </row>
    <row r="1820" spans="1:32">
      <c r="A1820" t="s">
        <v>2472</v>
      </c>
      <c r="B1820" t="s">
        <v>33</v>
      </c>
      <c r="C1820" s="3">
        <f t="shared" si="532"/>
        <v>0</v>
      </c>
      <c r="D1820">
        <f t="shared" si="533"/>
        <v>1</v>
      </c>
      <c r="E1820" t="s">
        <v>683</v>
      </c>
      <c r="F1820" t="s">
        <v>247</v>
      </c>
      <c r="G1820" s="1">
        <v>23053</v>
      </c>
      <c r="H1820" s="2">
        <f t="shared" ca="1" si="534"/>
        <v>63</v>
      </c>
      <c r="I1820" s="2">
        <f t="shared" ca="1" si="535"/>
        <v>0.54285714285714282</v>
      </c>
      <c r="J1820" t="s">
        <v>45</v>
      </c>
      <c r="K1820" t="s">
        <v>172</v>
      </c>
      <c r="L1820">
        <f t="shared" si="536"/>
        <v>0</v>
      </c>
      <c r="M1820">
        <f t="shared" si="537"/>
        <v>0</v>
      </c>
      <c r="N1820">
        <f t="shared" si="538"/>
        <v>0</v>
      </c>
      <c r="O1820" t="s">
        <v>173</v>
      </c>
      <c r="P1820">
        <f t="shared" si="539"/>
        <v>0</v>
      </c>
      <c r="Q1820">
        <f t="shared" si="540"/>
        <v>0</v>
      </c>
      <c r="R1820">
        <f t="shared" si="541"/>
        <v>0</v>
      </c>
      <c r="S1820">
        <f t="shared" si="542"/>
        <v>0</v>
      </c>
      <c r="T1820">
        <f t="shared" si="543"/>
        <v>0</v>
      </c>
      <c r="U1820">
        <f t="shared" si="544"/>
        <v>0</v>
      </c>
      <c r="V1820">
        <f t="shared" si="545"/>
        <v>0</v>
      </c>
      <c r="W1820" t="s">
        <v>39</v>
      </c>
      <c r="X1820">
        <f t="shared" si="546"/>
        <v>1</v>
      </c>
      <c r="Y1820">
        <f t="shared" si="547"/>
        <v>0</v>
      </c>
      <c r="Z1820">
        <v>1</v>
      </c>
      <c r="AA1820">
        <f t="shared" si="548"/>
        <v>0</v>
      </c>
      <c r="AB1820" t="s">
        <v>46</v>
      </c>
      <c r="AC1820">
        <f t="shared" si="549"/>
        <v>0</v>
      </c>
      <c r="AD1820">
        <f t="shared" si="550"/>
        <v>0</v>
      </c>
      <c r="AE1820" t="s">
        <v>41</v>
      </c>
      <c r="AF1820">
        <f>IF(AE1820="website",1,0)</f>
        <v>1</v>
      </c>
    </row>
    <row r="1821" spans="1:32">
      <c r="A1821" t="s">
        <v>2473</v>
      </c>
      <c r="B1821" t="s">
        <v>33</v>
      </c>
      <c r="C1821" s="3">
        <f t="shared" si="532"/>
        <v>0</v>
      </c>
      <c r="D1821">
        <f t="shared" si="533"/>
        <v>1</v>
      </c>
      <c r="E1821" t="s">
        <v>596</v>
      </c>
      <c r="F1821" t="s">
        <v>339</v>
      </c>
      <c r="G1821" s="1">
        <v>29088</v>
      </c>
      <c r="H1821" s="2">
        <f t="shared" ca="1" si="534"/>
        <v>47</v>
      </c>
      <c r="I1821" s="2">
        <f t="shared" ca="1" si="535"/>
        <v>0.31428571428571428</v>
      </c>
      <c r="J1821" t="s">
        <v>45</v>
      </c>
      <c r="K1821" t="s">
        <v>626</v>
      </c>
      <c r="L1821">
        <f t="shared" si="536"/>
        <v>0</v>
      </c>
      <c r="M1821">
        <f t="shared" si="537"/>
        <v>0</v>
      </c>
      <c r="N1821">
        <f t="shared" si="538"/>
        <v>0</v>
      </c>
      <c r="O1821" t="s">
        <v>660</v>
      </c>
      <c r="P1821">
        <f t="shared" si="539"/>
        <v>0</v>
      </c>
      <c r="Q1821">
        <f t="shared" si="540"/>
        <v>0</v>
      </c>
      <c r="R1821">
        <f t="shared" si="541"/>
        <v>0</v>
      </c>
      <c r="S1821">
        <f t="shared" si="542"/>
        <v>0</v>
      </c>
      <c r="T1821">
        <f t="shared" si="543"/>
        <v>0</v>
      </c>
      <c r="U1821">
        <f t="shared" si="544"/>
        <v>0</v>
      </c>
      <c r="V1821">
        <f t="shared" si="545"/>
        <v>0</v>
      </c>
      <c r="W1821" t="s">
        <v>39</v>
      </c>
      <c r="X1821">
        <f t="shared" si="546"/>
        <v>1</v>
      </c>
      <c r="Y1821">
        <f t="shared" si="547"/>
        <v>0</v>
      </c>
      <c r="Z1821">
        <v>3</v>
      </c>
      <c r="AA1821">
        <f t="shared" si="548"/>
        <v>0.5</v>
      </c>
      <c r="AB1821" t="s">
        <v>46</v>
      </c>
      <c r="AC1821">
        <f t="shared" si="549"/>
        <v>0</v>
      </c>
      <c r="AD1821">
        <f t="shared" si="550"/>
        <v>0</v>
      </c>
      <c r="AE1821" t="s">
        <v>41</v>
      </c>
      <c r="AF1821">
        <f>IF(AE1821="website",1,0)</f>
        <v>1</v>
      </c>
    </row>
    <row r="1822" spans="1:32">
      <c r="A1822" t="s">
        <v>2474</v>
      </c>
      <c r="B1822" t="s">
        <v>33</v>
      </c>
      <c r="C1822" s="3">
        <f t="shared" si="532"/>
        <v>0</v>
      </c>
      <c r="D1822">
        <f t="shared" si="533"/>
        <v>1</v>
      </c>
      <c r="E1822" t="s">
        <v>1070</v>
      </c>
      <c r="F1822" t="s">
        <v>953</v>
      </c>
      <c r="G1822" s="1">
        <v>16367</v>
      </c>
      <c r="H1822" s="2">
        <f t="shared" ca="1" si="534"/>
        <v>81</v>
      </c>
      <c r="I1822" s="2">
        <f t="shared" ca="1" si="535"/>
        <v>0.8</v>
      </c>
      <c r="J1822" t="s">
        <v>45</v>
      </c>
      <c r="K1822" t="s">
        <v>37</v>
      </c>
      <c r="L1822">
        <f t="shared" si="536"/>
        <v>1</v>
      </c>
      <c r="M1822">
        <f t="shared" si="537"/>
        <v>0</v>
      </c>
      <c r="N1822">
        <f t="shared" si="538"/>
        <v>0</v>
      </c>
      <c r="O1822" t="s">
        <v>124</v>
      </c>
      <c r="P1822">
        <f t="shared" si="539"/>
        <v>0</v>
      </c>
      <c r="Q1822">
        <f t="shared" si="540"/>
        <v>0</v>
      </c>
      <c r="R1822">
        <f t="shared" si="541"/>
        <v>0</v>
      </c>
      <c r="S1822">
        <f t="shared" si="542"/>
        <v>0</v>
      </c>
      <c r="T1822">
        <f t="shared" si="543"/>
        <v>0</v>
      </c>
      <c r="U1822">
        <f t="shared" si="544"/>
        <v>1</v>
      </c>
      <c r="V1822">
        <f t="shared" si="545"/>
        <v>0</v>
      </c>
      <c r="W1822" t="s">
        <v>39</v>
      </c>
      <c r="X1822">
        <f t="shared" si="546"/>
        <v>1</v>
      </c>
      <c r="Y1822">
        <f t="shared" si="547"/>
        <v>0</v>
      </c>
      <c r="Z1822">
        <v>5</v>
      </c>
      <c r="AA1822">
        <f t="shared" si="548"/>
        <v>1</v>
      </c>
      <c r="AB1822" t="s">
        <v>46</v>
      </c>
      <c r="AC1822">
        <f t="shared" si="549"/>
        <v>0</v>
      </c>
      <c r="AD1822">
        <f t="shared" si="550"/>
        <v>0</v>
      </c>
      <c r="AE1822" t="s">
        <v>41</v>
      </c>
      <c r="AF1822">
        <f>IF(AE1822="website",1,0)</f>
        <v>1</v>
      </c>
    </row>
    <row r="1823" spans="1:32">
      <c r="A1823" t="s">
        <v>2475</v>
      </c>
      <c r="B1823" t="s">
        <v>33</v>
      </c>
      <c r="C1823" s="3">
        <f t="shared" si="532"/>
        <v>0</v>
      </c>
      <c r="D1823">
        <f t="shared" si="533"/>
        <v>1</v>
      </c>
      <c r="E1823" t="s">
        <v>344</v>
      </c>
      <c r="F1823" t="s">
        <v>552</v>
      </c>
      <c r="G1823" s="1">
        <v>35123</v>
      </c>
      <c r="H1823" s="2">
        <f t="shared" ca="1" si="534"/>
        <v>30</v>
      </c>
      <c r="I1823" s="2">
        <f t="shared" ca="1" si="535"/>
        <v>7.1428571428571425E-2</v>
      </c>
      <c r="J1823" t="s">
        <v>45</v>
      </c>
      <c r="K1823" t="s">
        <v>37</v>
      </c>
      <c r="L1823">
        <f t="shared" si="536"/>
        <v>1</v>
      </c>
      <c r="M1823">
        <f t="shared" si="537"/>
        <v>0</v>
      </c>
      <c r="N1823">
        <f t="shared" si="538"/>
        <v>0</v>
      </c>
      <c r="O1823" t="s">
        <v>76</v>
      </c>
      <c r="P1823">
        <f t="shared" si="539"/>
        <v>0</v>
      </c>
      <c r="Q1823">
        <f t="shared" si="540"/>
        <v>1</v>
      </c>
      <c r="R1823">
        <f t="shared" si="541"/>
        <v>0</v>
      </c>
      <c r="S1823">
        <f t="shared" si="542"/>
        <v>0</v>
      </c>
      <c r="T1823">
        <f t="shared" si="543"/>
        <v>0</v>
      </c>
      <c r="U1823">
        <f t="shared" si="544"/>
        <v>0</v>
      </c>
      <c r="V1823">
        <f t="shared" si="545"/>
        <v>0</v>
      </c>
      <c r="W1823" t="s">
        <v>58</v>
      </c>
      <c r="X1823">
        <f t="shared" si="546"/>
        <v>0</v>
      </c>
      <c r="Y1823">
        <f t="shared" si="547"/>
        <v>1</v>
      </c>
      <c r="Z1823">
        <v>5</v>
      </c>
      <c r="AA1823">
        <f t="shared" si="548"/>
        <v>1</v>
      </c>
      <c r="AB1823" t="s">
        <v>40</v>
      </c>
      <c r="AC1823">
        <f t="shared" si="549"/>
        <v>0</v>
      </c>
      <c r="AD1823">
        <f t="shared" si="550"/>
        <v>0</v>
      </c>
      <c r="AE1823" t="s">
        <v>41</v>
      </c>
      <c r="AF1823">
        <f>IF(AE1823="website",1,0)</f>
        <v>1</v>
      </c>
    </row>
    <row r="1824" spans="1:32">
      <c r="A1824" t="s">
        <v>2476</v>
      </c>
      <c r="B1824" t="s">
        <v>33</v>
      </c>
      <c r="C1824" s="3">
        <f t="shared" si="532"/>
        <v>0</v>
      </c>
      <c r="D1824">
        <f t="shared" si="533"/>
        <v>1</v>
      </c>
      <c r="E1824" t="s">
        <v>561</v>
      </c>
      <c r="F1824" t="s">
        <v>825</v>
      </c>
      <c r="G1824" s="1">
        <v>24695</v>
      </c>
      <c r="H1824" s="2">
        <f t="shared" ca="1" si="534"/>
        <v>59</v>
      </c>
      <c r="I1824" s="2">
        <f t="shared" ca="1" si="535"/>
        <v>0.48571428571428571</v>
      </c>
      <c r="J1824" t="s">
        <v>45</v>
      </c>
      <c r="K1824" t="s">
        <v>37</v>
      </c>
      <c r="L1824">
        <f t="shared" si="536"/>
        <v>1</v>
      </c>
      <c r="M1824">
        <f t="shared" si="537"/>
        <v>0</v>
      </c>
      <c r="N1824">
        <f t="shared" si="538"/>
        <v>0</v>
      </c>
      <c r="O1824" t="s">
        <v>76</v>
      </c>
      <c r="P1824">
        <f t="shared" si="539"/>
        <v>0</v>
      </c>
      <c r="Q1824">
        <f t="shared" si="540"/>
        <v>1</v>
      </c>
      <c r="R1824">
        <f t="shared" si="541"/>
        <v>0</v>
      </c>
      <c r="S1824">
        <f t="shared" si="542"/>
        <v>0</v>
      </c>
      <c r="T1824">
        <f t="shared" si="543"/>
        <v>0</v>
      </c>
      <c r="U1824">
        <f t="shared" si="544"/>
        <v>0</v>
      </c>
      <c r="V1824">
        <f t="shared" si="545"/>
        <v>0</v>
      </c>
      <c r="W1824" t="s">
        <v>39</v>
      </c>
      <c r="X1824">
        <f t="shared" si="546"/>
        <v>1</v>
      </c>
      <c r="Y1824">
        <f t="shared" si="547"/>
        <v>0</v>
      </c>
      <c r="Z1824">
        <v>4</v>
      </c>
      <c r="AA1824">
        <f t="shared" si="548"/>
        <v>0.75</v>
      </c>
      <c r="AB1824" t="s">
        <v>40</v>
      </c>
      <c r="AC1824">
        <f t="shared" si="549"/>
        <v>0</v>
      </c>
      <c r="AD1824">
        <f t="shared" si="550"/>
        <v>0</v>
      </c>
      <c r="AE1824" t="s">
        <v>41</v>
      </c>
      <c r="AF1824">
        <f>IF(AE1824="website",1,0)</f>
        <v>1</v>
      </c>
    </row>
    <row r="1825" spans="1:32">
      <c r="A1825" t="s">
        <v>2477</v>
      </c>
      <c r="B1825" t="s">
        <v>33</v>
      </c>
      <c r="C1825" s="3">
        <f t="shared" si="532"/>
        <v>0</v>
      </c>
      <c r="D1825">
        <f t="shared" si="533"/>
        <v>1</v>
      </c>
      <c r="E1825" t="s">
        <v>1110</v>
      </c>
      <c r="F1825" t="s">
        <v>552</v>
      </c>
      <c r="G1825" s="1">
        <v>22894</v>
      </c>
      <c r="H1825" s="2">
        <f t="shared" ca="1" si="534"/>
        <v>64</v>
      </c>
      <c r="I1825" s="2">
        <f t="shared" ca="1" si="535"/>
        <v>0.55714285714285716</v>
      </c>
      <c r="J1825" t="s">
        <v>45</v>
      </c>
      <c r="K1825" t="s">
        <v>37</v>
      </c>
      <c r="L1825">
        <f t="shared" si="536"/>
        <v>1</v>
      </c>
      <c r="M1825">
        <f t="shared" si="537"/>
        <v>0</v>
      </c>
      <c r="N1825">
        <f t="shared" si="538"/>
        <v>0</v>
      </c>
      <c r="O1825" t="s">
        <v>38</v>
      </c>
      <c r="P1825">
        <f t="shared" si="539"/>
        <v>1</v>
      </c>
      <c r="Q1825">
        <f t="shared" si="540"/>
        <v>0</v>
      </c>
      <c r="R1825">
        <f t="shared" si="541"/>
        <v>0</v>
      </c>
      <c r="S1825">
        <f t="shared" si="542"/>
        <v>0</v>
      </c>
      <c r="T1825">
        <f t="shared" si="543"/>
        <v>0</v>
      </c>
      <c r="U1825">
        <f t="shared" si="544"/>
        <v>0</v>
      </c>
      <c r="V1825">
        <f t="shared" si="545"/>
        <v>0</v>
      </c>
      <c r="W1825" t="s">
        <v>39</v>
      </c>
      <c r="X1825">
        <f t="shared" si="546"/>
        <v>1</v>
      </c>
      <c r="Y1825">
        <f t="shared" si="547"/>
        <v>0</v>
      </c>
      <c r="Z1825">
        <v>3</v>
      </c>
      <c r="AA1825">
        <f t="shared" si="548"/>
        <v>0.5</v>
      </c>
      <c r="AB1825" t="s">
        <v>46</v>
      </c>
      <c r="AC1825">
        <f t="shared" si="549"/>
        <v>0</v>
      </c>
      <c r="AD1825">
        <f t="shared" si="550"/>
        <v>0</v>
      </c>
      <c r="AE1825" t="s">
        <v>41</v>
      </c>
      <c r="AF1825">
        <f>IF(AE1825="website",1,0)</f>
        <v>1</v>
      </c>
    </row>
    <row r="1826" spans="1:32">
      <c r="A1826" t="s">
        <v>2478</v>
      </c>
      <c r="B1826" t="s">
        <v>33</v>
      </c>
      <c r="C1826" s="3">
        <f t="shared" si="532"/>
        <v>0</v>
      </c>
      <c r="D1826">
        <f t="shared" si="533"/>
        <v>1</v>
      </c>
      <c r="E1826" t="s">
        <v>1060</v>
      </c>
      <c r="F1826" t="s">
        <v>562</v>
      </c>
      <c r="G1826" s="1">
        <v>20817</v>
      </c>
      <c r="H1826" s="2">
        <f t="shared" ca="1" si="534"/>
        <v>69</v>
      </c>
      <c r="I1826" s="2">
        <f t="shared" ca="1" si="535"/>
        <v>0.62857142857142856</v>
      </c>
      <c r="J1826" t="s">
        <v>45</v>
      </c>
      <c r="K1826" t="s">
        <v>158</v>
      </c>
      <c r="L1826">
        <f t="shared" si="536"/>
        <v>0</v>
      </c>
      <c r="M1826">
        <f t="shared" si="537"/>
        <v>0</v>
      </c>
      <c r="N1826">
        <f t="shared" si="538"/>
        <v>0</v>
      </c>
      <c r="O1826" t="s">
        <v>732</v>
      </c>
      <c r="P1826">
        <f t="shared" si="539"/>
        <v>0</v>
      </c>
      <c r="Q1826">
        <f t="shared" si="540"/>
        <v>0</v>
      </c>
      <c r="R1826">
        <f t="shared" si="541"/>
        <v>0</v>
      </c>
      <c r="S1826">
        <f t="shared" si="542"/>
        <v>0</v>
      </c>
      <c r="T1826">
        <f t="shared" si="543"/>
        <v>0</v>
      </c>
      <c r="U1826">
        <f t="shared" si="544"/>
        <v>0</v>
      </c>
      <c r="V1826">
        <f t="shared" si="545"/>
        <v>0</v>
      </c>
      <c r="W1826" t="s">
        <v>39</v>
      </c>
      <c r="X1826">
        <f t="shared" si="546"/>
        <v>1</v>
      </c>
      <c r="Y1826">
        <f t="shared" si="547"/>
        <v>0</v>
      </c>
      <c r="Z1826">
        <v>2</v>
      </c>
      <c r="AA1826">
        <f t="shared" si="548"/>
        <v>0.25</v>
      </c>
      <c r="AB1826" t="s">
        <v>46</v>
      </c>
      <c r="AC1826">
        <f t="shared" si="549"/>
        <v>1</v>
      </c>
      <c r="AD1826">
        <f t="shared" si="550"/>
        <v>0</v>
      </c>
      <c r="AE1826" t="s">
        <v>50</v>
      </c>
      <c r="AF1826">
        <f>IF(AE1826="website",1,0)</f>
        <v>0</v>
      </c>
    </row>
    <row r="1827" spans="1:32">
      <c r="A1827" t="s">
        <v>2479</v>
      </c>
      <c r="B1827" t="s">
        <v>33</v>
      </c>
      <c r="C1827" s="3">
        <f t="shared" si="532"/>
        <v>0</v>
      </c>
      <c r="D1827">
        <f t="shared" si="533"/>
        <v>1</v>
      </c>
      <c r="E1827" t="s">
        <v>357</v>
      </c>
      <c r="F1827" t="s">
        <v>579</v>
      </c>
      <c r="G1827" s="1">
        <v>18787</v>
      </c>
      <c r="H1827" s="2">
        <f t="shared" ca="1" si="534"/>
        <v>75</v>
      </c>
      <c r="I1827" s="2">
        <f t="shared" ca="1" si="535"/>
        <v>0.7142857142857143</v>
      </c>
      <c r="J1827" t="s">
        <v>45</v>
      </c>
      <c r="K1827" t="s">
        <v>37</v>
      </c>
      <c r="L1827">
        <f t="shared" si="536"/>
        <v>1</v>
      </c>
      <c r="M1827">
        <f t="shared" si="537"/>
        <v>0</v>
      </c>
      <c r="N1827">
        <f t="shared" si="538"/>
        <v>0</v>
      </c>
      <c r="O1827" t="s">
        <v>559</v>
      </c>
      <c r="P1827">
        <f t="shared" si="539"/>
        <v>0</v>
      </c>
      <c r="Q1827">
        <f t="shared" si="540"/>
        <v>0</v>
      </c>
      <c r="R1827">
        <f t="shared" si="541"/>
        <v>0</v>
      </c>
      <c r="S1827">
        <f t="shared" si="542"/>
        <v>0</v>
      </c>
      <c r="T1827">
        <f t="shared" si="543"/>
        <v>0</v>
      </c>
      <c r="U1827">
        <f t="shared" si="544"/>
        <v>0</v>
      </c>
      <c r="V1827">
        <f t="shared" si="545"/>
        <v>0</v>
      </c>
      <c r="W1827" t="s">
        <v>39</v>
      </c>
      <c r="X1827">
        <f t="shared" si="546"/>
        <v>1</v>
      </c>
      <c r="Y1827">
        <f t="shared" si="547"/>
        <v>0</v>
      </c>
      <c r="Z1827">
        <v>4</v>
      </c>
      <c r="AA1827">
        <f t="shared" si="548"/>
        <v>0.75</v>
      </c>
      <c r="AB1827" t="s">
        <v>46</v>
      </c>
      <c r="AC1827">
        <f t="shared" si="549"/>
        <v>0</v>
      </c>
      <c r="AD1827">
        <f t="shared" si="550"/>
        <v>1</v>
      </c>
      <c r="AE1827" t="s">
        <v>90</v>
      </c>
      <c r="AF1827">
        <f>IF(AE1827="website",1,0)</f>
        <v>0</v>
      </c>
    </row>
    <row r="1828" spans="1:32">
      <c r="A1828" t="s">
        <v>2480</v>
      </c>
      <c r="B1828" t="s">
        <v>33</v>
      </c>
      <c r="C1828" s="3">
        <f t="shared" si="532"/>
        <v>0</v>
      </c>
      <c r="D1828">
        <f t="shared" si="533"/>
        <v>1</v>
      </c>
      <c r="E1828" t="s">
        <v>1307</v>
      </c>
      <c r="F1828" t="s">
        <v>798</v>
      </c>
      <c r="G1828" s="1">
        <v>26666</v>
      </c>
      <c r="H1828" s="2">
        <f t="shared" ca="1" si="534"/>
        <v>53</v>
      </c>
      <c r="I1828" s="2">
        <f t="shared" ca="1" si="535"/>
        <v>0.4</v>
      </c>
      <c r="J1828" t="s">
        <v>45</v>
      </c>
      <c r="K1828" t="s">
        <v>37</v>
      </c>
      <c r="L1828">
        <f t="shared" si="536"/>
        <v>1</v>
      </c>
      <c r="M1828">
        <f t="shared" si="537"/>
        <v>0</v>
      </c>
      <c r="N1828">
        <f t="shared" si="538"/>
        <v>0</v>
      </c>
      <c r="O1828" t="s">
        <v>717</v>
      </c>
      <c r="P1828">
        <f t="shared" si="539"/>
        <v>0</v>
      </c>
      <c r="Q1828">
        <f t="shared" si="540"/>
        <v>0</v>
      </c>
      <c r="R1828">
        <f t="shared" si="541"/>
        <v>0</v>
      </c>
      <c r="S1828">
        <f t="shared" si="542"/>
        <v>0</v>
      </c>
      <c r="T1828">
        <f t="shared" si="543"/>
        <v>0</v>
      </c>
      <c r="U1828">
        <f t="shared" si="544"/>
        <v>0</v>
      </c>
      <c r="V1828">
        <f t="shared" si="545"/>
        <v>0</v>
      </c>
      <c r="W1828" t="s">
        <v>39</v>
      </c>
      <c r="X1828">
        <f t="shared" si="546"/>
        <v>1</v>
      </c>
      <c r="Y1828">
        <f t="shared" si="547"/>
        <v>0</v>
      </c>
      <c r="Z1828">
        <v>5</v>
      </c>
      <c r="AA1828">
        <f t="shared" si="548"/>
        <v>1</v>
      </c>
      <c r="AB1828" t="s">
        <v>40</v>
      </c>
      <c r="AC1828">
        <f t="shared" si="549"/>
        <v>0</v>
      </c>
      <c r="AD1828">
        <f t="shared" si="550"/>
        <v>0</v>
      </c>
      <c r="AE1828" t="s">
        <v>41</v>
      </c>
      <c r="AF1828">
        <f>IF(AE1828="website",1,0)</f>
        <v>1</v>
      </c>
    </row>
    <row r="1829" spans="1:32">
      <c r="A1829" t="s">
        <v>2481</v>
      </c>
      <c r="B1829" t="s">
        <v>33</v>
      </c>
      <c r="C1829" s="3">
        <f t="shared" si="532"/>
        <v>0</v>
      </c>
      <c r="D1829">
        <f t="shared" si="533"/>
        <v>1</v>
      </c>
      <c r="E1829" t="s">
        <v>683</v>
      </c>
      <c r="F1829" t="s">
        <v>669</v>
      </c>
      <c r="G1829" s="1">
        <v>33557</v>
      </c>
      <c r="H1829" s="2">
        <f t="shared" ca="1" si="534"/>
        <v>34</v>
      </c>
      <c r="I1829" s="2">
        <f t="shared" ca="1" si="535"/>
        <v>0.12857142857142856</v>
      </c>
      <c r="J1829" t="s">
        <v>45</v>
      </c>
      <c r="K1829" t="s">
        <v>37</v>
      </c>
      <c r="L1829">
        <f t="shared" si="536"/>
        <v>1</v>
      </c>
      <c r="M1829">
        <f t="shared" si="537"/>
        <v>0</v>
      </c>
      <c r="N1829">
        <f t="shared" si="538"/>
        <v>0</v>
      </c>
      <c r="O1829" t="s">
        <v>38</v>
      </c>
      <c r="P1829">
        <f t="shared" si="539"/>
        <v>1</v>
      </c>
      <c r="Q1829">
        <f t="shared" si="540"/>
        <v>0</v>
      </c>
      <c r="R1829">
        <f t="shared" si="541"/>
        <v>0</v>
      </c>
      <c r="S1829">
        <f t="shared" si="542"/>
        <v>0</v>
      </c>
      <c r="T1829">
        <f t="shared" si="543"/>
        <v>0</v>
      </c>
      <c r="U1829">
        <f t="shared" si="544"/>
        <v>0</v>
      </c>
      <c r="V1829">
        <f t="shared" si="545"/>
        <v>0</v>
      </c>
      <c r="W1829" t="s">
        <v>58</v>
      </c>
      <c r="X1829">
        <f t="shared" si="546"/>
        <v>0</v>
      </c>
      <c r="Y1829">
        <f t="shared" si="547"/>
        <v>1</v>
      </c>
      <c r="Z1829">
        <v>2</v>
      </c>
      <c r="AA1829">
        <f t="shared" si="548"/>
        <v>0.25</v>
      </c>
      <c r="AB1829" t="s">
        <v>40</v>
      </c>
      <c r="AC1829">
        <f t="shared" si="549"/>
        <v>0</v>
      </c>
      <c r="AD1829">
        <f t="shared" si="550"/>
        <v>0</v>
      </c>
      <c r="AE1829" t="s">
        <v>41</v>
      </c>
      <c r="AF1829">
        <f>IF(AE1829="website",1,0)</f>
        <v>1</v>
      </c>
    </row>
    <row r="1830" spans="1:32">
      <c r="A1830" t="s">
        <v>2482</v>
      </c>
      <c r="B1830" t="s">
        <v>33</v>
      </c>
      <c r="C1830" s="3">
        <f t="shared" si="532"/>
        <v>0</v>
      </c>
      <c r="D1830">
        <f t="shared" si="533"/>
        <v>1</v>
      </c>
      <c r="E1830" t="s">
        <v>476</v>
      </c>
      <c r="F1830" t="s">
        <v>887</v>
      </c>
      <c r="G1830" s="1">
        <v>35628</v>
      </c>
      <c r="H1830" s="2">
        <f t="shared" ca="1" si="534"/>
        <v>29</v>
      </c>
      <c r="I1830" s="2">
        <f t="shared" ca="1" si="535"/>
        <v>5.7142857142857141E-2</v>
      </c>
      <c r="J1830" t="s">
        <v>36</v>
      </c>
      <c r="K1830" t="s">
        <v>37</v>
      </c>
      <c r="L1830">
        <f t="shared" si="536"/>
        <v>1</v>
      </c>
      <c r="M1830">
        <f t="shared" si="537"/>
        <v>0</v>
      </c>
      <c r="N1830">
        <f t="shared" si="538"/>
        <v>0</v>
      </c>
      <c r="O1830" t="s">
        <v>38</v>
      </c>
      <c r="P1830">
        <f t="shared" si="539"/>
        <v>1</v>
      </c>
      <c r="Q1830">
        <f t="shared" si="540"/>
        <v>0</v>
      </c>
      <c r="R1830">
        <f t="shared" si="541"/>
        <v>0</v>
      </c>
      <c r="S1830">
        <f t="shared" si="542"/>
        <v>0</v>
      </c>
      <c r="T1830">
        <f t="shared" si="543"/>
        <v>0</v>
      </c>
      <c r="U1830">
        <f t="shared" si="544"/>
        <v>0</v>
      </c>
      <c r="V1830">
        <f t="shared" si="545"/>
        <v>0</v>
      </c>
      <c r="W1830" t="s">
        <v>39</v>
      </c>
      <c r="X1830">
        <f t="shared" si="546"/>
        <v>1</v>
      </c>
      <c r="Y1830">
        <f t="shared" si="547"/>
        <v>0</v>
      </c>
      <c r="Z1830">
        <v>5</v>
      </c>
      <c r="AA1830">
        <f t="shared" si="548"/>
        <v>1</v>
      </c>
      <c r="AB1830" t="s">
        <v>40</v>
      </c>
      <c r="AC1830">
        <f t="shared" si="549"/>
        <v>1</v>
      </c>
      <c r="AD1830">
        <f t="shared" si="550"/>
        <v>0</v>
      </c>
      <c r="AE1830" t="s">
        <v>50</v>
      </c>
      <c r="AF1830">
        <f>IF(AE1830="website",1,0)</f>
        <v>0</v>
      </c>
    </row>
    <row r="1831" spans="1:32">
      <c r="A1831" t="s">
        <v>2483</v>
      </c>
      <c r="B1831" t="s">
        <v>33</v>
      </c>
      <c r="C1831" s="3">
        <f t="shared" si="532"/>
        <v>0</v>
      </c>
      <c r="D1831">
        <f t="shared" si="533"/>
        <v>1</v>
      </c>
      <c r="E1831" t="s">
        <v>305</v>
      </c>
      <c r="F1831" t="s">
        <v>703</v>
      </c>
      <c r="G1831" s="1">
        <v>21629</v>
      </c>
      <c r="H1831" s="2">
        <f t="shared" ca="1" si="534"/>
        <v>67</v>
      </c>
      <c r="I1831" s="2">
        <f t="shared" ca="1" si="535"/>
        <v>0.6</v>
      </c>
      <c r="J1831" t="s">
        <v>36</v>
      </c>
      <c r="K1831" t="s">
        <v>37</v>
      </c>
      <c r="L1831">
        <f t="shared" si="536"/>
        <v>1</v>
      </c>
      <c r="M1831">
        <f t="shared" si="537"/>
        <v>0</v>
      </c>
      <c r="N1831">
        <f t="shared" si="538"/>
        <v>0</v>
      </c>
      <c r="O1831" t="s">
        <v>97</v>
      </c>
      <c r="P1831">
        <f t="shared" si="539"/>
        <v>0</v>
      </c>
      <c r="Q1831">
        <f t="shared" si="540"/>
        <v>0</v>
      </c>
      <c r="R1831">
        <f t="shared" si="541"/>
        <v>0</v>
      </c>
      <c r="S1831">
        <f t="shared" si="542"/>
        <v>0</v>
      </c>
      <c r="T1831">
        <f t="shared" si="543"/>
        <v>1</v>
      </c>
      <c r="U1831">
        <f t="shared" si="544"/>
        <v>0</v>
      </c>
      <c r="V1831">
        <f t="shared" si="545"/>
        <v>0</v>
      </c>
      <c r="W1831" t="s">
        <v>39</v>
      </c>
      <c r="X1831">
        <f t="shared" si="546"/>
        <v>1</v>
      </c>
      <c r="Y1831">
        <f t="shared" si="547"/>
        <v>0</v>
      </c>
      <c r="Z1831">
        <v>3</v>
      </c>
      <c r="AA1831">
        <f t="shared" si="548"/>
        <v>0.5</v>
      </c>
      <c r="AB1831" t="s">
        <v>46</v>
      </c>
      <c r="AC1831">
        <f t="shared" si="549"/>
        <v>0</v>
      </c>
      <c r="AD1831">
        <f t="shared" si="550"/>
        <v>0</v>
      </c>
      <c r="AE1831" t="s">
        <v>41</v>
      </c>
      <c r="AF1831">
        <f>IF(AE1831="website",1,0)</f>
        <v>1</v>
      </c>
    </row>
    <row r="1832" spans="1:32">
      <c r="A1832" t="s">
        <v>2484</v>
      </c>
      <c r="B1832" t="s">
        <v>33</v>
      </c>
      <c r="C1832" s="3">
        <f t="shared" si="532"/>
        <v>0</v>
      </c>
      <c r="D1832">
        <f t="shared" si="533"/>
        <v>1</v>
      </c>
      <c r="E1832" t="s">
        <v>663</v>
      </c>
      <c r="F1832" t="s">
        <v>953</v>
      </c>
      <c r="G1832" s="1">
        <v>18521</v>
      </c>
      <c r="H1832" s="2">
        <f t="shared" ca="1" si="534"/>
        <v>76</v>
      </c>
      <c r="I1832" s="2">
        <f t="shared" ca="1" si="535"/>
        <v>0.72857142857142854</v>
      </c>
      <c r="J1832" t="s">
        <v>36</v>
      </c>
      <c r="K1832" t="s">
        <v>172</v>
      </c>
      <c r="L1832">
        <f t="shared" si="536"/>
        <v>0</v>
      </c>
      <c r="M1832">
        <f t="shared" si="537"/>
        <v>0</v>
      </c>
      <c r="N1832">
        <f t="shared" si="538"/>
        <v>0</v>
      </c>
      <c r="O1832" t="s">
        <v>833</v>
      </c>
      <c r="P1832">
        <f t="shared" si="539"/>
        <v>0</v>
      </c>
      <c r="Q1832">
        <f t="shared" si="540"/>
        <v>0</v>
      </c>
      <c r="R1832">
        <f t="shared" si="541"/>
        <v>0</v>
      </c>
      <c r="S1832">
        <f t="shared" si="542"/>
        <v>0</v>
      </c>
      <c r="T1832">
        <f t="shared" si="543"/>
        <v>0</v>
      </c>
      <c r="U1832">
        <f t="shared" si="544"/>
        <v>0</v>
      </c>
      <c r="V1832">
        <f t="shared" si="545"/>
        <v>0</v>
      </c>
      <c r="W1832" t="s">
        <v>39</v>
      </c>
      <c r="X1832">
        <f t="shared" si="546"/>
        <v>1</v>
      </c>
      <c r="Y1832">
        <f t="shared" si="547"/>
        <v>0</v>
      </c>
      <c r="Z1832">
        <v>3</v>
      </c>
      <c r="AA1832">
        <f t="shared" si="548"/>
        <v>0.5</v>
      </c>
      <c r="AB1832" t="s">
        <v>46</v>
      </c>
      <c r="AC1832">
        <f t="shared" si="549"/>
        <v>0</v>
      </c>
      <c r="AD1832">
        <f t="shared" si="550"/>
        <v>0</v>
      </c>
      <c r="AE1832" t="s">
        <v>41</v>
      </c>
      <c r="AF1832">
        <f>IF(AE1832="website",1,0)</f>
        <v>1</v>
      </c>
    </row>
    <row r="1833" spans="1:32">
      <c r="A1833" t="s">
        <v>2485</v>
      </c>
      <c r="B1833" t="s">
        <v>33</v>
      </c>
      <c r="C1833" s="3">
        <f t="shared" si="532"/>
        <v>0</v>
      </c>
      <c r="D1833">
        <f t="shared" si="533"/>
        <v>1</v>
      </c>
      <c r="E1833" t="s">
        <v>226</v>
      </c>
      <c r="F1833" t="s">
        <v>714</v>
      </c>
      <c r="G1833" s="1">
        <v>31888</v>
      </c>
      <c r="H1833" s="2">
        <f t="shared" ca="1" si="534"/>
        <v>39</v>
      </c>
      <c r="I1833" s="2">
        <f t="shared" ca="1" si="535"/>
        <v>0.2</v>
      </c>
      <c r="J1833" t="s">
        <v>45</v>
      </c>
      <c r="K1833" t="s">
        <v>37</v>
      </c>
      <c r="L1833">
        <f t="shared" si="536"/>
        <v>1</v>
      </c>
      <c r="M1833">
        <f t="shared" si="537"/>
        <v>0</v>
      </c>
      <c r="N1833">
        <f t="shared" si="538"/>
        <v>0</v>
      </c>
      <c r="O1833" t="s">
        <v>76</v>
      </c>
      <c r="P1833">
        <f t="shared" si="539"/>
        <v>0</v>
      </c>
      <c r="Q1833">
        <f t="shared" si="540"/>
        <v>1</v>
      </c>
      <c r="R1833">
        <f t="shared" si="541"/>
        <v>0</v>
      </c>
      <c r="S1833">
        <f t="shared" si="542"/>
        <v>0</v>
      </c>
      <c r="T1833">
        <f t="shared" si="543"/>
        <v>0</v>
      </c>
      <c r="U1833">
        <f t="shared" si="544"/>
        <v>0</v>
      </c>
      <c r="V1833">
        <f t="shared" si="545"/>
        <v>0</v>
      </c>
      <c r="W1833" t="s">
        <v>58</v>
      </c>
      <c r="X1833">
        <f t="shared" si="546"/>
        <v>0</v>
      </c>
      <c r="Y1833">
        <f t="shared" si="547"/>
        <v>1</v>
      </c>
      <c r="Z1833">
        <v>1</v>
      </c>
      <c r="AA1833">
        <f t="shared" si="548"/>
        <v>0</v>
      </c>
      <c r="AB1833" t="s">
        <v>40</v>
      </c>
      <c r="AC1833">
        <f t="shared" si="549"/>
        <v>0</v>
      </c>
      <c r="AD1833">
        <f t="shared" si="550"/>
        <v>0</v>
      </c>
      <c r="AE1833" t="s">
        <v>41</v>
      </c>
      <c r="AF1833">
        <f>IF(AE1833="website",1,0)</f>
        <v>1</v>
      </c>
    </row>
    <row r="1834" spans="1:32">
      <c r="A1834" t="s">
        <v>2486</v>
      </c>
      <c r="B1834" t="s">
        <v>33</v>
      </c>
      <c r="C1834" s="3">
        <f t="shared" si="532"/>
        <v>0</v>
      </c>
      <c r="D1834">
        <f t="shared" si="533"/>
        <v>1</v>
      </c>
      <c r="E1834" t="s">
        <v>982</v>
      </c>
      <c r="F1834" t="s">
        <v>552</v>
      </c>
      <c r="G1834" s="1">
        <v>17549</v>
      </c>
      <c r="H1834" s="2">
        <f t="shared" ca="1" si="534"/>
        <v>78</v>
      </c>
      <c r="I1834" s="2">
        <f t="shared" ca="1" si="535"/>
        <v>0.75714285714285712</v>
      </c>
      <c r="J1834" t="s">
        <v>36</v>
      </c>
      <c r="K1834" t="s">
        <v>37</v>
      </c>
      <c r="L1834">
        <f t="shared" si="536"/>
        <v>1</v>
      </c>
      <c r="M1834">
        <f t="shared" si="537"/>
        <v>0</v>
      </c>
      <c r="N1834">
        <f t="shared" si="538"/>
        <v>0</v>
      </c>
      <c r="O1834" t="s">
        <v>97</v>
      </c>
      <c r="P1834">
        <f t="shared" si="539"/>
        <v>0</v>
      </c>
      <c r="Q1834">
        <f t="shared" si="540"/>
        <v>0</v>
      </c>
      <c r="R1834">
        <f t="shared" si="541"/>
        <v>0</v>
      </c>
      <c r="S1834">
        <f t="shared" si="542"/>
        <v>0</v>
      </c>
      <c r="T1834">
        <f t="shared" si="543"/>
        <v>1</v>
      </c>
      <c r="U1834">
        <f t="shared" si="544"/>
        <v>0</v>
      </c>
      <c r="V1834">
        <f t="shared" si="545"/>
        <v>0</v>
      </c>
      <c r="W1834" t="s">
        <v>58</v>
      </c>
      <c r="X1834">
        <f t="shared" si="546"/>
        <v>0</v>
      </c>
      <c r="Y1834">
        <f t="shared" si="547"/>
        <v>1</v>
      </c>
      <c r="Z1834">
        <v>1</v>
      </c>
      <c r="AA1834">
        <f t="shared" si="548"/>
        <v>0</v>
      </c>
      <c r="AB1834" t="s">
        <v>40</v>
      </c>
      <c r="AC1834">
        <f t="shared" si="549"/>
        <v>0</v>
      </c>
      <c r="AD1834">
        <f t="shared" si="550"/>
        <v>0</v>
      </c>
      <c r="AE1834" t="s">
        <v>41</v>
      </c>
      <c r="AF1834">
        <f>IF(AE1834="website",1,0)</f>
        <v>1</v>
      </c>
    </row>
    <row r="1835" spans="1:32">
      <c r="A1835" t="s">
        <v>2487</v>
      </c>
      <c r="B1835" t="s">
        <v>33</v>
      </c>
      <c r="C1835" s="3">
        <f t="shared" si="532"/>
        <v>0</v>
      </c>
      <c r="D1835">
        <f t="shared" si="533"/>
        <v>1</v>
      </c>
      <c r="E1835" t="s">
        <v>842</v>
      </c>
      <c r="F1835" t="s">
        <v>685</v>
      </c>
      <c r="G1835" s="1">
        <v>23083</v>
      </c>
      <c r="H1835" s="2">
        <f t="shared" ca="1" si="534"/>
        <v>63</v>
      </c>
      <c r="I1835" s="2">
        <f t="shared" ca="1" si="535"/>
        <v>0.54285714285714282</v>
      </c>
      <c r="J1835" t="s">
        <v>45</v>
      </c>
      <c r="K1835" t="s">
        <v>153</v>
      </c>
      <c r="L1835">
        <f t="shared" si="536"/>
        <v>0</v>
      </c>
      <c r="M1835">
        <f t="shared" si="537"/>
        <v>0</v>
      </c>
      <c r="N1835">
        <f t="shared" si="538"/>
        <v>0</v>
      </c>
      <c r="O1835" t="s">
        <v>778</v>
      </c>
      <c r="P1835">
        <f t="shared" si="539"/>
        <v>0</v>
      </c>
      <c r="Q1835">
        <f t="shared" si="540"/>
        <v>0</v>
      </c>
      <c r="R1835">
        <f t="shared" si="541"/>
        <v>0</v>
      </c>
      <c r="S1835">
        <f t="shared" si="542"/>
        <v>0</v>
      </c>
      <c r="T1835">
        <f t="shared" si="543"/>
        <v>0</v>
      </c>
      <c r="U1835">
        <f t="shared" si="544"/>
        <v>0</v>
      </c>
      <c r="V1835">
        <f t="shared" si="545"/>
        <v>0</v>
      </c>
      <c r="W1835" t="s">
        <v>58</v>
      </c>
      <c r="X1835">
        <f t="shared" si="546"/>
        <v>0</v>
      </c>
      <c r="Y1835">
        <f t="shared" si="547"/>
        <v>1</v>
      </c>
      <c r="Z1835">
        <v>5</v>
      </c>
      <c r="AA1835">
        <f t="shared" si="548"/>
        <v>1</v>
      </c>
      <c r="AB1835" t="s">
        <v>46</v>
      </c>
      <c r="AC1835">
        <f t="shared" si="549"/>
        <v>1</v>
      </c>
      <c r="AD1835">
        <f t="shared" si="550"/>
        <v>0</v>
      </c>
      <c r="AE1835" t="s">
        <v>50</v>
      </c>
      <c r="AF1835">
        <f>IF(AE1835="website",1,0)</f>
        <v>0</v>
      </c>
    </row>
    <row r="1836" spans="1:32">
      <c r="A1836" t="s">
        <v>2488</v>
      </c>
      <c r="B1836" t="s">
        <v>33</v>
      </c>
      <c r="C1836" s="3">
        <f t="shared" si="532"/>
        <v>0</v>
      </c>
      <c r="D1836">
        <f t="shared" si="533"/>
        <v>1</v>
      </c>
      <c r="E1836" t="s">
        <v>976</v>
      </c>
      <c r="F1836" t="s">
        <v>599</v>
      </c>
      <c r="G1836" s="1">
        <v>21848</v>
      </c>
      <c r="H1836" s="2">
        <f t="shared" ca="1" si="534"/>
        <v>66</v>
      </c>
      <c r="I1836" s="2">
        <f t="shared" ca="1" si="535"/>
        <v>0.58571428571428574</v>
      </c>
      <c r="J1836" t="s">
        <v>36</v>
      </c>
      <c r="K1836" t="s">
        <v>65</v>
      </c>
      <c r="L1836">
        <f t="shared" si="536"/>
        <v>0</v>
      </c>
      <c r="M1836">
        <f t="shared" si="537"/>
        <v>1</v>
      </c>
      <c r="N1836">
        <f t="shared" si="538"/>
        <v>0</v>
      </c>
      <c r="O1836" t="s">
        <v>843</v>
      </c>
      <c r="P1836">
        <f t="shared" si="539"/>
        <v>0</v>
      </c>
      <c r="Q1836">
        <f t="shared" si="540"/>
        <v>0</v>
      </c>
      <c r="R1836">
        <f t="shared" si="541"/>
        <v>0</v>
      </c>
      <c r="S1836">
        <f t="shared" si="542"/>
        <v>0</v>
      </c>
      <c r="T1836">
        <f t="shared" si="543"/>
        <v>0</v>
      </c>
      <c r="U1836">
        <f t="shared" si="544"/>
        <v>0</v>
      </c>
      <c r="V1836">
        <f t="shared" si="545"/>
        <v>0</v>
      </c>
      <c r="W1836" t="s">
        <v>58</v>
      </c>
      <c r="X1836">
        <f t="shared" si="546"/>
        <v>0</v>
      </c>
      <c r="Y1836">
        <f t="shared" si="547"/>
        <v>1</v>
      </c>
      <c r="Z1836">
        <v>4</v>
      </c>
      <c r="AA1836">
        <f t="shared" si="548"/>
        <v>0.75</v>
      </c>
      <c r="AB1836" t="s">
        <v>40</v>
      </c>
      <c r="AC1836">
        <f t="shared" si="549"/>
        <v>1</v>
      </c>
      <c r="AD1836">
        <f t="shared" si="550"/>
        <v>0</v>
      </c>
      <c r="AE1836" t="s">
        <v>50</v>
      </c>
      <c r="AF1836">
        <f>IF(AE1836="website",1,0)</f>
        <v>0</v>
      </c>
    </row>
    <row r="1837" spans="1:32">
      <c r="A1837" t="s">
        <v>2489</v>
      </c>
      <c r="B1837" t="s">
        <v>33</v>
      </c>
      <c r="C1837" s="3">
        <f t="shared" si="532"/>
        <v>0</v>
      </c>
      <c r="D1837">
        <f t="shared" si="533"/>
        <v>1</v>
      </c>
      <c r="E1837" t="s">
        <v>782</v>
      </c>
      <c r="F1837" t="s">
        <v>669</v>
      </c>
      <c r="G1837" s="1">
        <v>22197</v>
      </c>
      <c r="H1837" s="2">
        <f t="shared" ca="1" si="534"/>
        <v>65</v>
      </c>
      <c r="I1837" s="2">
        <f t="shared" ca="1" si="535"/>
        <v>0.5714285714285714</v>
      </c>
      <c r="J1837" t="s">
        <v>36</v>
      </c>
      <c r="K1837" t="s">
        <v>37</v>
      </c>
      <c r="L1837">
        <f t="shared" si="536"/>
        <v>1</v>
      </c>
      <c r="M1837">
        <f t="shared" si="537"/>
        <v>0</v>
      </c>
      <c r="N1837">
        <f t="shared" si="538"/>
        <v>0</v>
      </c>
      <c r="O1837" t="s">
        <v>38</v>
      </c>
      <c r="P1837">
        <f t="shared" si="539"/>
        <v>1</v>
      </c>
      <c r="Q1837">
        <f t="shared" si="540"/>
        <v>0</v>
      </c>
      <c r="R1837">
        <f t="shared" si="541"/>
        <v>0</v>
      </c>
      <c r="S1837">
        <f t="shared" si="542"/>
        <v>0</v>
      </c>
      <c r="T1837">
        <f t="shared" si="543"/>
        <v>0</v>
      </c>
      <c r="U1837">
        <f t="shared" si="544"/>
        <v>0</v>
      </c>
      <c r="V1837">
        <f t="shared" si="545"/>
        <v>0</v>
      </c>
      <c r="W1837" t="s">
        <v>58</v>
      </c>
      <c r="X1837">
        <f t="shared" si="546"/>
        <v>0</v>
      </c>
      <c r="Y1837">
        <f t="shared" si="547"/>
        <v>1</v>
      </c>
      <c r="Z1837">
        <v>1</v>
      </c>
      <c r="AA1837">
        <f t="shared" si="548"/>
        <v>0</v>
      </c>
      <c r="AB1837" t="s">
        <v>40</v>
      </c>
      <c r="AC1837">
        <f t="shared" si="549"/>
        <v>0</v>
      </c>
      <c r="AD1837">
        <f t="shared" si="550"/>
        <v>0</v>
      </c>
      <c r="AE1837" t="s">
        <v>41</v>
      </c>
      <c r="AF1837">
        <f>IF(AE1837="website",1,0)</f>
        <v>1</v>
      </c>
    </row>
    <row r="1838" spans="1:32">
      <c r="A1838" t="s">
        <v>2490</v>
      </c>
      <c r="B1838" t="s">
        <v>33</v>
      </c>
      <c r="C1838" s="3">
        <f t="shared" si="532"/>
        <v>0</v>
      </c>
      <c r="D1838">
        <f t="shared" si="533"/>
        <v>1</v>
      </c>
      <c r="E1838" t="s">
        <v>699</v>
      </c>
      <c r="F1838" t="s">
        <v>757</v>
      </c>
      <c r="G1838" s="1">
        <v>18359</v>
      </c>
      <c r="H1838" s="2">
        <f t="shared" ca="1" si="534"/>
        <v>76</v>
      </c>
      <c r="I1838" s="2">
        <f t="shared" ca="1" si="535"/>
        <v>0.72857142857142854</v>
      </c>
      <c r="J1838" t="s">
        <v>36</v>
      </c>
      <c r="K1838" t="s">
        <v>37</v>
      </c>
      <c r="L1838">
        <f t="shared" si="536"/>
        <v>1</v>
      </c>
      <c r="M1838">
        <f t="shared" si="537"/>
        <v>0</v>
      </c>
      <c r="N1838">
        <f t="shared" si="538"/>
        <v>0</v>
      </c>
      <c r="O1838" t="s">
        <v>38</v>
      </c>
      <c r="P1838">
        <f t="shared" si="539"/>
        <v>1</v>
      </c>
      <c r="Q1838">
        <f t="shared" si="540"/>
        <v>0</v>
      </c>
      <c r="R1838">
        <f t="shared" si="541"/>
        <v>0</v>
      </c>
      <c r="S1838">
        <f t="shared" si="542"/>
        <v>0</v>
      </c>
      <c r="T1838">
        <f t="shared" si="543"/>
        <v>0</v>
      </c>
      <c r="U1838">
        <f t="shared" si="544"/>
        <v>0</v>
      </c>
      <c r="V1838">
        <f t="shared" si="545"/>
        <v>0</v>
      </c>
      <c r="W1838" t="s">
        <v>39</v>
      </c>
      <c r="X1838">
        <f t="shared" si="546"/>
        <v>1</v>
      </c>
      <c r="Y1838">
        <f t="shared" si="547"/>
        <v>0</v>
      </c>
      <c r="Z1838">
        <v>2</v>
      </c>
      <c r="AA1838">
        <f t="shared" si="548"/>
        <v>0.25</v>
      </c>
      <c r="AB1838" t="s">
        <v>40</v>
      </c>
      <c r="AC1838">
        <f t="shared" si="549"/>
        <v>0</v>
      </c>
      <c r="AD1838">
        <f t="shared" si="550"/>
        <v>1</v>
      </c>
      <c r="AE1838" t="s">
        <v>90</v>
      </c>
      <c r="AF1838">
        <f>IF(AE1838="website",1,0)</f>
        <v>0</v>
      </c>
    </row>
    <row r="1839" spans="1:32">
      <c r="A1839" t="s">
        <v>2491</v>
      </c>
      <c r="B1839" t="s">
        <v>33</v>
      </c>
      <c r="C1839" s="3">
        <f t="shared" si="532"/>
        <v>0</v>
      </c>
      <c r="D1839">
        <f t="shared" si="533"/>
        <v>1</v>
      </c>
      <c r="E1839" t="s">
        <v>647</v>
      </c>
      <c r="F1839" t="s">
        <v>730</v>
      </c>
      <c r="G1839" s="1">
        <v>23756</v>
      </c>
      <c r="H1839" s="2">
        <f t="shared" ca="1" si="534"/>
        <v>61</v>
      </c>
      <c r="I1839" s="2">
        <f t="shared" ca="1" si="535"/>
        <v>0.51428571428571423</v>
      </c>
      <c r="J1839" t="s">
        <v>36</v>
      </c>
      <c r="K1839" t="s">
        <v>65</v>
      </c>
      <c r="L1839">
        <f t="shared" si="536"/>
        <v>0</v>
      </c>
      <c r="M1839">
        <f t="shared" si="537"/>
        <v>1</v>
      </c>
      <c r="N1839">
        <f t="shared" si="538"/>
        <v>0</v>
      </c>
      <c r="O1839" t="s">
        <v>843</v>
      </c>
      <c r="P1839">
        <f t="shared" si="539"/>
        <v>0</v>
      </c>
      <c r="Q1839">
        <f t="shared" si="540"/>
        <v>0</v>
      </c>
      <c r="R1839">
        <f t="shared" si="541"/>
        <v>0</v>
      </c>
      <c r="S1839">
        <f t="shared" si="542"/>
        <v>0</v>
      </c>
      <c r="T1839">
        <f t="shared" si="543"/>
        <v>0</v>
      </c>
      <c r="U1839">
        <f t="shared" si="544"/>
        <v>0</v>
      </c>
      <c r="V1839">
        <f t="shared" si="545"/>
        <v>0</v>
      </c>
      <c r="W1839" t="s">
        <v>58</v>
      </c>
      <c r="X1839">
        <f t="shared" si="546"/>
        <v>0</v>
      </c>
      <c r="Y1839">
        <f t="shared" si="547"/>
        <v>1</v>
      </c>
      <c r="Z1839">
        <v>1</v>
      </c>
      <c r="AA1839">
        <f t="shared" si="548"/>
        <v>0</v>
      </c>
      <c r="AB1839" t="s">
        <v>46</v>
      </c>
      <c r="AC1839">
        <f t="shared" si="549"/>
        <v>1</v>
      </c>
      <c r="AD1839">
        <f t="shared" si="550"/>
        <v>0</v>
      </c>
      <c r="AE1839" t="s">
        <v>50</v>
      </c>
      <c r="AF1839">
        <f>IF(AE1839="website",1,0)</f>
        <v>0</v>
      </c>
    </row>
    <row r="1840" spans="1:32">
      <c r="A1840" t="s">
        <v>2492</v>
      </c>
      <c r="B1840" t="s">
        <v>33</v>
      </c>
      <c r="C1840" s="3">
        <f t="shared" si="532"/>
        <v>0</v>
      </c>
      <c r="D1840">
        <f t="shared" si="533"/>
        <v>1</v>
      </c>
      <c r="E1840" t="s">
        <v>655</v>
      </c>
      <c r="F1840" t="s">
        <v>656</v>
      </c>
      <c r="G1840" s="1">
        <v>15727</v>
      </c>
      <c r="H1840" s="2">
        <f t="shared" ca="1" si="534"/>
        <v>83</v>
      </c>
      <c r="I1840" s="2">
        <f t="shared" ca="1" si="535"/>
        <v>0.82857142857142863</v>
      </c>
      <c r="J1840" t="s">
        <v>45</v>
      </c>
      <c r="K1840" t="s">
        <v>37</v>
      </c>
      <c r="L1840">
        <f t="shared" si="536"/>
        <v>1</v>
      </c>
      <c r="M1840">
        <f t="shared" si="537"/>
        <v>0</v>
      </c>
      <c r="N1840">
        <f t="shared" si="538"/>
        <v>0</v>
      </c>
      <c r="O1840" t="s">
        <v>38</v>
      </c>
      <c r="P1840">
        <f t="shared" si="539"/>
        <v>1</v>
      </c>
      <c r="Q1840">
        <f t="shared" si="540"/>
        <v>0</v>
      </c>
      <c r="R1840">
        <f t="shared" si="541"/>
        <v>0</v>
      </c>
      <c r="S1840">
        <f t="shared" si="542"/>
        <v>0</v>
      </c>
      <c r="T1840">
        <f t="shared" si="543"/>
        <v>0</v>
      </c>
      <c r="U1840">
        <f t="shared" si="544"/>
        <v>0</v>
      </c>
      <c r="V1840">
        <f t="shared" si="545"/>
        <v>0</v>
      </c>
      <c r="W1840" t="s">
        <v>58</v>
      </c>
      <c r="X1840">
        <f t="shared" si="546"/>
        <v>0</v>
      </c>
      <c r="Y1840">
        <f t="shared" si="547"/>
        <v>1</v>
      </c>
      <c r="Z1840">
        <v>2</v>
      </c>
      <c r="AA1840">
        <f t="shared" si="548"/>
        <v>0.25</v>
      </c>
      <c r="AB1840" t="s">
        <v>46</v>
      </c>
      <c r="AC1840">
        <f t="shared" si="549"/>
        <v>1</v>
      </c>
      <c r="AD1840">
        <f t="shared" si="550"/>
        <v>0</v>
      </c>
      <c r="AE1840" t="s">
        <v>50</v>
      </c>
      <c r="AF1840">
        <f>IF(AE1840="website",1,0)</f>
        <v>0</v>
      </c>
    </row>
    <row r="1841" spans="1:32">
      <c r="A1841" t="s">
        <v>2493</v>
      </c>
      <c r="B1841" t="s">
        <v>33</v>
      </c>
      <c r="C1841" s="3">
        <f t="shared" si="532"/>
        <v>0</v>
      </c>
      <c r="D1841">
        <f t="shared" si="533"/>
        <v>1</v>
      </c>
      <c r="E1841" t="s">
        <v>722</v>
      </c>
      <c r="F1841" t="s">
        <v>552</v>
      </c>
      <c r="G1841" s="1">
        <v>31585</v>
      </c>
      <c r="H1841" s="2">
        <f t="shared" ca="1" si="534"/>
        <v>40</v>
      </c>
      <c r="I1841" s="2">
        <f t="shared" ca="1" si="535"/>
        <v>0.21428571428571427</v>
      </c>
      <c r="J1841" t="s">
        <v>45</v>
      </c>
      <c r="K1841" t="s">
        <v>248</v>
      </c>
      <c r="L1841">
        <f t="shared" si="536"/>
        <v>0</v>
      </c>
      <c r="M1841">
        <f t="shared" si="537"/>
        <v>0</v>
      </c>
      <c r="N1841">
        <f t="shared" si="538"/>
        <v>0</v>
      </c>
      <c r="O1841" t="s">
        <v>582</v>
      </c>
      <c r="P1841">
        <f t="shared" si="539"/>
        <v>0</v>
      </c>
      <c r="Q1841">
        <f t="shared" si="540"/>
        <v>0</v>
      </c>
      <c r="R1841">
        <f t="shared" si="541"/>
        <v>0</v>
      </c>
      <c r="S1841">
        <f t="shared" si="542"/>
        <v>0</v>
      </c>
      <c r="T1841">
        <f t="shared" si="543"/>
        <v>0</v>
      </c>
      <c r="U1841">
        <f t="shared" si="544"/>
        <v>0</v>
      </c>
      <c r="V1841">
        <f t="shared" si="545"/>
        <v>0</v>
      </c>
      <c r="W1841" t="s">
        <v>58</v>
      </c>
      <c r="X1841">
        <f t="shared" si="546"/>
        <v>0</v>
      </c>
      <c r="Y1841">
        <f t="shared" si="547"/>
        <v>1</v>
      </c>
      <c r="Z1841">
        <v>3</v>
      </c>
      <c r="AA1841">
        <f t="shared" si="548"/>
        <v>0.5</v>
      </c>
      <c r="AB1841" t="s">
        <v>46</v>
      </c>
      <c r="AC1841">
        <f t="shared" si="549"/>
        <v>0</v>
      </c>
      <c r="AD1841">
        <f t="shared" si="550"/>
        <v>0</v>
      </c>
      <c r="AE1841" t="s">
        <v>41</v>
      </c>
      <c r="AF1841">
        <f>IF(AE1841="website",1,0)</f>
        <v>1</v>
      </c>
    </row>
    <row r="1842" spans="1:32">
      <c r="A1842" t="s">
        <v>2494</v>
      </c>
      <c r="B1842" t="s">
        <v>33</v>
      </c>
      <c r="C1842" s="3">
        <f t="shared" si="532"/>
        <v>0</v>
      </c>
      <c r="D1842">
        <f t="shared" si="533"/>
        <v>1</v>
      </c>
      <c r="E1842" t="s">
        <v>1023</v>
      </c>
      <c r="F1842" t="s">
        <v>579</v>
      </c>
      <c r="G1842" s="1">
        <v>17314</v>
      </c>
      <c r="H1842" s="2">
        <f t="shared" ca="1" si="534"/>
        <v>79</v>
      </c>
      <c r="I1842" s="2">
        <f t="shared" ca="1" si="535"/>
        <v>0.77142857142857146</v>
      </c>
      <c r="J1842" t="s">
        <v>45</v>
      </c>
      <c r="K1842" t="s">
        <v>37</v>
      </c>
      <c r="L1842">
        <f t="shared" si="536"/>
        <v>1</v>
      </c>
      <c r="M1842">
        <f t="shared" si="537"/>
        <v>0</v>
      </c>
      <c r="N1842">
        <f t="shared" si="538"/>
        <v>0</v>
      </c>
      <c r="O1842" t="s">
        <v>717</v>
      </c>
      <c r="P1842">
        <f t="shared" si="539"/>
        <v>0</v>
      </c>
      <c r="Q1842">
        <f t="shared" si="540"/>
        <v>0</v>
      </c>
      <c r="R1842">
        <f t="shared" si="541"/>
        <v>0</v>
      </c>
      <c r="S1842">
        <f t="shared" si="542"/>
        <v>0</v>
      </c>
      <c r="T1842">
        <f t="shared" si="543"/>
        <v>0</v>
      </c>
      <c r="U1842">
        <f t="shared" si="544"/>
        <v>0</v>
      </c>
      <c r="V1842">
        <f t="shared" si="545"/>
        <v>0</v>
      </c>
      <c r="W1842" t="s">
        <v>39</v>
      </c>
      <c r="X1842">
        <f t="shared" si="546"/>
        <v>1</v>
      </c>
      <c r="Y1842">
        <f t="shared" si="547"/>
        <v>0</v>
      </c>
      <c r="Z1842">
        <v>4</v>
      </c>
      <c r="AA1842">
        <f t="shared" si="548"/>
        <v>0.75</v>
      </c>
      <c r="AB1842" t="s">
        <v>46</v>
      </c>
      <c r="AC1842">
        <f t="shared" si="549"/>
        <v>0</v>
      </c>
      <c r="AD1842">
        <f t="shared" si="550"/>
        <v>0</v>
      </c>
      <c r="AE1842" t="s">
        <v>41</v>
      </c>
      <c r="AF1842">
        <f>IF(AE1842="website",1,0)</f>
        <v>1</v>
      </c>
    </row>
    <row r="1843" spans="1:32">
      <c r="A1843" t="s">
        <v>2495</v>
      </c>
      <c r="B1843" t="s">
        <v>55</v>
      </c>
      <c r="C1843" s="3">
        <f t="shared" si="532"/>
        <v>1</v>
      </c>
      <c r="D1843">
        <f t="shared" si="533"/>
        <v>0</v>
      </c>
      <c r="E1843" t="s">
        <v>1422</v>
      </c>
      <c r="F1843" t="s">
        <v>57</v>
      </c>
      <c r="G1843" s="1">
        <v>28771</v>
      </c>
      <c r="H1843" s="2">
        <f t="shared" ca="1" si="534"/>
        <v>47</v>
      </c>
      <c r="I1843" s="2">
        <f t="shared" ca="1" si="535"/>
        <v>0.31428571428571428</v>
      </c>
      <c r="J1843" t="s">
        <v>45</v>
      </c>
      <c r="K1843" t="s">
        <v>65</v>
      </c>
      <c r="L1843">
        <f t="shared" si="536"/>
        <v>0</v>
      </c>
      <c r="M1843">
        <f t="shared" si="537"/>
        <v>1</v>
      </c>
      <c r="N1843">
        <f t="shared" si="538"/>
        <v>0</v>
      </c>
      <c r="O1843" t="s">
        <v>843</v>
      </c>
      <c r="P1843">
        <f t="shared" si="539"/>
        <v>0</v>
      </c>
      <c r="Q1843">
        <f t="shared" si="540"/>
        <v>0</v>
      </c>
      <c r="R1843">
        <f t="shared" si="541"/>
        <v>0</v>
      </c>
      <c r="S1843">
        <f t="shared" si="542"/>
        <v>0</v>
      </c>
      <c r="T1843">
        <f t="shared" si="543"/>
        <v>0</v>
      </c>
      <c r="U1843">
        <f t="shared" si="544"/>
        <v>0</v>
      </c>
      <c r="V1843">
        <f t="shared" si="545"/>
        <v>0</v>
      </c>
      <c r="W1843" t="s">
        <v>39</v>
      </c>
      <c r="X1843">
        <f t="shared" si="546"/>
        <v>1</v>
      </c>
      <c r="Y1843">
        <f t="shared" si="547"/>
        <v>0</v>
      </c>
      <c r="Z1843">
        <v>3</v>
      </c>
      <c r="AA1843">
        <f t="shared" si="548"/>
        <v>0.5</v>
      </c>
      <c r="AB1843" t="s">
        <v>40</v>
      </c>
      <c r="AC1843">
        <f t="shared" si="549"/>
        <v>1</v>
      </c>
      <c r="AD1843">
        <f t="shared" si="550"/>
        <v>0</v>
      </c>
      <c r="AE1843" t="s">
        <v>50</v>
      </c>
      <c r="AF1843">
        <f>IF(AE1843="website",1,0)</f>
        <v>0</v>
      </c>
    </row>
    <row r="1844" spans="1:32">
      <c r="A1844" t="s">
        <v>2496</v>
      </c>
      <c r="B1844" t="s">
        <v>33</v>
      </c>
      <c r="C1844" s="3">
        <f t="shared" si="532"/>
        <v>0</v>
      </c>
      <c r="D1844">
        <f t="shared" si="533"/>
        <v>1</v>
      </c>
      <c r="E1844" t="s">
        <v>609</v>
      </c>
      <c r="F1844" t="s">
        <v>691</v>
      </c>
      <c r="G1844" s="1">
        <v>19163</v>
      </c>
      <c r="H1844" s="2">
        <f t="shared" ca="1" si="534"/>
        <v>74</v>
      </c>
      <c r="I1844" s="2">
        <f t="shared" ca="1" si="535"/>
        <v>0.7</v>
      </c>
      <c r="J1844" t="s">
        <v>45</v>
      </c>
      <c r="K1844" t="s">
        <v>113</v>
      </c>
      <c r="L1844">
        <f t="shared" si="536"/>
        <v>0</v>
      </c>
      <c r="M1844">
        <f t="shared" si="537"/>
        <v>0</v>
      </c>
      <c r="N1844">
        <f t="shared" si="538"/>
        <v>1</v>
      </c>
      <c r="O1844" t="s">
        <v>891</v>
      </c>
      <c r="P1844">
        <f t="shared" si="539"/>
        <v>0</v>
      </c>
      <c r="Q1844">
        <f t="shared" si="540"/>
        <v>0</v>
      </c>
      <c r="R1844">
        <f t="shared" si="541"/>
        <v>0</v>
      </c>
      <c r="S1844">
        <f t="shared" si="542"/>
        <v>0</v>
      </c>
      <c r="T1844">
        <f t="shared" si="543"/>
        <v>0</v>
      </c>
      <c r="U1844">
        <f t="shared" si="544"/>
        <v>0</v>
      </c>
      <c r="V1844">
        <f t="shared" si="545"/>
        <v>0</v>
      </c>
      <c r="W1844" t="s">
        <v>39</v>
      </c>
      <c r="X1844">
        <f t="shared" si="546"/>
        <v>1</v>
      </c>
      <c r="Y1844">
        <f t="shared" si="547"/>
        <v>0</v>
      </c>
      <c r="Z1844">
        <v>4</v>
      </c>
      <c r="AA1844">
        <f t="shared" si="548"/>
        <v>0.75</v>
      </c>
      <c r="AB1844" t="s">
        <v>46</v>
      </c>
      <c r="AC1844">
        <f t="shared" si="549"/>
        <v>0</v>
      </c>
      <c r="AD1844">
        <f t="shared" si="550"/>
        <v>0</v>
      </c>
      <c r="AE1844" t="s">
        <v>41</v>
      </c>
      <c r="AF1844">
        <f>IF(AE1844="website",1,0)</f>
        <v>1</v>
      </c>
    </row>
    <row r="1845" spans="1:32">
      <c r="A1845" t="s">
        <v>2497</v>
      </c>
      <c r="B1845" t="s">
        <v>33</v>
      </c>
      <c r="C1845" s="3">
        <f t="shared" si="532"/>
        <v>0</v>
      </c>
      <c r="D1845">
        <f t="shared" si="533"/>
        <v>1</v>
      </c>
      <c r="E1845" t="s">
        <v>317</v>
      </c>
      <c r="F1845" t="s">
        <v>339</v>
      </c>
      <c r="G1845" s="1">
        <v>28692</v>
      </c>
      <c r="H1845" s="2">
        <f t="shared" ca="1" si="534"/>
        <v>48</v>
      </c>
      <c r="I1845" s="2">
        <f t="shared" ca="1" si="535"/>
        <v>0.32857142857142857</v>
      </c>
      <c r="J1845" t="s">
        <v>36</v>
      </c>
      <c r="K1845" t="s">
        <v>37</v>
      </c>
      <c r="L1845">
        <f t="shared" si="536"/>
        <v>1</v>
      </c>
      <c r="M1845">
        <f t="shared" si="537"/>
        <v>0</v>
      </c>
      <c r="N1845">
        <f t="shared" si="538"/>
        <v>0</v>
      </c>
      <c r="O1845" t="s">
        <v>559</v>
      </c>
      <c r="P1845">
        <f t="shared" si="539"/>
        <v>0</v>
      </c>
      <c r="Q1845">
        <f t="shared" si="540"/>
        <v>0</v>
      </c>
      <c r="R1845">
        <f t="shared" si="541"/>
        <v>0</v>
      </c>
      <c r="S1845">
        <f t="shared" si="542"/>
        <v>0</v>
      </c>
      <c r="T1845">
        <f t="shared" si="543"/>
        <v>0</v>
      </c>
      <c r="U1845">
        <f t="shared" si="544"/>
        <v>0</v>
      </c>
      <c r="V1845">
        <f t="shared" si="545"/>
        <v>0</v>
      </c>
      <c r="W1845" t="s">
        <v>39</v>
      </c>
      <c r="X1845">
        <f t="shared" si="546"/>
        <v>1</v>
      </c>
      <c r="Y1845">
        <f t="shared" si="547"/>
        <v>0</v>
      </c>
      <c r="Z1845">
        <v>1</v>
      </c>
      <c r="AA1845">
        <f t="shared" si="548"/>
        <v>0</v>
      </c>
      <c r="AB1845" t="s">
        <v>46</v>
      </c>
      <c r="AC1845">
        <f t="shared" si="549"/>
        <v>1</v>
      </c>
      <c r="AD1845">
        <f t="shared" si="550"/>
        <v>0</v>
      </c>
      <c r="AE1845" t="s">
        <v>50</v>
      </c>
      <c r="AF1845">
        <f>IF(AE1845="website",1,0)</f>
        <v>0</v>
      </c>
    </row>
    <row r="1846" spans="1:32">
      <c r="A1846" t="s">
        <v>2498</v>
      </c>
      <c r="B1846" t="s">
        <v>33</v>
      </c>
      <c r="C1846" s="3">
        <f t="shared" si="532"/>
        <v>0</v>
      </c>
      <c r="D1846">
        <f t="shared" si="533"/>
        <v>1</v>
      </c>
      <c r="E1846" t="s">
        <v>910</v>
      </c>
      <c r="F1846" t="s">
        <v>554</v>
      </c>
      <c r="G1846" s="1">
        <v>18152</v>
      </c>
      <c r="H1846" s="2">
        <f t="shared" ca="1" si="534"/>
        <v>77</v>
      </c>
      <c r="I1846" s="2">
        <f t="shared" ca="1" si="535"/>
        <v>0.74285714285714288</v>
      </c>
      <c r="J1846" t="s">
        <v>45</v>
      </c>
      <c r="K1846" t="s">
        <v>37</v>
      </c>
      <c r="L1846">
        <f t="shared" si="536"/>
        <v>1</v>
      </c>
      <c r="M1846">
        <f t="shared" si="537"/>
        <v>0</v>
      </c>
      <c r="N1846">
        <f t="shared" si="538"/>
        <v>0</v>
      </c>
      <c r="O1846" t="s">
        <v>38</v>
      </c>
      <c r="P1846">
        <f t="shared" si="539"/>
        <v>1</v>
      </c>
      <c r="Q1846">
        <f t="shared" si="540"/>
        <v>0</v>
      </c>
      <c r="R1846">
        <f t="shared" si="541"/>
        <v>0</v>
      </c>
      <c r="S1846">
        <f t="shared" si="542"/>
        <v>0</v>
      </c>
      <c r="T1846">
        <f t="shared" si="543"/>
        <v>0</v>
      </c>
      <c r="U1846">
        <f t="shared" si="544"/>
        <v>0</v>
      </c>
      <c r="V1846">
        <f t="shared" si="545"/>
        <v>0</v>
      </c>
      <c r="W1846" t="s">
        <v>58</v>
      </c>
      <c r="X1846">
        <f t="shared" si="546"/>
        <v>0</v>
      </c>
      <c r="Y1846">
        <f t="shared" si="547"/>
        <v>1</v>
      </c>
      <c r="Z1846">
        <v>1</v>
      </c>
      <c r="AA1846">
        <f t="shared" si="548"/>
        <v>0</v>
      </c>
      <c r="AB1846" t="s">
        <v>40</v>
      </c>
      <c r="AC1846">
        <f t="shared" si="549"/>
        <v>0</v>
      </c>
      <c r="AD1846">
        <f t="shared" si="550"/>
        <v>0</v>
      </c>
      <c r="AE1846" t="s">
        <v>41</v>
      </c>
      <c r="AF1846">
        <f>IF(AE1846="website",1,0)</f>
        <v>1</v>
      </c>
    </row>
    <row r="1847" spans="1:32">
      <c r="A1847" t="s">
        <v>2499</v>
      </c>
      <c r="B1847" t="s">
        <v>33</v>
      </c>
      <c r="C1847" s="3">
        <f t="shared" si="532"/>
        <v>0</v>
      </c>
      <c r="D1847">
        <f t="shared" si="533"/>
        <v>1</v>
      </c>
      <c r="E1847" t="s">
        <v>759</v>
      </c>
      <c r="F1847" t="s">
        <v>720</v>
      </c>
      <c r="G1847" s="1">
        <v>31346</v>
      </c>
      <c r="H1847" s="2">
        <f t="shared" ca="1" si="534"/>
        <v>40</v>
      </c>
      <c r="I1847" s="2">
        <f t="shared" ca="1" si="535"/>
        <v>0.21428571428571427</v>
      </c>
      <c r="J1847" t="s">
        <v>36</v>
      </c>
      <c r="K1847" t="s">
        <v>172</v>
      </c>
      <c r="L1847">
        <f t="shared" si="536"/>
        <v>0</v>
      </c>
      <c r="M1847">
        <f t="shared" si="537"/>
        <v>0</v>
      </c>
      <c r="N1847">
        <f t="shared" si="538"/>
        <v>0</v>
      </c>
      <c r="O1847" t="s">
        <v>459</v>
      </c>
      <c r="P1847">
        <f t="shared" si="539"/>
        <v>0</v>
      </c>
      <c r="Q1847">
        <f t="shared" si="540"/>
        <v>0</v>
      </c>
      <c r="R1847">
        <f t="shared" si="541"/>
        <v>0</v>
      </c>
      <c r="S1847">
        <f t="shared" si="542"/>
        <v>0</v>
      </c>
      <c r="T1847">
        <f t="shared" si="543"/>
        <v>0</v>
      </c>
      <c r="U1847">
        <f t="shared" si="544"/>
        <v>0</v>
      </c>
      <c r="V1847">
        <f t="shared" si="545"/>
        <v>0</v>
      </c>
      <c r="W1847" t="s">
        <v>39</v>
      </c>
      <c r="X1847">
        <f t="shared" si="546"/>
        <v>1</v>
      </c>
      <c r="Y1847">
        <f t="shared" si="547"/>
        <v>0</v>
      </c>
      <c r="Z1847">
        <v>5</v>
      </c>
      <c r="AA1847">
        <f t="shared" si="548"/>
        <v>1</v>
      </c>
      <c r="AB1847" t="s">
        <v>40</v>
      </c>
      <c r="AC1847">
        <f t="shared" si="549"/>
        <v>1</v>
      </c>
      <c r="AD1847">
        <f t="shared" si="550"/>
        <v>0</v>
      </c>
      <c r="AE1847" t="s">
        <v>50</v>
      </c>
      <c r="AF1847">
        <f>IF(AE1847="website",1,0)</f>
        <v>0</v>
      </c>
    </row>
    <row r="1848" spans="1:32">
      <c r="A1848" t="s">
        <v>2500</v>
      </c>
      <c r="B1848" t="s">
        <v>33</v>
      </c>
      <c r="C1848" s="3">
        <f t="shared" si="532"/>
        <v>0</v>
      </c>
      <c r="D1848">
        <f t="shared" si="533"/>
        <v>1</v>
      </c>
      <c r="E1848" t="s">
        <v>986</v>
      </c>
      <c r="F1848" t="s">
        <v>928</v>
      </c>
      <c r="G1848" s="1">
        <v>19085</v>
      </c>
      <c r="H1848" s="2">
        <f t="shared" ca="1" si="534"/>
        <v>74</v>
      </c>
      <c r="I1848" s="2">
        <f t="shared" ca="1" si="535"/>
        <v>0.7</v>
      </c>
      <c r="J1848" t="s">
        <v>45</v>
      </c>
      <c r="K1848" t="s">
        <v>37</v>
      </c>
      <c r="L1848">
        <f t="shared" si="536"/>
        <v>1</v>
      </c>
      <c r="M1848">
        <f t="shared" si="537"/>
        <v>0</v>
      </c>
      <c r="N1848">
        <f t="shared" si="538"/>
        <v>0</v>
      </c>
      <c r="O1848" t="s">
        <v>183</v>
      </c>
      <c r="P1848">
        <f t="shared" si="539"/>
        <v>0</v>
      </c>
      <c r="Q1848">
        <f t="shared" si="540"/>
        <v>0</v>
      </c>
      <c r="R1848">
        <f t="shared" si="541"/>
        <v>0</v>
      </c>
      <c r="S1848">
        <f t="shared" si="542"/>
        <v>0</v>
      </c>
      <c r="T1848">
        <f t="shared" si="543"/>
        <v>0</v>
      </c>
      <c r="U1848">
        <f t="shared" si="544"/>
        <v>0</v>
      </c>
      <c r="V1848">
        <f t="shared" si="545"/>
        <v>0</v>
      </c>
      <c r="W1848" t="s">
        <v>39</v>
      </c>
      <c r="X1848">
        <f t="shared" si="546"/>
        <v>1</v>
      </c>
      <c r="Y1848">
        <f t="shared" si="547"/>
        <v>0</v>
      </c>
      <c r="Z1848">
        <v>4</v>
      </c>
      <c r="AA1848">
        <f t="shared" si="548"/>
        <v>0.75</v>
      </c>
      <c r="AB1848" t="s">
        <v>46</v>
      </c>
      <c r="AC1848">
        <f t="shared" si="549"/>
        <v>0</v>
      </c>
      <c r="AD1848">
        <f t="shared" si="550"/>
        <v>0</v>
      </c>
      <c r="AE1848" t="s">
        <v>41</v>
      </c>
      <c r="AF1848">
        <f>IF(AE1848="website",1,0)</f>
        <v>1</v>
      </c>
    </row>
    <row r="1849" spans="1:32">
      <c r="A1849" t="s">
        <v>2501</v>
      </c>
      <c r="B1849" t="s">
        <v>33</v>
      </c>
      <c r="C1849" s="3">
        <f t="shared" si="532"/>
        <v>0</v>
      </c>
      <c r="D1849">
        <f t="shared" si="533"/>
        <v>1</v>
      </c>
      <c r="E1849" t="s">
        <v>581</v>
      </c>
      <c r="F1849" t="s">
        <v>840</v>
      </c>
      <c r="G1849" s="1">
        <v>34167</v>
      </c>
      <c r="H1849" s="2">
        <f t="shared" ca="1" si="534"/>
        <v>33</v>
      </c>
      <c r="I1849" s="2">
        <f t="shared" ca="1" si="535"/>
        <v>0.11428571428571428</v>
      </c>
      <c r="J1849" t="s">
        <v>36</v>
      </c>
      <c r="K1849" t="s">
        <v>37</v>
      </c>
      <c r="L1849">
        <f t="shared" si="536"/>
        <v>1</v>
      </c>
      <c r="M1849">
        <f t="shared" si="537"/>
        <v>0</v>
      </c>
      <c r="N1849">
        <f t="shared" si="538"/>
        <v>0</v>
      </c>
      <c r="O1849" t="s">
        <v>38</v>
      </c>
      <c r="P1849">
        <f t="shared" si="539"/>
        <v>1</v>
      </c>
      <c r="Q1849">
        <f t="shared" si="540"/>
        <v>0</v>
      </c>
      <c r="R1849">
        <f t="shared" si="541"/>
        <v>0</v>
      </c>
      <c r="S1849">
        <f t="shared" si="542"/>
        <v>0</v>
      </c>
      <c r="T1849">
        <f t="shared" si="543"/>
        <v>0</v>
      </c>
      <c r="U1849">
        <f t="shared" si="544"/>
        <v>0</v>
      </c>
      <c r="V1849">
        <f t="shared" si="545"/>
        <v>0</v>
      </c>
      <c r="W1849" t="s">
        <v>39</v>
      </c>
      <c r="X1849">
        <f t="shared" si="546"/>
        <v>1</v>
      </c>
      <c r="Y1849">
        <f t="shared" si="547"/>
        <v>0</v>
      </c>
      <c r="Z1849">
        <v>2</v>
      </c>
      <c r="AA1849">
        <f t="shared" si="548"/>
        <v>0.25</v>
      </c>
      <c r="AB1849" t="s">
        <v>46</v>
      </c>
      <c r="AC1849">
        <f t="shared" si="549"/>
        <v>0</v>
      </c>
      <c r="AD1849">
        <f t="shared" si="550"/>
        <v>0</v>
      </c>
      <c r="AE1849" t="s">
        <v>41</v>
      </c>
      <c r="AF1849">
        <f>IF(AE1849="website",1,0)</f>
        <v>1</v>
      </c>
    </row>
    <row r="1850" spans="1:32">
      <c r="A1850" t="s">
        <v>2502</v>
      </c>
      <c r="B1850" t="s">
        <v>33</v>
      </c>
      <c r="C1850" s="3">
        <f t="shared" si="532"/>
        <v>0</v>
      </c>
      <c r="D1850">
        <f t="shared" si="533"/>
        <v>1</v>
      </c>
      <c r="E1850" t="s">
        <v>126</v>
      </c>
      <c r="F1850" t="s">
        <v>571</v>
      </c>
      <c r="G1850" s="1">
        <v>28005</v>
      </c>
      <c r="H1850" s="2">
        <f t="shared" ca="1" si="534"/>
        <v>50</v>
      </c>
      <c r="I1850" s="2">
        <f t="shared" ca="1" si="535"/>
        <v>0.35714285714285715</v>
      </c>
      <c r="J1850" t="s">
        <v>45</v>
      </c>
      <c r="K1850" t="s">
        <v>65</v>
      </c>
      <c r="L1850">
        <f t="shared" si="536"/>
        <v>0</v>
      </c>
      <c r="M1850">
        <f t="shared" si="537"/>
        <v>1</v>
      </c>
      <c r="N1850">
        <f t="shared" si="538"/>
        <v>0</v>
      </c>
      <c r="O1850" t="s">
        <v>843</v>
      </c>
      <c r="P1850">
        <f t="shared" si="539"/>
        <v>0</v>
      </c>
      <c r="Q1850">
        <f t="shared" si="540"/>
        <v>0</v>
      </c>
      <c r="R1850">
        <f t="shared" si="541"/>
        <v>0</v>
      </c>
      <c r="S1850">
        <f t="shared" si="542"/>
        <v>0</v>
      </c>
      <c r="T1850">
        <f t="shared" si="543"/>
        <v>0</v>
      </c>
      <c r="U1850">
        <f t="shared" si="544"/>
        <v>0</v>
      </c>
      <c r="V1850">
        <f t="shared" si="545"/>
        <v>0</v>
      </c>
      <c r="W1850" t="s">
        <v>58</v>
      </c>
      <c r="X1850">
        <f t="shared" si="546"/>
        <v>0</v>
      </c>
      <c r="Y1850">
        <f t="shared" si="547"/>
        <v>1</v>
      </c>
      <c r="Z1850">
        <v>3</v>
      </c>
      <c r="AA1850">
        <f t="shared" si="548"/>
        <v>0.5</v>
      </c>
      <c r="AB1850" t="s">
        <v>40</v>
      </c>
      <c r="AC1850">
        <f t="shared" si="549"/>
        <v>0</v>
      </c>
      <c r="AD1850">
        <f t="shared" si="550"/>
        <v>0</v>
      </c>
      <c r="AE1850" t="s">
        <v>41</v>
      </c>
      <c r="AF1850">
        <f>IF(AE1850="website",1,0)</f>
        <v>1</v>
      </c>
    </row>
    <row r="1851" spans="1:32">
      <c r="A1851" t="s">
        <v>2503</v>
      </c>
      <c r="B1851" t="s">
        <v>33</v>
      </c>
      <c r="C1851" s="3">
        <f t="shared" si="532"/>
        <v>0</v>
      </c>
      <c r="D1851">
        <f t="shared" si="533"/>
        <v>1</v>
      </c>
      <c r="E1851" t="s">
        <v>1032</v>
      </c>
      <c r="F1851" t="s">
        <v>364</v>
      </c>
      <c r="G1851" s="1">
        <v>26139</v>
      </c>
      <c r="H1851" s="2">
        <f t="shared" ca="1" si="534"/>
        <v>55</v>
      </c>
      <c r="I1851" s="2">
        <f t="shared" ca="1" si="535"/>
        <v>0.42857142857142855</v>
      </c>
      <c r="J1851" t="s">
        <v>45</v>
      </c>
      <c r="K1851" t="s">
        <v>37</v>
      </c>
      <c r="L1851">
        <f t="shared" si="536"/>
        <v>1</v>
      </c>
      <c r="M1851">
        <f t="shared" si="537"/>
        <v>0</v>
      </c>
      <c r="N1851">
        <f t="shared" si="538"/>
        <v>0</v>
      </c>
      <c r="O1851" t="s">
        <v>717</v>
      </c>
      <c r="P1851">
        <f t="shared" si="539"/>
        <v>0</v>
      </c>
      <c r="Q1851">
        <f t="shared" si="540"/>
        <v>0</v>
      </c>
      <c r="R1851">
        <f t="shared" si="541"/>
        <v>0</v>
      </c>
      <c r="S1851">
        <f t="shared" si="542"/>
        <v>0</v>
      </c>
      <c r="T1851">
        <f t="shared" si="543"/>
        <v>0</v>
      </c>
      <c r="U1851">
        <f t="shared" si="544"/>
        <v>0</v>
      </c>
      <c r="V1851">
        <f t="shared" si="545"/>
        <v>0</v>
      </c>
      <c r="W1851" t="s">
        <v>58</v>
      </c>
      <c r="X1851">
        <f t="shared" si="546"/>
        <v>0</v>
      </c>
      <c r="Y1851">
        <f t="shared" si="547"/>
        <v>1</v>
      </c>
      <c r="Z1851">
        <v>5</v>
      </c>
      <c r="AA1851">
        <f t="shared" si="548"/>
        <v>1</v>
      </c>
      <c r="AB1851" t="s">
        <v>40</v>
      </c>
      <c r="AC1851">
        <f t="shared" si="549"/>
        <v>1</v>
      </c>
      <c r="AD1851">
        <f t="shared" si="550"/>
        <v>0</v>
      </c>
      <c r="AE1851" t="s">
        <v>50</v>
      </c>
      <c r="AF1851">
        <f>IF(AE1851="website",1,0)</f>
        <v>0</v>
      </c>
    </row>
    <row r="1852" spans="1:32">
      <c r="A1852" t="s">
        <v>2504</v>
      </c>
      <c r="B1852" t="s">
        <v>33</v>
      </c>
      <c r="C1852" s="3">
        <f t="shared" si="532"/>
        <v>0</v>
      </c>
      <c r="D1852">
        <f t="shared" si="533"/>
        <v>1</v>
      </c>
      <c r="E1852" t="s">
        <v>924</v>
      </c>
      <c r="F1852" t="s">
        <v>364</v>
      </c>
      <c r="G1852" s="1">
        <v>19883</v>
      </c>
      <c r="H1852" s="2">
        <f t="shared" ca="1" si="534"/>
        <v>72</v>
      </c>
      <c r="I1852" s="2">
        <f t="shared" ca="1" si="535"/>
        <v>0.67142857142857137</v>
      </c>
      <c r="J1852" t="s">
        <v>36</v>
      </c>
      <c r="K1852" t="s">
        <v>248</v>
      </c>
      <c r="L1852">
        <f t="shared" si="536"/>
        <v>0</v>
      </c>
      <c r="M1852">
        <f t="shared" si="537"/>
        <v>0</v>
      </c>
      <c r="N1852">
        <f t="shared" si="538"/>
        <v>0</v>
      </c>
      <c r="O1852" t="s">
        <v>582</v>
      </c>
      <c r="P1852">
        <f t="shared" si="539"/>
        <v>0</v>
      </c>
      <c r="Q1852">
        <f t="shared" si="540"/>
        <v>0</v>
      </c>
      <c r="R1852">
        <f t="shared" si="541"/>
        <v>0</v>
      </c>
      <c r="S1852">
        <f t="shared" si="542"/>
        <v>0</v>
      </c>
      <c r="T1852">
        <f t="shared" si="543"/>
        <v>0</v>
      </c>
      <c r="U1852">
        <f t="shared" si="544"/>
        <v>0</v>
      </c>
      <c r="V1852">
        <f t="shared" si="545"/>
        <v>0</v>
      </c>
      <c r="W1852" t="s">
        <v>39</v>
      </c>
      <c r="X1852">
        <f t="shared" si="546"/>
        <v>1</v>
      </c>
      <c r="Y1852">
        <f t="shared" si="547"/>
        <v>0</v>
      </c>
      <c r="Z1852">
        <v>3</v>
      </c>
      <c r="AA1852">
        <f t="shared" si="548"/>
        <v>0.5</v>
      </c>
      <c r="AB1852" t="s">
        <v>40</v>
      </c>
      <c r="AC1852">
        <f t="shared" si="549"/>
        <v>1</v>
      </c>
      <c r="AD1852">
        <f t="shared" si="550"/>
        <v>0</v>
      </c>
      <c r="AE1852" t="s">
        <v>50</v>
      </c>
      <c r="AF1852">
        <f>IF(AE1852="website",1,0)</f>
        <v>0</v>
      </c>
    </row>
    <row r="1853" spans="1:32">
      <c r="A1853" t="s">
        <v>2505</v>
      </c>
      <c r="B1853" t="s">
        <v>33</v>
      </c>
      <c r="C1853" s="3">
        <f t="shared" si="532"/>
        <v>0</v>
      </c>
      <c r="D1853">
        <f t="shared" si="533"/>
        <v>1</v>
      </c>
      <c r="E1853" t="s">
        <v>564</v>
      </c>
      <c r="F1853" t="s">
        <v>549</v>
      </c>
      <c r="G1853" s="1">
        <v>35779</v>
      </c>
      <c r="H1853" s="2">
        <f t="shared" ca="1" si="534"/>
        <v>28</v>
      </c>
      <c r="I1853" s="2">
        <f t="shared" ca="1" si="535"/>
        <v>4.2857142857142858E-2</v>
      </c>
      <c r="J1853" t="s">
        <v>36</v>
      </c>
      <c r="K1853" t="s">
        <v>37</v>
      </c>
      <c r="L1853">
        <f t="shared" si="536"/>
        <v>1</v>
      </c>
      <c r="M1853">
        <f t="shared" si="537"/>
        <v>0</v>
      </c>
      <c r="N1853">
        <f t="shared" si="538"/>
        <v>0</v>
      </c>
      <c r="O1853" t="s">
        <v>305</v>
      </c>
      <c r="P1853">
        <f t="shared" si="539"/>
        <v>0</v>
      </c>
      <c r="Q1853">
        <f t="shared" si="540"/>
        <v>0</v>
      </c>
      <c r="R1853">
        <f t="shared" si="541"/>
        <v>0</v>
      </c>
      <c r="S1853">
        <f t="shared" si="542"/>
        <v>0</v>
      </c>
      <c r="T1853">
        <f t="shared" si="543"/>
        <v>0</v>
      </c>
      <c r="U1853">
        <f t="shared" si="544"/>
        <v>0</v>
      </c>
      <c r="V1853">
        <f t="shared" si="545"/>
        <v>0</v>
      </c>
      <c r="W1853" t="s">
        <v>39</v>
      </c>
      <c r="X1853">
        <f t="shared" si="546"/>
        <v>1</v>
      </c>
      <c r="Y1853">
        <f t="shared" si="547"/>
        <v>0</v>
      </c>
      <c r="Z1853">
        <v>4</v>
      </c>
      <c r="AA1853">
        <f t="shared" si="548"/>
        <v>0.75</v>
      </c>
      <c r="AB1853" t="s">
        <v>46</v>
      </c>
      <c r="AC1853">
        <f t="shared" si="549"/>
        <v>0</v>
      </c>
      <c r="AD1853">
        <f t="shared" si="550"/>
        <v>0</v>
      </c>
      <c r="AE1853" t="s">
        <v>41</v>
      </c>
      <c r="AF1853">
        <f>IF(AE1853="website",1,0)</f>
        <v>1</v>
      </c>
    </row>
    <row r="1854" spans="1:32">
      <c r="A1854" t="s">
        <v>2506</v>
      </c>
      <c r="B1854" t="s">
        <v>33</v>
      </c>
      <c r="C1854" s="3">
        <f t="shared" si="532"/>
        <v>0</v>
      </c>
      <c r="D1854">
        <f t="shared" si="533"/>
        <v>1</v>
      </c>
      <c r="E1854" t="s">
        <v>982</v>
      </c>
      <c r="F1854" t="s">
        <v>703</v>
      </c>
      <c r="G1854" s="1">
        <v>17953</v>
      </c>
      <c r="H1854" s="2">
        <f t="shared" ca="1" si="534"/>
        <v>77</v>
      </c>
      <c r="I1854" s="2">
        <f t="shared" ca="1" si="535"/>
        <v>0.74285714285714288</v>
      </c>
      <c r="J1854" t="s">
        <v>36</v>
      </c>
      <c r="K1854" t="s">
        <v>37</v>
      </c>
      <c r="L1854">
        <f t="shared" si="536"/>
        <v>1</v>
      </c>
      <c r="M1854">
        <f t="shared" si="537"/>
        <v>0</v>
      </c>
      <c r="N1854">
        <f t="shared" si="538"/>
        <v>0</v>
      </c>
      <c r="O1854" t="s">
        <v>305</v>
      </c>
      <c r="P1854">
        <f t="shared" si="539"/>
        <v>0</v>
      </c>
      <c r="Q1854">
        <f t="shared" si="540"/>
        <v>0</v>
      </c>
      <c r="R1854">
        <f t="shared" si="541"/>
        <v>0</v>
      </c>
      <c r="S1854">
        <f t="shared" si="542"/>
        <v>0</v>
      </c>
      <c r="T1854">
        <f t="shared" si="543"/>
        <v>0</v>
      </c>
      <c r="U1854">
        <f t="shared" si="544"/>
        <v>0</v>
      </c>
      <c r="V1854">
        <f t="shared" si="545"/>
        <v>0</v>
      </c>
      <c r="W1854" t="s">
        <v>58</v>
      </c>
      <c r="X1854">
        <f t="shared" si="546"/>
        <v>0</v>
      </c>
      <c r="Y1854">
        <f t="shared" si="547"/>
        <v>1</v>
      </c>
      <c r="Z1854">
        <v>4</v>
      </c>
      <c r="AA1854">
        <f t="shared" si="548"/>
        <v>0.75</v>
      </c>
      <c r="AB1854" t="s">
        <v>46</v>
      </c>
      <c r="AC1854">
        <f t="shared" si="549"/>
        <v>0</v>
      </c>
      <c r="AD1854">
        <f t="shared" si="550"/>
        <v>0</v>
      </c>
      <c r="AE1854" t="s">
        <v>41</v>
      </c>
      <c r="AF1854">
        <f>IF(AE1854="website",1,0)</f>
        <v>1</v>
      </c>
    </row>
    <row r="1855" spans="1:32">
      <c r="A1855" t="s">
        <v>2507</v>
      </c>
      <c r="B1855" t="s">
        <v>55</v>
      </c>
      <c r="C1855" s="3">
        <f t="shared" si="532"/>
        <v>1</v>
      </c>
      <c r="D1855">
        <f t="shared" si="533"/>
        <v>0</v>
      </c>
      <c r="E1855" t="s">
        <v>1422</v>
      </c>
      <c r="F1855" t="s">
        <v>57</v>
      </c>
      <c r="G1855" s="1">
        <v>21998</v>
      </c>
      <c r="H1855" s="2">
        <f t="shared" ca="1" si="534"/>
        <v>66</v>
      </c>
      <c r="I1855" s="2">
        <f t="shared" ca="1" si="535"/>
        <v>0.58571428571428574</v>
      </c>
      <c r="J1855" t="s">
        <v>45</v>
      </c>
      <c r="K1855" t="s">
        <v>626</v>
      </c>
      <c r="L1855">
        <f t="shared" si="536"/>
        <v>0</v>
      </c>
      <c r="M1855">
        <f t="shared" si="537"/>
        <v>0</v>
      </c>
      <c r="N1855">
        <f t="shared" si="538"/>
        <v>0</v>
      </c>
      <c r="O1855" t="s">
        <v>627</v>
      </c>
      <c r="P1855">
        <f t="shared" si="539"/>
        <v>0</v>
      </c>
      <c r="Q1855">
        <f t="shared" si="540"/>
        <v>0</v>
      </c>
      <c r="R1855">
        <f t="shared" si="541"/>
        <v>0</v>
      </c>
      <c r="S1855">
        <f t="shared" si="542"/>
        <v>0</v>
      </c>
      <c r="T1855">
        <f t="shared" si="543"/>
        <v>0</v>
      </c>
      <c r="U1855">
        <f t="shared" si="544"/>
        <v>0</v>
      </c>
      <c r="V1855">
        <f t="shared" si="545"/>
        <v>0</v>
      </c>
      <c r="W1855" t="s">
        <v>58</v>
      </c>
      <c r="X1855">
        <f t="shared" si="546"/>
        <v>0</v>
      </c>
      <c r="Y1855">
        <f t="shared" si="547"/>
        <v>1</v>
      </c>
      <c r="Z1855">
        <v>1</v>
      </c>
      <c r="AA1855">
        <f t="shared" si="548"/>
        <v>0</v>
      </c>
      <c r="AB1855" t="s">
        <v>46</v>
      </c>
      <c r="AC1855">
        <f t="shared" si="549"/>
        <v>0</v>
      </c>
      <c r="AD1855">
        <f t="shared" si="550"/>
        <v>1</v>
      </c>
      <c r="AE1855" t="s">
        <v>90</v>
      </c>
      <c r="AF1855">
        <f>IF(AE1855="website",1,0)</f>
        <v>0</v>
      </c>
    </row>
    <row r="1856" spans="1:32">
      <c r="A1856" t="s">
        <v>2508</v>
      </c>
      <c r="B1856" t="s">
        <v>33</v>
      </c>
      <c r="C1856" s="3">
        <f t="shared" si="532"/>
        <v>0</v>
      </c>
      <c r="D1856">
        <f t="shared" si="533"/>
        <v>1</v>
      </c>
      <c r="E1856" t="s">
        <v>800</v>
      </c>
      <c r="F1856" t="s">
        <v>513</v>
      </c>
      <c r="G1856" s="1">
        <v>30719</v>
      </c>
      <c r="H1856" s="2">
        <f t="shared" ca="1" si="534"/>
        <v>42</v>
      </c>
      <c r="I1856" s="2">
        <f t="shared" ca="1" si="535"/>
        <v>0.24285714285714285</v>
      </c>
      <c r="J1856" t="s">
        <v>36</v>
      </c>
      <c r="K1856" t="s">
        <v>37</v>
      </c>
      <c r="L1856">
        <f t="shared" si="536"/>
        <v>1</v>
      </c>
      <c r="M1856">
        <f t="shared" si="537"/>
        <v>0</v>
      </c>
      <c r="N1856">
        <f t="shared" si="538"/>
        <v>0</v>
      </c>
      <c r="O1856" t="s">
        <v>38</v>
      </c>
      <c r="P1856">
        <f t="shared" si="539"/>
        <v>1</v>
      </c>
      <c r="Q1856">
        <f t="shared" si="540"/>
        <v>0</v>
      </c>
      <c r="R1856">
        <f t="shared" si="541"/>
        <v>0</v>
      </c>
      <c r="S1856">
        <f t="shared" si="542"/>
        <v>0</v>
      </c>
      <c r="T1856">
        <f t="shared" si="543"/>
        <v>0</v>
      </c>
      <c r="U1856">
        <f t="shared" si="544"/>
        <v>0</v>
      </c>
      <c r="V1856">
        <f t="shared" si="545"/>
        <v>0</v>
      </c>
      <c r="W1856" t="s">
        <v>39</v>
      </c>
      <c r="X1856">
        <f t="shared" si="546"/>
        <v>1</v>
      </c>
      <c r="Y1856">
        <f t="shared" si="547"/>
        <v>0</v>
      </c>
      <c r="Z1856">
        <v>2</v>
      </c>
      <c r="AA1856">
        <f t="shared" si="548"/>
        <v>0.25</v>
      </c>
      <c r="AB1856" t="s">
        <v>40</v>
      </c>
      <c r="AC1856">
        <f t="shared" si="549"/>
        <v>0</v>
      </c>
      <c r="AD1856">
        <f t="shared" si="550"/>
        <v>0</v>
      </c>
      <c r="AE1856" t="s">
        <v>41</v>
      </c>
      <c r="AF1856">
        <f>IF(AE1856="website",1,0)</f>
        <v>1</v>
      </c>
    </row>
    <row r="1857" spans="1:32">
      <c r="A1857" t="s">
        <v>2509</v>
      </c>
      <c r="B1857" t="s">
        <v>55</v>
      </c>
      <c r="C1857" s="3">
        <f t="shared" si="532"/>
        <v>1</v>
      </c>
      <c r="D1857">
        <f t="shared" si="533"/>
        <v>0</v>
      </c>
      <c r="E1857" t="s">
        <v>1051</v>
      </c>
      <c r="F1857" t="s">
        <v>57</v>
      </c>
      <c r="G1857" s="1">
        <v>34478</v>
      </c>
      <c r="H1857" s="2">
        <f t="shared" ca="1" si="534"/>
        <v>32</v>
      </c>
      <c r="I1857" s="2">
        <f t="shared" ca="1" si="535"/>
        <v>0.1</v>
      </c>
      <c r="J1857" t="s">
        <v>45</v>
      </c>
      <c r="K1857" t="s">
        <v>37</v>
      </c>
      <c r="L1857">
        <f t="shared" si="536"/>
        <v>1</v>
      </c>
      <c r="M1857">
        <f t="shared" si="537"/>
        <v>0</v>
      </c>
      <c r="N1857">
        <f t="shared" si="538"/>
        <v>0</v>
      </c>
      <c r="O1857" t="s">
        <v>305</v>
      </c>
      <c r="P1857">
        <f t="shared" si="539"/>
        <v>0</v>
      </c>
      <c r="Q1857">
        <f t="shared" si="540"/>
        <v>0</v>
      </c>
      <c r="R1857">
        <f t="shared" si="541"/>
        <v>0</v>
      </c>
      <c r="S1857">
        <f t="shared" si="542"/>
        <v>0</v>
      </c>
      <c r="T1857">
        <f t="shared" si="543"/>
        <v>0</v>
      </c>
      <c r="U1857">
        <f t="shared" si="544"/>
        <v>0</v>
      </c>
      <c r="V1857">
        <f t="shared" si="545"/>
        <v>0</v>
      </c>
      <c r="W1857" t="s">
        <v>39</v>
      </c>
      <c r="X1857">
        <f t="shared" si="546"/>
        <v>1</v>
      </c>
      <c r="Y1857">
        <f t="shared" si="547"/>
        <v>0</v>
      </c>
      <c r="Z1857">
        <v>2</v>
      </c>
      <c r="AA1857">
        <f t="shared" si="548"/>
        <v>0.25</v>
      </c>
      <c r="AB1857" t="s">
        <v>46</v>
      </c>
      <c r="AC1857">
        <f t="shared" si="549"/>
        <v>0</v>
      </c>
      <c r="AD1857">
        <f t="shared" si="550"/>
        <v>0</v>
      </c>
      <c r="AE1857" t="s">
        <v>41</v>
      </c>
      <c r="AF1857">
        <f>IF(AE1857="website",1,0)</f>
        <v>1</v>
      </c>
    </row>
    <row r="1858" spans="1:32">
      <c r="A1858" t="s">
        <v>2510</v>
      </c>
      <c r="B1858" t="s">
        <v>33</v>
      </c>
      <c r="C1858" s="3">
        <f t="shared" ref="C1858:C1921" si="551">IF(B1858="company",1,0)</f>
        <v>0</v>
      </c>
      <c r="D1858">
        <f t="shared" ref="D1858:D1921" si="552">IF(B1858="individual",1,0)</f>
        <v>1</v>
      </c>
      <c r="E1858" t="s">
        <v>216</v>
      </c>
      <c r="F1858" t="s">
        <v>616</v>
      </c>
      <c r="G1858" s="1">
        <v>31858</v>
      </c>
      <c r="H1858" s="2">
        <f t="shared" ref="H1858:H1921" ca="1" si="553">DATEDIF(G1858,TODAY(),"Y")</f>
        <v>39</v>
      </c>
      <c r="I1858" s="2">
        <f t="shared" ref="I1858:I1921" ca="1" si="554">(H1858-MIN(H:H))/(MAX(H:H)-MIN(H:H))</f>
        <v>0.2</v>
      </c>
      <c r="J1858" t="s">
        <v>45</v>
      </c>
      <c r="K1858" t="s">
        <v>37</v>
      </c>
      <c r="L1858">
        <f t="shared" ref="L1858:L1921" si="555">IF(K1858="usa",1,0)</f>
        <v>1</v>
      </c>
      <c r="M1858">
        <f t="shared" ref="M1858:M1921" si="556">IF(K1858="canada",1,0)</f>
        <v>0</v>
      </c>
      <c r="N1858">
        <f t="shared" ref="N1858:N1921" si="557">IF(K1858="germany",1,0)</f>
        <v>0</v>
      </c>
      <c r="O1858" t="s">
        <v>38</v>
      </c>
      <c r="P1858">
        <f t="shared" ref="P1858:P1921" si="558">IF(O1858="california",1,0)</f>
        <v>1</v>
      </c>
      <c r="Q1858">
        <f t="shared" ref="Q1858:Q1921" si="559">IF(O1858="oregon",1,0)</f>
        <v>0</v>
      </c>
      <c r="R1858">
        <f t="shared" ref="R1858:R1921" si="560">IF(O1858="quebec",1,0)</f>
        <v>0</v>
      </c>
      <c r="S1858">
        <f t="shared" ref="S1858:S1921" si="561">IF(O1858="berlin",1,0)</f>
        <v>0</v>
      </c>
      <c r="T1858">
        <f t="shared" ref="T1858:T1921" si="562">IF(O1858="arizona",1,0)</f>
        <v>0</v>
      </c>
      <c r="U1858">
        <f t="shared" ref="U1858:U1921" si="563">IF(O1858="nevada",1,0)</f>
        <v>0</v>
      </c>
      <c r="V1858">
        <f t="shared" ref="V1858:V1921" si="564">IF(O1858="colardo",1,0)</f>
        <v>0</v>
      </c>
      <c r="W1858" t="s">
        <v>58</v>
      </c>
      <c r="X1858">
        <f t="shared" ref="X1858:X1921" si="565">IF(W1858="home",1,0)</f>
        <v>0</v>
      </c>
      <c r="Y1858">
        <f t="shared" ref="Y1858:Y1921" si="566">IF(W1858="investment",1,0)</f>
        <v>1</v>
      </c>
      <c r="Z1858">
        <v>2</v>
      </c>
      <c r="AA1858">
        <f t="shared" ref="AA1858:AA1921" si="567">(Z1858-1)/4</f>
        <v>0.25</v>
      </c>
      <c r="AB1858" t="s">
        <v>40</v>
      </c>
      <c r="AC1858">
        <f t="shared" ref="AC1858:AC1921" si="568">IF(AE1858="agency",1,0)</f>
        <v>0</v>
      </c>
      <c r="AD1858">
        <f t="shared" ref="AD1858:AD1921" si="569">IF(AE1858="client",1,0)</f>
        <v>0</v>
      </c>
      <c r="AE1858" t="s">
        <v>41</v>
      </c>
      <c r="AF1858">
        <f>IF(AE1858="website",1,0)</f>
        <v>1</v>
      </c>
    </row>
    <row r="1859" spans="1:32">
      <c r="A1859" t="s">
        <v>2511</v>
      </c>
      <c r="B1859" t="s">
        <v>33</v>
      </c>
      <c r="C1859" s="3">
        <f t="shared" si="551"/>
        <v>0</v>
      </c>
      <c r="D1859">
        <f t="shared" si="552"/>
        <v>1</v>
      </c>
      <c r="E1859" t="s">
        <v>666</v>
      </c>
      <c r="F1859" t="s">
        <v>823</v>
      </c>
      <c r="G1859" s="1">
        <v>21341</v>
      </c>
      <c r="H1859" s="2">
        <f t="shared" ca="1" si="553"/>
        <v>68</v>
      </c>
      <c r="I1859" s="2">
        <f t="shared" ca="1" si="554"/>
        <v>0.61428571428571432</v>
      </c>
      <c r="J1859" t="s">
        <v>36</v>
      </c>
      <c r="K1859" t="s">
        <v>37</v>
      </c>
      <c r="L1859">
        <f t="shared" si="555"/>
        <v>1</v>
      </c>
      <c r="M1859">
        <f t="shared" si="556"/>
        <v>0</v>
      </c>
      <c r="N1859">
        <f t="shared" si="557"/>
        <v>0</v>
      </c>
      <c r="O1859" t="s">
        <v>137</v>
      </c>
      <c r="P1859">
        <f t="shared" si="558"/>
        <v>0</v>
      </c>
      <c r="Q1859">
        <f t="shared" si="559"/>
        <v>0</v>
      </c>
      <c r="R1859">
        <f t="shared" si="560"/>
        <v>0</v>
      </c>
      <c r="S1859">
        <f t="shared" si="561"/>
        <v>0</v>
      </c>
      <c r="T1859">
        <f t="shared" si="562"/>
        <v>0</v>
      </c>
      <c r="U1859">
        <f t="shared" si="563"/>
        <v>0</v>
      </c>
      <c r="V1859">
        <f t="shared" si="564"/>
        <v>0</v>
      </c>
      <c r="W1859" t="s">
        <v>39</v>
      </c>
      <c r="X1859">
        <f t="shared" si="565"/>
        <v>1</v>
      </c>
      <c r="Y1859">
        <f t="shared" si="566"/>
        <v>0</v>
      </c>
      <c r="Z1859">
        <v>5</v>
      </c>
      <c r="AA1859">
        <f t="shared" si="567"/>
        <v>1</v>
      </c>
      <c r="AB1859" t="s">
        <v>46</v>
      </c>
      <c r="AC1859">
        <f t="shared" si="568"/>
        <v>0</v>
      </c>
      <c r="AD1859">
        <f t="shared" si="569"/>
        <v>0</v>
      </c>
      <c r="AE1859" t="s">
        <v>41</v>
      </c>
      <c r="AF1859">
        <f>IF(AE1859="website",1,0)</f>
        <v>1</v>
      </c>
    </row>
    <row r="1860" spans="1:32">
      <c r="A1860" t="s">
        <v>2512</v>
      </c>
      <c r="B1860" t="s">
        <v>33</v>
      </c>
      <c r="C1860" s="3">
        <f t="shared" si="551"/>
        <v>0</v>
      </c>
      <c r="D1860">
        <f t="shared" si="552"/>
        <v>1</v>
      </c>
      <c r="E1860" t="s">
        <v>842</v>
      </c>
      <c r="F1860" t="s">
        <v>117</v>
      </c>
      <c r="G1860" s="1">
        <v>16028</v>
      </c>
      <c r="H1860" s="2">
        <f t="shared" ca="1" si="553"/>
        <v>82</v>
      </c>
      <c r="I1860" s="2">
        <f t="shared" ca="1" si="554"/>
        <v>0.81428571428571428</v>
      </c>
      <c r="J1860" t="s">
        <v>45</v>
      </c>
      <c r="K1860" t="s">
        <v>37</v>
      </c>
      <c r="L1860">
        <f t="shared" si="555"/>
        <v>1</v>
      </c>
      <c r="M1860">
        <f t="shared" si="556"/>
        <v>0</v>
      </c>
      <c r="N1860">
        <f t="shared" si="557"/>
        <v>0</v>
      </c>
      <c r="O1860" t="s">
        <v>38</v>
      </c>
      <c r="P1860">
        <f t="shared" si="558"/>
        <v>1</v>
      </c>
      <c r="Q1860">
        <f t="shared" si="559"/>
        <v>0</v>
      </c>
      <c r="R1860">
        <f t="shared" si="560"/>
        <v>0</v>
      </c>
      <c r="S1860">
        <f t="shared" si="561"/>
        <v>0</v>
      </c>
      <c r="T1860">
        <f t="shared" si="562"/>
        <v>0</v>
      </c>
      <c r="U1860">
        <f t="shared" si="563"/>
        <v>0</v>
      </c>
      <c r="V1860">
        <f t="shared" si="564"/>
        <v>0</v>
      </c>
      <c r="W1860" t="s">
        <v>39</v>
      </c>
      <c r="X1860">
        <f t="shared" si="565"/>
        <v>1</v>
      </c>
      <c r="Y1860">
        <f t="shared" si="566"/>
        <v>0</v>
      </c>
      <c r="Z1860">
        <v>5</v>
      </c>
      <c r="AA1860">
        <f t="shared" si="567"/>
        <v>1</v>
      </c>
      <c r="AB1860" t="s">
        <v>40</v>
      </c>
      <c r="AC1860">
        <f t="shared" si="568"/>
        <v>0</v>
      </c>
      <c r="AD1860">
        <f t="shared" si="569"/>
        <v>1</v>
      </c>
      <c r="AE1860" t="s">
        <v>90</v>
      </c>
      <c r="AF1860">
        <f>IF(AE1860="website",1,0)</f>
        <v>0</v>
      </c>
    </row>
    <row r="1861" spans="1:32">
      <c r="A1861" t="s">
        <v>2513</v>
      </c>
      <c r="B1861" t="s">
        <v>55</v>
      </c>
      <c r="C1861" s="3">
        <f t="shared" si="551"/>
        <v>1</v>
      </c>
      <c r="D1861">
        <f t="shared" si="552"/>
        <v>0</v>
      </c>
      <c r="E1861" t="s">
        <v>1766</v>
      </c>
      <c r="F1861" t="s">
        <v>57</v>
      </c>
      <c r="G1861" s="1">
        <v>25766</v>
      </c>
      <c r="H1861" s="2">
        <f t="shared" ca="1" si="553"/>
        <v>56</v>
      </c>
      <c r="I1861" s="2">
        <f t="shared" ca="1" si="554"/>
        <v>0.44285714285714284</v>
      </c>
      <c r="J1861" t="s">
        <v>36</v>
      </c>
      <c r="K1861" t="s">
        <v>37</v>
      </c>
      <c r="L1861">
        <f t="shared" si="555"/>
        <v>1</v>
      </c>
      <c r="M1861">
        <f t="shared" si="556"/>
        <v>0</v>
      </c>
      <c r="N1861">
        <f t="shared" si="557"/>
        <v>0</v>
      </c>
      <c r="O1861" t="s">
        <v>38</v>
      </c>
      <c r="P1861">
        <f t="shared" si="558"/>
        <v>1</v>
      </c>
      <c r="Q1861">
        <f t="shared" si="559"/>
        <v>0</v>
      </c>
      <c r="R1861">
        <f t="shared" si="560"/>
        <v>0</v>
      </c>
      <c r="S1861">
        <f t="shared" si="561"/>
        <v>0</v>
      </c>
      <c r="T1861">
        <f t="shared" si="562"/>
        <v>0</v>
      </c>
      <c r="U1861">
        <f t="shared" si="563"/>
        <v>0</v>
      </c>
      <c r="V1861">
        <f t="shared" si="564"/>
        <v>0</v>
      </c>
      <c r="W1861" t="s">
        <v>39</v>
      </c>
      <c r="X1861">
        <f t="shared" si="565"/>
        <v>1</v>
      </c>
      <c r="Y1861">
        <f t="shared" si="566"/>
        <v>0</v>
      </c>
      <c r="Z1861">
        <v>4</v>
      </c>
      <c r="AA1861">
        <f t="shared" si="567"/>
        <v>0.75</v>
      </c>
      <c r="AB1861" t="s">
        <v>40</v>
      </c>
      <c r="AC1861">
        <f t="shared" si="568"/>
        <v>1</v>
      </c>
      <c r="AD1861">
        <f t="shared" si="569"/>
        <v>0</v>
      </c>
      <c r="AE1861" t="s">
        <v>50</v>
      </c>
      <c r="AF1861">
        <f>IF(AE1861="website",1,0)</f>
        <v>0</v>
      </c>
    </row>
    <row r="1862" spans="1:32">
      <c r="A1862" t="s">
        <v>2514</v>
      </c>
      <c r="B1862" t="s">
        <v>33</v>
      </c>
      <c r="C1862" s="3">
        <f t="shared" si="551"/>
        <v>0</v>
      </c>
      <c r="D1862">
        <f t="shared" si="552"/>
        <v>1</v>
      </c>
      <c r="E1862" t="s">
        <v>694</v>
      </c>
      <c r="F1862" t="s">
        <v>667</v>
      </c>
      <c r="G1862" s="1">
        <v>29959</v>
      </c>
      <c r="H1862" s="2">
        <f t="shared" ca="1" si="553"/>
        <v>44</v>
      </c>
      <c r="I1862" s="2">
        <f t="shared" ca="1" si="554"/>
        <v>0.27142857142857141</v>
      </c>
      <c r="J1862" t="s">
        <v>45</v>
      </c>
      <c r="K1862" t="s">
        <v>37</v>
      </c>
      <c r="L1862">
        <f t="shared" si="555"/>
        <v>1</v>
      </c>
      <c r="M1862">
        <f t="shared" si="556"/>
        <v>0</v>
      </c>
      <c r="N1862">
        <f t="shared" si="557"/>
        <v>0</v>
      </c>
      <c r="O1862" t="s">
        <v>38</v>
      </c>
      <c r="P1862">
        <f t="shared" si="558"/>
        <v>1</v>
      </c>
      <c r="Q1862">
        <f t="shared" si="559"/>
        <v>0</v>
      </c>
      <c r="R1862">
        <f t="shared" si="560"/>
        <v>0</v>
      </c>
      <c r="S1862">
        <f t="shared" si="561"/>
        <v>0</v>
      </c>
      <c r="T1862">
        <f t="shared" si="562"/>
        <v>0</v>
      </c>
      <c r="U1862">
        <f t="shared" si="563"/>
        <v>0</v>
      </c>
      <c r="V1862">
        <f t="shared" si="564"/>
        <v>0</v>
      </c>
      <c r="W1862" t="s">
        <v>58</v>
      </c>
      <c r="X1862">
        <f t="shared" si="565"/>
        <v>0</v>
      </c>
      <c r="Y1862">
        <f t="shared" si="566"/>
        <v>1</v>
      </c>
      <c r="Z1862">
        <v>3</v>
      </c>
      <c r="AA1862">
        <f t="shared" si="567"/>
        <v>0.5</v>
      </c>
      <c r="AB1862" t="s">
        <v>40</v>
      </c>
      <c r="AC1862">
        <f t="shared" si="568"/>
        <v>0</v>
      </c>
      <c r="AD1862">
        <f t="shared" si="569"/>
        <v>0</v>
      </c>
      <c r="AE1862" t="s">
        <v>41</v>
      </c>
      <c r="AF1862">
        <f>IF(AE1862="website",1,0)</f>
        <v>1</v>
      </c>
    </row>
    <row r="1863" spans="1:32">
      <c r="A1863" t="s">
        <v>2515</v>
      </c>
      <c r="B1863" t="s">
        <v>33</v>
      </c>
      <c r="C1863" s="3">
        <f t="shared" si="551"/>
        <v>0</v>
      </c>
      <c r="D1863">
        <f t="shared" si="552"/>
        <v>1</v>
      </c>
      <c r="E1863" t="s">
        <v>910</v>
      </c>
      <c r="F1863" t="s">
        <v>738</v>
      </c>
      <c r="G1863" s="1">
        <v>19593</v>
      </c>
      <c r="H1863" s="2">
        <f t="shared" ca="1" si="553"/>
        <v>73</v>
      </c>
      <c r="I1863" s="2">
        <f t="shared" ca="1" si="554"/>
        <v>0.68571428571428572</v>
      </c>
      <c r="J1863" t="s">
        <v>45</v>
      </c>
      <c r="K1863" t="s">
        <v>37</v>
      </c>
      <c r="L1863">
        <f t="shared" si="555"/>
        <v>1</v>
      </c>
      <c r="M1863">
        <f t="shared" si="556"/>
        <v>0</v>
      </c>
      <c r="N1863">
        <f t="shared" si="557"/>
        <v>0</v>
      </c>
      <c r="O1863" t="s">
        <v>38</v>
      </c>
      <c r="P1863">
        <f t="shared" si="558"/>
        <v>1</v>
      </c>
      <c r="Q1863">
        <f t="shared" si="559"/>
        <v>0</v>
      </c>
      <c r="R1863">
        <f t="shared" si="560"/>
        <v>0</v>
      </c>
      <c r="S1863">
        <f t="shared" si="561"/>
        <v>0</v>
      </c>
      <c r="T1863">
        <f t="shared" si="562"/>
        <v>0</v>
      </c>
      <c r="U1863">
        <f t="shared" si="563"/>
        <v>0</v>
      </c>
      <c r="V1863">
        <f t="shared" si="564"/>
        <v>0</v>
      </c>
      <c r="W1863" t="s">
        <v>39</v>
      </c>
      <c r="X1863">
        <f t="shared" si="565"/>
        <v>1</v>
      </c>
      <c r="Y1863">
        <f t="shared" si="566"/>
        <v>0</v>
      </c>
      <c r="Z1863">
        <v>1</v>
      </c>
      <c r="AA1863">
        <f t="shared" si="567"/>
        <v>0</v>
      </c>
      <c r="AB1863" t="s">
        <v>40</v>
      </c>
      <c r="AC1863">
        <f t="shared" si="568"/>
        <v>0</v>
      </c>
      <c r="AD1863">
        <f t="shared" si="569"/>
        <v>0</v>
      </c>
      <c r="AE1863" t="s">
        <v>41</v>
      </c>
      <c r="AF1863">
        <f>IF(AE1863="website",1,0)</f>
        <v>1</v>
      </c>
    </row>
    <row r="1864" spans="1:32">
      <c r="A1864" t="s">
        <v>2516</v>
      </c>
      <c r="B1864" t="s">
        <v>33</v>
      </c>
      <c r="C1864" s="3">
        <f t="shared" si="551"/>
        <v>0</v>
      </c>
      <c r="D1864">
        <f t="shared" si="552"/>
        <v>1</v>
      </c>
      <c r="E1864" t="s">
        <v>712</v>
      </c>
      <c r="F1864" t="s">
        <v>513</v>
      </c>
      <c r="G1864" s="1">
        <v>17596</v>
      </c>
      <c r="H1864" s="2">
        <f t="shared" ca="1" si="553"/>
        <v>78</v>
      </c>
      <c r="I1864" s="2">
        <f t="shared" ca="1" si="554"/>
        <v>0.75714285714285712</v>
      </c>
      <c r="J1864" t="s">
        <v>36</v>
      </c>
      <c r="K1864" t="s">
        <v>248</v>
      </c>
      <c r="L1864">
        <f t="shared" si="555"/>
        <v>0</v>
      </c>
      <c r="M1864">
        <f t="shared" si="556"/>
        <v>0</v>
      </c>
      <c r="N1864">
        <f t="shared" si="557"/>
        <v>0</v>
      </c>
      <c r="O1864" t="s">
        <v>411</v>
      </c>
      <c r="P1864">
        <f t="shared" si="558"/>
        <v>0</v>
      </c>
      <c r="Q1864">
        <f t="shared" si="559"/>
        <v>0</v>
      </c>
      <c r="R1864">
        <f t="shared" si="560"/>
        <v>0</v>
      </c>
      <c r="S1864">
        <f t="shared" si="561"/>
        <v>0</v>
      </c>
      <c r="T1864">
        <f t="shared" si="562"/>
        <v>0</v>
      </c>
      <c r="U1864">
        <f t="shared" si="563"/>
        <v>0</v>
      </c>
      <c r="V1864">
        <f t="shared" si="564"/>
        <v>0</v>
      </c>
      <c r="W1864" t="s">
        <v>39</v>
      </c>
      <c r="X1864">
        <f t="shared" si="565"/>
        <v>1</v>
      </c>
      <c r="Y1864">
        <f t="shared" si="566"/>
        <v>0</v>
      </c>
      <c r="Z1864">
        <v>3</v>
      </c>
      <c r="AA1864">
        <f t="shared" si="567"/>
        <v>0.5</v>
      </c>
      <c r="AB1864" t="s">
        <v>46</v>
      </c>
      <c r="AC1864">
        <f t="shared" si="568"/>
        <v>0</v>
      </c>
      <c r="AD1864">
        <f t="shared" si="569"/>
        <v>0</v>
      </c>
      <c r="AE1864" t="s">
        <v>41</v>
      </c>
      <c r="AF1864">
        <f>IF(AE1864="website",1,0)</f>
        <v>1</v>
      </c>
    </row>
    <row r="1865" spans="1:32">
      <c r="A1865" t="s">
        <v>2517</v>
      </c>
      <c r="B1865" t="s">
        <v>33</v>
      </c>
      <c r="C1865" s="3">
        <f t="shared" si="551"/>
        <v>0</v>
      </c>
      <c r="D1865">
        <f t="shared" si="552"/>
        <v>1</v>
      </c>
      <c r="E1865" t="s">
        <v>578</v>
      </c>
      <c r="F1865" t="s">
        <v>552</v>
      </c>
      <c r="G1865" s="1">
        <v>26414</v>
      </c>
      <c r="H1865" s="2">
        <f t="shared" ca="1" si="553"/>
        <v>54</v>
      </c>
      <c r="I1865" s="2">
        <f t="shared" ca="1" si="554"/>
        <v>0.41428571428571431</v>
      </c>
      <c r="J1865" t="s">
        <v>36</v>
      </c>
      <c r="K1865" t="s">
        <v>37</v>
      </c>
      <c r="L1865">
        <f t="shared" si="555"/>
        <v>1</v>
      </c>
      <c r="M1865">
        <f t="shared" si="556"/>
        <v>0</v>
      </c>
      <c r="N1865">
        <f t="shared" si="557"/>
        <v>0</v>
      </c>
      <c r="O1865" t="s">
        <v>717</v>
      </c>
      <c r="P1865">
        <f t="shared" si="558"/>
        <v>0</v>
      </c>
      <c r="Q1865">
        <f t="shared" si="559"/>
        <v>0</v>
      </c>
      <c r="R1865">
        <f t="shared" si="560"/>
        <v>0</v>
      </c>
      <c r="S1865">
        <f t="shared" si="561"/>
        <v>0</v>
      </c>
      <c r="T1865">
        <f t="shared" si="562"/>
        <v>0</v>
      </c>
      <c r="U1865">
        <f t="shared" si="563"/>
        <v>0</v>
      </c>
      <c r="V1865">
        <f t="shared" si="564"/>
        <v>0</v>
      </c>
      <c r="W1865" t="s">
        <v>39</v>
      </c>
      <c r="X1865">
        <f t="shared" si="565"/>
        <v>1</v>
      </c>
      <c r="Y1865">
        <f t="shared" si="566"/>
        <v>0</v>
      </c>
      <c r="Z1865">
        <v>5</v>
      </c>
      <c r="AA1865">
        <f t="shared" si="567"/>
        <v>1</v>
      </c>
      <c r="AB1865" t="s">
        <v>40</v>
      </c>
      <c r="AC1865">
        <f t="shared" si="568"/>
        <v>0</v>
      </c>
      <c r="AD1865">
        <f t="shared" si="569"/>
        <v>0</v>
      </c>
      <c r="AE1865" t="s">
        <v>41</v>
      </c>
      <c r="AF1865">
        <f>IF(AE1865="website",1,0)</f>
        <v>1</v>
      </c>
    </row>
    <row r="1866" spans="1:32">
      <c r="A1866" t="s">
        <v>2518</v>
      </c>
      <c r="B1866" t="s">
        <v>33</v>
      </c>
      <c r="C1866" s="3">
        <f t="shared" si="551"/>
        <v>0</v>
      </c>
      <c r="D1866">
        <f t="shared" si="552"/>
        <v>1</v>
      </c>
      <c r="E1866" t="s">
        <v>629</v>
      </c>
      <c r="F1866" t="s">
        <v>709</v>
      </c>
      <c r="G1866" s="1">
        <v>27040</v>
      </c>
      <c r="H1866" s="2">
        <f t="shared" ca="1" si="553"/>
        <v>52</v>
      </c>
      <c r="I1866" s="2">
        <f t="shared" ca="1" si="554"/>
        <v>0.38571428571428573</v>
      </c>
      <c r="J1866" t="s">
        <v>45</v>
      </c>
      <c r="K1866" t="s">
        <v>37</v>
      </c>
      <c r="L1866">
        <f t="shared" si="555"/>
        <v>1</v>
      </c>
      <c r="M1866">
        <f t="shared" si="556"/>
        <v>0</v>
      </c>
      <c r="N1866">
        <f t="shared" si="557"/>
        <v>0</v>
      </c>
      <c r="O1866" t="s">
        <v>97</v>
      </c>
      <c r="P1866">
        <f t="shared" si="558"/>
        <v>0</v>
      </c>
      <c r="Q1866">
        <f t="shared" si="559"/>
        <v>0</v>
      </c>
      <c r="R1866">
        <f t="shared" si="560"/>
        <v>0</v>
      </c>
      <c r="S1866">
        <f t="shared" si="561"/>
        <v>0</v>
      </c>
      <c r="T1866">
        <f t="shared" si="562"/>
        <v>1</v>
      </c>
      <c r="U1866">
        <f t="shared" si="563"/>
        <v>0</v>
      </c>
      <c r="V1866">
        <f t="shared" si="564"/>
        <v>0</v>
      </c>
      <c r="W1866" t="s">
        <v>58</v>
      </c>
      <c r="X1866">
        <f t="shared" si="565"/>
        <v>0</v>
      </c>
      <c r="Y1866">
        <f t="shared" si="566"/>
        <v>1</v>
      </c>
      <c r="Z1866">
        <v>4</v>
      </c>
      <c r="AA1866">
        <f t="shared" si="567"/>
        <v>0.75</v>
      </c>
      <c r="AB1866" t="s">
        <v>46</v>
      </c>
      <c r="AC1866">
        <f t="shared" si="568"/>
        <v>0</v>
      </c>
      <c r="AD1866">
        <f t="shared" si="569"/>
        <v>0</v>
      </c>
      <c r="AE1866" t="s">
        <v>41</v>
      </c>
      <c r="AF1866">
        <f>IF(AE1866="website",1,0)</f>
        <v>1</v>
      </c>
    </row>
    <row r="1867" spans="1:32">
      <c r="A1867" t="s">
        <v>2519</v>
      </c>
      <c r="B1867" t="s">
        <v>33</v>
      </c>
      <c r="C1867" s="3">
        <f t="shared" si="551"/>
        <v>0</v>
      </c>
      <c r="D1867">
        <f t="shared" si="552"/>
        <v>1</v>
      </c>
      <c r="E1867" t="s">
        <v>647</v>
      </c>
      <c r="F1867" t="s">
        <v>610</v>
      </c>
      <c r="G1867" s="1">
        <v>26168</v>
      </c>
      <c r="H1867" s="2">
        <f t="shared" ca="1" si="553"/>
        <v>55</v>
      </c>
      <c r="I1867" s="2">
        <f t="shared" ca="1" si="554"/>
        <v>0.42857142857142855</v>
      </c>
      <c r="J1867" t="s">
        <v>36</v>
      </c>
      <c r="K1867" t="s">
        <v>37</v>
      </c>
      <c r="L1867">
        <f t="shared" si="555"/>
        <v>1</v>
      </c>
      <c r="M1867">
        <f t="shared" si="556"/>
        <v>0</v>
      </c>
      <c r="N1867">
        <f t="shared" si="557"/>
        <v>0</v>
      </c>
      <c r="O1867" t="s">
        <v>124</v>
      </c>
      <c r="P1867">
        <f t="shared" si="558"/>
        <v>0</v>
      </c>
      <c r="Q1867">
        <f t="shared" si="559"/>
        <v>0</v>
      </c>
      <c r="R1867">
        <f t="shared" si="560"/>
        <v>0</v>
      </c>
      <c r="S1867">
        <f t="shared" si="561"/>
        <v>0</v>
      </c>
      <c r="T1867">
        <f t="shared" si="562"/>
        <v>0</v>
      </c>
      <c r="U1867">
        <f t="shared" si="563"/>
        <v>1</v>
      </c>
      <c r="V1867">
        <f t="shared" si="564"/>
        <v>0</v>
      </c>
      <c r="W1867" t="s">
        <v>39</v>
      </c>
      <c r="X1867">
        <f t="shared" si="565"/>
        <v>1</v>
      </c>
      <c r="Y1867">
        <f t="shared" si="566"/>
        <v>0</v>
      </c>
      <c r="Z1867">
        <v>2</v>
      </c>
      <c r="AA1867">
        <f t="shared" si="567"/>
        <v>0.25</v>
      </c>
      <c r="AB1867" t="s">
        <v>46</v>
      </c>
      <c r="AC1867">
        <f t="shared" si="568"/>
        <v>1</v>
      </c>
      <c r="AD1867">
        <f t="shared" si="569"/>
        <v>0</v>
      </c>
      <c r="AE1867" t="s">
        <v>50</v>
      </c>
      <c r="AF1867">
        <f>IF(AE1867="website",1,0)</f>
        <v>0</v>
      </c>
    </row>
    <row r="1868" spans="1:32">
      <c r="A1868" t="s">
        <v>2520</v>
      </c>
      <c r="B1868" t="s">
        <v>33</v>
      </c>
      <c r="C1868" s="3">
        <f t="shared" si="551"/>
        <v>0</v>
      </c>
      <c r="D1868">
        <f t="shared" si="552"/>
        <v>1</v>
      </c>
      <c r="E1868" t="s">
        <v>1288</v>
      </c>
      <c r="F1868" t="s">
        <v>695</v>
      </c>
      <c r="G1868" s="1">
        <v>19006</v>
      </c>
      <c r="H1868" s="2">
        <f t="shared" ca="1" si="553"/>
        <v>74</v>
      </c>
      <c r="I1868" s="2">
        <f t="shared" ca="1" si="554"/>
        <v>0.7</v>
      </c>
      <c r="J1868" t="s">
        <v>45</v>
      </c>
      <c r="K1868" t="s">
        <v>37</v>
      </c>
      <c r="L1868">
        <f t="shared" si="555"/>
        <v>1</v>
      </c>
      <c r="M1868">
        <f t="shared" si="556"/>
        <v>0</v>
      </c>
      <c r="N1868">
        <f t="shared" si="557"/>
        <v>0</v>
      </c>
      <c r="O1868" t="s">
        <v>38</v>
      </c>
      <c r="P1868">
        <f t="shared" si="558"/>
        <v>1</v>
      </c>
      <c r="Q1868">
        <f t="shared" si="559"/>
        <v>0</v>
      </c>
      <c r="R1868">
        <f t="shared" si="560"/>
        <v>0</v>
      </c>
      <c r="S1868">
        <f t="shared" si="561"/>
        <v>0</v>
      </c>
      <c r="T1868">
        <f t="shared" si="562"/>
        <v>0</v>
      </c>
      <c r="U1868">
        <f t="shared" si="563"/>
        <v>0</v>
      </c>
      <c r="V1868">
        <f t="shared" si="564"/>
        <v>0</v>
      </c>
      <c r="W1868" t="s">
        <v>39</v>
      </c>
      <c r="X1868">
        <f t="shared" si="565"/>
        <v>1</v>
      </c>
      <c r="Y1868">
        <f t="shared" si="566"/>
        <v>0</v>
      </c>
      <c r="Z1868">
        <v>2</v>
      </c>
      <c r="AA1868">
        <f t="shared" si="567"/>
        <v>0.25</v>
      </c>
      <c r="AB1868" t="s">
        <v>40</v>
      </c>
      <c r="AC1868">
        <f t="shared" si="568"/>
        <v>0</v>
      </c>
      <c r="AD1868">
        <f t="shared" si="569"/>
        <v>0</v>
      </c>
      <c r="AE1868" t="s">
        <v>41</v>
      </c>
      <c r="AF1868">
        <f>IF(AE1868="website",1,0)</f>
        <v>1</v>
      </c>
    </row>
    <row r="1869" spans="1:32">
      <c r="A1869" t="s">
        <v>2521</v>
      </c>
      <c r="B1869" t="s">
        <v>33</v>
      </c>
      <c r="C1869" s="3">
        <f t="shared" si="551"/>
        <v>0</v>
      </c>
      <c r="D1869">
        <f t="shared" si="552"/>
        <v>1</v>
      </c>
      <c r="E1869" t="s">
        <v>482</v>
      </c>
      <c r="F1869" t="s">
        <v>1041</v>
      </c>
      <c r="G1869" s="1">
        <v>27726</v>
      </c>
      <c r="H1869" s="2">
        <f t="shared" ca="1" si="553"/>
        <v>50</v>
      </c>
      <c r="I1869" s="2">
        <f t="shared" ca="1" si="554"/>
        <v>0.35714285714285715</v>
      </c>
      <c r="J1869" t="s">
        <v>36</v>
      </c>
      <c r="K1869" t="s">
        <v>248</v>
      </c>
      <c r="L1869">
        <f t="shared" si="555"/>
        <v>0</v>
      </c>
      <c r="M1869">
        <f t="shared" si="556"/>
        <v>0</v>
      </c>
      <c r="N1869">
        <f t="shared" si="557"/>
        <v>0</v>
      </c>
      <c r="O1869" t="s">
        <v>836</v>
      </c>
      <c r="P1869">
        <f t="shared" si="558"/>
        <v>0</v>
      </c>
      <c r="Q1869">
        <f t="shared" si="559"/>
        <v>0</v>
      </c>
      <c r="R1869">
        <f t="shared" si="560"/>
        <v>0</v>
      </c>
      <c r="S1869">
        <f t="shared" si="561"/>
        <v>0</v>
      </c>
      <c r="T1869">
        <f t="shared" si="562"/>
        <v>0</v>
      </c>
      <c r="U1869">
        <f t="shared" si="563"/>
        <v>0</v>
      </c>
      <c r="V1869">
        <f t="shared" si="564"/>
        <v>0</v>
      </c>
      <c r="W1869" t="s">
        <v>39</v>
      </c>
      <c r="X1869">
        <f t="shared" si="565"/>
        <v>1</v>
      </c>
      <c r="Y1869">
        <f t="shared" si="566"/>
        <v>0</v>
      </c>
      <c r="Z1869">
        <v>1</v>
      </c>
      <c r="AA1869">
        <f t="shared" si="567"/>
        <v>0</v>
      </c>
      <c r="AB1869" t="s">
        <v>46</v>
      </c>
      <c r="AC1869">
        <f t="shared" si="568"/>
        <v>0</v>
      </c>
      <c r="AD1869">
        <f t="shared" si="569"/>
        <v>0</v>
      </c>
      <c r="AE1869" t="s">
        <v>41</v>
      </c>
      <c r="AF1869">
        <f>IF(AE1869="website",1,0)</f>
        <v>1</v>
      </c>
    </row>
    <row r="1870" spans="1:32">
      <c r="A1870" t="s">
        <v>2522</v>
      </c>
      <c r="B1870" t="s">
        <v>33</v>
      </c>
      <c r="C1870" s="3">
        <f t="shared" si="551"/>
        <v>0</v>
      </c>
      <c r="D1870">
        <f t="shared" si="552"/>
        <v>1</v>
      </c>
      <c r="E1870" t="s">
        <v>619</v>
      </c>
      <c r="F1870" t="s">
        <v>623</v>
      </c>
      <c r="G1870" s="1">
        <v>27672</v>
      </c>
      <c r="H1870" s="2">
        <f t="shared" ca="1" si="553"/>
        <v>51</v>
      </c>
      <c r="I1870" s="2">
        <f t="shared" ca="1" si="554"/>
        <v>0.37142857142857144</v>
      </c>
      <c r="J1870" t="s">
        <v>36</v>
      </c>
      <c r="K1870" t="s">
        <v>158</v>
      </c>
      <c r="L1870">
        <f t="shared" si="555"/>
        <v>0</v>
      </c>
      <c r="M1870">
        <f t="shared" si="556"/>
        <v>0</v>
      </c>
      <c r="N1870">
        <f t="shared" si="557"/>
        <v>0</v>
      </c>
      <c r="O1870" t="s">
        <v>732</v>
      </c>
      <c r="P1870">
        <f t="shared" si="558"/>
        <v>0</v>
      </c>
      <c r="Q1870">
        <f t="shared" si="559"/>
        <v>0</v>
      </c>
      <c r="R1870">
        <f t="shared" si="560"/>
        <v>0</v>
      </c>
      <c r="S1870">
        <f t="shared" si="561"/>
        <v>0</v>
      </c>
      <c r="T1870">
        <f t="shared" si="562"/>
        <v>0</v>
      </c>
      <c r="U1870">
        <f t="shared" si="563"/>
        <v>0</v>
      </c>
      <c r="V1870">
        <f t="shared" si="564"/>
        <v>0</v>
      </c>
      <c r="W1870" t="s">
        <v>39</v>
      </c>
      <c r="X1870">
        <f t="shared" si="565"/>
        <v>1</v>
      </c>
      <c r="Y1870">
        <f t="shared" si="566"/>
        <v>0</v>
      </c>
      <c r="Z1870">
        <v>5</v>
      </c>
      <c r="AA1870">
        <f t="shared" si="567"/>
        <v>1</v>
      </c>
      <c r="AB1870" t="s">
        <v>46</v>
      </c>
      <c r="AC1870">
        <f t="shared" si="568"/>
        <v>0</v>
      </c>
      <c r="AD1870">
        <f t="shared" si="569"/>
        <v>1</v>
      </c>
      <c r="AE1870" t="s">
        <v>90</v>
      </c>
      <c r="AF1870">
        <f>IF(AE1870="website",1,0)</f>
        <v>0</v>
      </c>
    </row>
    <row r="1871" spans="1:32">
      <c r="A1871" t="s">
        <v>2523</v>
      </c>
      <c r="B1871" t="s">
        <v>33</v>
      </c>
      <c r="C1871" s="3">
        <f t="shared" si="551"/>
        <v>0</v>
      </c>
      <c r="D1871">
        <f t="shared" si="552"/>
        <v>1</v>
      </c>
      <c r="E1871" t="s">
        <v>590</v>
      </c>
      <c r="F1871" t="s">
        <v>620</v>
      </c>
      <c r="G1871" s="1">
        <v>29507</v>
      </c>
      <c r="H1871" s="2">
        <f t="shared" ca="1" si="553"/>
        <v>45</v>
      </c>
      <c r="I1871" s="2">
        <f t="shared" ca="1" si="554"/>
        <v>0.2857142857142857</v>
      </c>
      <c r="J1871" t="s">
        <v>45</v>
      </c>
      <c r="K1871" t="s">
        <v>37</v>
      </c>
      <c r="L1871">
        <f t="shared" si="555"/>
        <v>1</v>
      </c>
      <c r="M1871">
        <f t="shared" si="556"/>
        <v>0</v>
      </c>
      <c r="N1871">
        <f t="shared" si="557"/>
        <v>0</v>
      </c>
      <c r="O1871" t="s">
        <v>565</v>
      </c>
      <c r="P1871">
        <f t="shared" si="558"/>
        <v>0</v>
      </c>
      <c r="Q1871">
        <f t="shared" si="559"/>
        <v>0</v>
      </c>
      <c r="R1871">
        <f t="shared" si="560"/>
        <v>0</v>
      </c>
      <c r="S1871">
        <f t="shared" si="561"/>
        <v>0</v>
      </c>
      <c r="T1871">
        <f t="shared" si="562"/>
        <v>0</v>
      </c>
      <c r="U1871">
        <f t="shared" si="563"/>
        <v>0</v>
      </c>
      <c r="V1871">
        <f t="shared" si="564"/>
        <v>0</v>
      </c>
      <c r="W1871" t="s">
        <v>58</v>
      </c>
      <c r="X1871">
        <f t="shared" si="565"/>
        <v>0</v>
      </c>
      <c r="Y1871">
        <f t="shared" si="566"/>
        <v>1</v>
      </c>
      <c r="Z1871">
        <v>1</v>
      </c>
      <c r="AA1871">
        <f t="shared" si="567"/>
        <v>0</v>
      </c>
      <c r="AB1871" t="s">
        <v>46</v>
      </c>
      <c r="AC1871">
        <f t="shared" si="568"/>
        <v>1</v>
      </c>
      <c r="AD1871">
        <f t="shared" si="569"/>
        <v>0</v>
      </c>
      <c r="AE1871" t="s">
        <v>50</v>
      </c>
      <c r="AF1871">
        <f>IF(AE1871="website",1,0)</f>
        <v>0</v>
      </c>
    </row>
    <row r="1872" spans="1:32">
      <c r="A1872" t="s">
        <v>2524</v>
      </c>
      <c r="B1872" t="s">
        <v>33</v>
      </c>
      <c r="C1872" s="3">
        <f t="shared" si="551"/>
        <v>0</v>
      </c>
      <c r="D1872">
        <f t="shared" si="552"/>
        <v>1</v>
      </c>
      <c r="E1872" t="s">
        <v>666</v>
      </c>
      <c r="F1872" t="s">
        <v>641</v>
      </c>
      <c r="G1872" s="1">
        <v>22572</v>
      </c>
      <c r="H1872" s="2">
        <f t="shared" ca="1" si="553"/>
        <v>64</v>
      </c>
      <c r="I1872" s="2">
        <f t="shared" ca="1" si="554"/>
        <v>0.55714285714285716</v>
      </c>
      <c r="J1872" t="s">
        <v>36</v>
      </c>
      <c r="K1872" t="s">
        <v>37</v>
      </c>
      <c r="L1872">
        <f t="shared" si="555"/>
        <v>1</v>
      </c>
      <c r="M1872">
        <f t="shared" si="556"/>
        <v>0</v>
      </c>
      <c r="N1872">
        <f t="shared" si="557"/>
        <v>0</v>
      </c>
      <c r="O1872" t="s">
        <v>592</v>
      </c>
      <c r="P1872">
        <f t="shared" si="558"/>
        <v>0</v>
      </c>
      <c r="Q1872">
        <f t="shared" si="559"/>
        <v>0</v>
      </c>
      <c r="R1872">
        <f t="shared" si="560"/>
        <v>0</v>
      </c>
      <c r="S1872">
        <f t="shared" si="561"/>
        <v>0</v>
      </c>
      <c r="T1872">
        <f t="shared" si="562"/>
        <v>0</v>
      </c>
      <c r="U1872">
        <f t="shared" si="563"/>
        <v>0</v>
      </c>
      <c r="V1872">
        <f t="shared" si="564"/>
        <v>0</v>
      </c>
      <c r="W1872" t="s">
        <v>39</v>
      </c>
      <c r="X1872">
        <f t="shared" si="565"/>
        <v>1</v>
      </c>
      <c r="Y1872">
        <f t="shared" si="566"/>
        <v>0</v>
      </c>
      <c r="Z1872">
        <v>1</v>
      </c>
      <c r="AA1872">
        <f t="shared" si="567"/>
        <v>0</v>
      </c>
      <c r="AB1872" t="s">
        <v>40</v>
      </c>
      <c r="AC1872">
        <f t="shared" si="568"/>
        <v>0</v>
      </c>
      <c r="AD1872">
        <f t="shared" si="569"/>
        <v>0</v>
      </c>
      <c r="AE1872" t="s">
        <v>41</v>
      </c>
      <c r="AF1872">
        <f>IF(AE1872="website",1,0)</f>
        <v>1</v>
      </c>
    </row>
    <row r="1873" spans="1:32">
      <c r="A1873" t="s">
        <v>2525</v>
      </c>
      <c r="B1873" t="s">
        <v>33</v>
      </c>
      <c r="C1873" s="3">
        <f t="shared" si="551"/>
        <v>0</v>
      </c>
      <c r="D1873">
        <f t="shared" si="552"/>
        <v>1</v>
      </c>
      <c r="E1873" t="s">
        <v>795</v>
      </c>
      <c r="F1873" t="s">
        <v>562</v>
      </c>
      <c r="G1873" s="1">
        <v>14907</v>
      </c>
      <c r="H1873" s="2">
        <f t="shared" ca="1" si="553"/>
        <v>85</v>
      </c>
      <c r="I1873" s="2">
        <f t="shared" ca="1" si="554"/>
        <v>0.8571428571428571</v>
      </c>
      <c r="J1873" t="s">
        <v>45</v>
      </c>
      <c r="K1873" t="s">
        <v>158</v>
      </c>
      <c r="L1873">
        <f t="shared" si="555"/>
        <v>0</v>
      </c>
      <c r="M1873">
        <f t="shared" si="556"/>
        <v>0</v>
      </c>
      <c r="N1873">
        <f t="shared" si="557"/>
        <v>0</v>
      </c>
      <c r="O1873" t="s">
        <v>159</v>
      </c>
      <c r="P1873">
        <f t="shared" si="558"/>
        <v>0</v>
      </c>
      <c r="Q1873">
        <f t="shared" si="559"/>
        <v>0</v>
      </c>
      <c r="R1873">
        <f t="shared" si="560"/>
        <v>0</v>
      </c>
      <c r="S1873">
        <f t="shared" si="561"/>
        <v>0</v>
      </c>
      <c r="T1873">
        <f t="shared" si="562"/>
        <v>0</v>
      </c>
      <c r="U1873">
        <f t="shared" si="563"/>
        <v>0</v>
      </c>
      <c r="V1873">
        <f t="shared" si="564"/>
        <v>0</v>
      </c>
      <c r="W1873" t="s">
        <v>39</v>
      </c>
      <c r="X1873">
        <f t="shared" si="565"/>
        <v>1</v>
      </c>
      <c r="Y1873">
        <f t="shared" si="566"/>
        <v>0</v>
      </c>
      <c r="Z1873">
        <v>5</v>
      </c>
      <c r="AA1873">
        <f t="shared" si="567"/>
        <v>1</v>
      </c>
      <c r="AB1873" t="s">
        <v>46</v>
      </c>
      <c r="AC1873">
        <f t="shared" si="568"/>
        <v>0</v>
      </c>
      <c r="AD1873">
        <f t="shared" si="569"/>
        <v>1</v>
      </c>
      <c r="AE1873" t="s">
        <v>90</v>
      </c>
      <c r="AF1873">
        <f>IF(AE1873="website",1,0)</f>
        <v>0</v>
      </c>
    </row>
    <row r="1874" spans="1:32">
      <c r="A1874" t="s">
        <v>2526</v>
      </c>
      <c r="B1874" t="s">
        <v>33</v>
      </c>
      <c r="C1874" s="3">
        <f t="shared" si="551"/>
        <v>0</v>
      </c>
      <c r="D1874">
        <f t="shared" si="552"/>
        <v>1</v>
      </c>
      <c r="E1874" t="s">
        <v>606</v>
      </c>
      <c r="F1874" t="s">
        <v>745</v>
      </c>
      <c r="G1874" s="1">
        <v>21619</v>
      </c>
      <c r="H1874" s="2">
        <f t="shared" ca="1" si="553"/>
        <v>67</v>
      </c>
      <c r="I1874" s="2">
        <f t="shared" ca="1" si="554"/>
        <v>0.6</v>
      </c>
      <c r="J1874" t="s">
        <v>36</v>
      </c>
      <c r="K1874" t="s">
        <v>65</v>
      </c>
      <c r="L1874">
        <f t="shared" si="555"/>
        <v>0</v>
      </c>
      <c r="M1874">
        <f t="shared" si="556"/>
        <v>1</v>
      </c>
      <c r="N1874">
        <f t="shared" si="557"/>
        <v>0</v>
      </c>
      <c r="O1874" t="s">
        <v>642</v>
      </c>
      <c r="P1874">
        <f t="shared" si="558"/>
        <v>0</v>
      </c>
      <c r="Q1874">
        <f t="shared" si="559"/>
        <v>0</v>
      </c>
      <c r="R1874">
        <f t="shared" si="560"/>
        <v>0</v>
      </c>
      <c r="S1874">
        <f t="shared" si="561"/>
        <v>0</v>
      </c>
      <c r="T1874">
        <f t="shared" si="562"/>
        <v>0</v>
      </c>
      <c r="U1874">
        <f t="shared" si="563"/>
        <v>0</v>
      </c>
      <c r="V1874">
        <f t="shared" si="564"/>
        <v>0</v>
      </c>
      <c r="W1874" t="s">
        <v>39</v>
      </c>
      <c r="X1874">
        <f t="shared" si="565"/>
        <v>1</v>
      </c>
      <c r="Y1874">
        <f t="shared" si="566"/>
        <v>0</v>
      </c>
      <c r="Z1874">
        <v>5</v>
      </c>
      <c r="AA1874">
        <f t="shared" si="567"/>
        <v>1</v>
      </c>
      <c r="AB1874" t="s">
        <v>46</v>
      </c>
      <c r="AC1874">
        <f t="shared" si="568"/>
        <v>1</v>
      </c>
      <c r="AD1874">
        <f t="shared" si="569"/>
        <v>0</v>
      </c>
      <c r="AE1874" t="s">
        <v>50</v>
      </c>
      <c r="AF1874">
        <f>IF(AE1874="website",1,0)</f>
        <v>0</v>
      </c>
    </row>
    <row r="1875" spans="1:32">
      <c r="A1875" t="s">
        <v>2527</v>
      </c>
      <c r="B1875" t="s">
        <v>33</v>
      </c>
      <c r="C1875" s="3">
        <f t="shared" si="551"/>
        <v>0</v>
      </c>
      <c r="D1875">
        <f t="shared" si="552"/>
        <v>1</v>
      </c>
      <c r="E1875" t="s">
        <v>750</v>
      </c>
      <c r="F1875" t="s">
        <v>861</v>
      </c>
      <c r="G1875" s="1">
        <v>26621</v>
      </c>
      <c r="H1875" s="2">
        <f t="shared" ca="1" si="553"/>
        <v>53</v>
      </c>
      <c r="I1875" s="2">
        <f t="shared" ca="1" si="554"/>
        <v>0.4</v>
      </c>
      <c r="J1875" t="s">
        <v>45</v>
      </c>
      <c r="K1875" t="s">
        <v>37</v>
      </c>
      <c r="L1875">
        <f t="shared" si="555"/>
        <v>1</v>
      </c>
      <c r="M1875">
        <f t="shared" si="556"/>
        <v>0</v>
      </c>
      <c r="N1875">
        <f t="shared" si="557"/>
        <v>0</v>
      </c>
      <c r="O1875" t="s">
        <v>137</v>
      </c>
      <c r="P1875">
        <f t="shared" si="558"/>
        <v>0</v>
      </c>
      <c r="Q1875">
        <f t="shared" si="559"/>
        <v>0</v>
      </c>
      <c r="R1875">
        <f t="shared" si="560"/>
        <v>0</v>
      </c>
      <c r="S1875">
        <f t="shared" si="561"/>
        <v>0</v>
      </c>
      <c r="T1875">
        <f t="shared" si="562"/>
        <v>0</v>
      </c>
      <c r="U1875">
        <f t="shared" si="563"/>
        <v>0</v>
      </c>
      <c r="V1875">
        <f t="shared" si="564"/>
        <v>0</v>
      </c>
      <c r="W1875" t="s">
        <v>58</v>
      </c>
      <c r="X1875">
        <f t="shared" si="565"/>
        <v>0</v>
      </c>
      <c r="Y1875">
        <f t="shared" si="566"/>
        <v>1</v>
      </c>
      <c r="Z1875">
        <v>1</v>
      </c>
      <c r="AA1875">
        <f t="shared" si="567"/>
        <v>0</v>
      </c>
      <c r="AB1875" t="s">
        <v>46</v>
      </c>
      <c r="AC1875">
        <f t="shared" si="568"/>
        <v>1</v>
      </c>
      <c r="AD1875">
        <f t="shared" si="569"/>
        <v>0</v>
      </c>
      <c r="AE1875" t="s">
        <v>50</v>
      </c>
      <c r="AF1875">
        <f>IF(AE1875="website",1,0)</f>
        <v>0</v>
      </c>
    </row>
    <row r="1876" spans="1:32">
      <c r="A1876" t="s">
        <v>2528</v>
      </c>
      <c r="B1876" t="s">
        <v>33</v>
      </c>
      <c r="C1876" s="3">
        <f t="shared" si="551"/>
        <v>0</v>
      </c>
      <c r="D1876">
        <f t="shared" si="552"/>
        <v>1</v>
      </c>
      <c r="E1876" t="s">
        <v>776</v>
      </c>
      <c r="F1876" t="s">
        <v>653</v>
      </c>
      <c r="G1876" s="1">
        <v>15962</v>
      </c>
      <c r="H1876" s="2">
        <f t="shared" ca="1" si="553"/>
        <v>83</v>
      </c>
      <c r="I1876" s="2">
        <f t="shared" ca="1" si="554"/>
        <v>0.82857142857142863</v>
      </c>
      <c r="J1876" t="s">
        <v>36</v>
      </c>
      <c r="K1876" t="s">
        <v>37</v>
      </c>
      <c r="L1876">
        <f t="shared" si="555"/>
        <v>1</v>
      </c>
      <c r="M1876">
        <f t="shared" si="556"/>
        <v>0</v>
      </c>
      <c r="N1876">
        <f t="shared" si="557"/>
        <v>0</v>
      </c>
      <c r="O1876" t="s">
        <v>124</v>
      </c>
      <c r="P1876">
        <f t="shared" si="558"/>
        <v>0</v>
      </c>
      <c r="Q1876">
        <f t="shared" si="559"/>
        <v>0</v>
      </c>
      <c r="R1876">
        <f t="shared" si="560"/>
        <v>0</v>
      </c>
      <c r="S1876">
        <f t="shared" si="561"/>
        <v>0</v>
      </c>
      <c r="T1876">
        <f t="shared" si="562"/>
        <v>0</v>
      </c>
      <c r="U1876">
        <f t="shared" si="563"/>
        <v>1</v>
      </c>
      <c r="V1876">
        <f t="shared" si="564"/>
        <v>0</v>
      </c>
      <c r="W1876" t="s">
        <v>39</v>
      </c>
      <c r="X1876">
        <f t="shared" si="565"/>
        <v>1</v>
      </c>
      <c r="Y1876">
        <f t="shared" si="566"/>
        <v>0</v>
      </c>
      <c r="Z1876">
        <v>2</v>
      </c>
      <c r="AA1876">
        <f t="shared" si="567"/>
        <v>0.25</v>
      </c>
      <c r="AB1876" t="s">
        <v>46</v>
      </c>
      <c r="AC1876">
        <f t="shared" si="568"/>
        <v>0</v>
      </c>
      <c r="AD1876">
        <f t="shared" si="569"/>
        <v>1</v>
      </c>
      <c r="AE1876" t="s">
        <v>90</v>
      </c>
      <c r="AF1876">
        <f>IF(AE1876="website",1,0)</f>
        <v>0</v>
      </c>
    </row>
    <row r="1877" spans="1:32">
      <c r="A1877" t="s">
        <v>2529</v>
      </c>
      <c r="B1877" t="s">
        <v>55</v>
      </c>
      <c r="C1877" s="3">
        <f t="shared" si="551"/>
        <v>1</v>
      </c>
      <c r="D1877">
        <f t="shared" si="552"/>
        <v>0</v>
      </c>
      <c r="E1877" t="s">
        <v>1005</v>
      </c>
      <c r="F1877" t="s">
        <v>57</v>
      </c>
      <c r="G1877" s="1">
        <v>29662</v>
      </c>
      <c r="H1877" s="2">
        <f t="shared" ca="1" si="553"/>
        <v>45</v>
      </c>
      <c r="I1877" s="2">
        <f t="shared" ca="1" si="554"/>
        <v>0.2857142857142857</v>
      </c>
      <c r="J1877" t="s">
        <v>45</v>
      </c>
      <c r="K1877" t="s">
        <v>37</v>
      </c>
      <c r="L1877">
        <f t="shared" si="555"/>
        <v>1</v>
      </c>
      <c r="M1877">
        <f t="shared" si="556"/>
        <v>0</v>
      </c>
      <c r="N1877">
        <f t="shared" si="557"/>
        <v>0</v>
      </c>
      <c r="O1877" t="s">
        <v>559</v>
      </c>
      <c r="P1877">
        <f t="shared" si="558"/>
        <v>0</v>
      </c>
      <c r="Q1877">
        <f t="shared" si="559"/>
        <v>0</v>
      </c>
      <c r="R1877">
        <f t="shared" si="560"/>
        <v>0</v>
      </c>
      <c r="S1877">
        <f t="shared" si="561"/>
        <v>0</v>
      </c>
      <c r="T1877">
        <f t="shared" si="562"/>
        <v>0</v>
      </c>
      <c r="U1877">
        <f t="shared" si="563"/>
        <v>0</v>
      </c>
      <c r="V1877">
        <f t="shared" si="564"/>
        <v>0</v>
      </c>
      <c r="W1877" t="s">
        <v>58</v>
      </c>
      <c r="X1877">
        <f t="shared" si="565"/>
        <v>0</v>
      </c>
      <c r="Y1877">
        <f t="shared" si="566"/>
        <v>1</v>
      </c>
      <c r="Z1877">
        <v>4</v>
      </c>
      <c r="AA1877">
        <f t="shared" si="567"/>
        <v>0.75</v>
      </c>
      <c r="AB1877" t="s">
        <v>40</v>
      </c>
      <c r="AC1877">
        <f t="shared" si="568"/>
        <v>0</v>
      </c>
      <c r="AD1877">
        <f t="shared" si="569"/>
        <v>0</v>
      </c>
      <c r="AE1877" t="s">
        <v>41</v>
      </c>
      <c r="AF1877">
        <f>IF(AE1877="website",1,0)</f>
        <v>1</v>
      </c>
    </row>
    <row r="1878" spans="1:32">
      <c r="A1878" t="s">
        <v>2530</v>
      </c>
      <c r="B1878" t="s">
        <v>33</v>
      </c>
      <c r="C1878" s="3">
        <f t="shared" si="551"/>
        <v>0</v>
      </c>
      <c r="D1878">
        <f t="shared" si="552"/>
        <v>1</v>
      </c>
      <c r="E1878" t="s">
        <v>216</v>
      </c>
      <c r="F1878" t="s">
        <v>773</v>
      </c>
      <c r="G1878" s="1">
        <v>22540</v>
      </c>
      <c r="H1878" s="2">
        <f t="shared" ca="1" si="553"/>
        <v>65</v>
      </c>
      <c r="I1878" s="2">
        <f t="shared" ca="1" si="554"/>
        <v>0.5714285714285714</v>
      </c>
      <c r="J1878" t="s">
        <v>45</v>
      </c>
      <c r="K1878" t="s">
        <v>37</v>
      </c>
      <c r="L1878">
        <f t="shared" si="555"/>
        <v>1</v>
      </c>
      <c r="M1878">
        <f t="shared" si="556"/>
        <v>0</v>
      </c>
      <c r="N1878">
        <f t="shared" si="557"/>
        <v>0</v>
      </c>
      <c r="O1878" t="s">
        <v>97</v>
      </c>
      <c r="P1878">
        <f t="shared" si="558"/>
        <v>0</v>
      </c>
      <c r="Q1878">
        <f t="shared" si="559"/>
        <v>0</v>
      </c>
      <c r="R1878">
        <f t="shared" si="560"/>
        <v>0</v>
      </c>
      <c r="S1878">
        <f t="shared" si="561"/>
        <v>0</v>
      </c>
      <c r="T1878">
        <f t="shared" si="562"/>
        <v>1</v>
      </c>
      <c r="U1878">
        <f t="shared" si="563"/>
        <v>0</v>
      </c>
      <c r="V1878">
        <f t="shared" si="564"/>
        <v>0</v>
      </c>
      <c r="W1878" t="s">
        <v>39</v>
      </c>
      <c r="X1878">
        <f t="shared" si="565"/>
        <v>1</v>
      </c>
      <c r="Y1878">
        <f t="shared" si="566"/>
        <v>0</v>
      </c>
      <c r="Z1878">
        <v>5</v>
      </c>
      <c r="AA1878">
        <f t="shared" si="567"/>
        <v>1</v>
      </c>
      <c r="AB1878" t="s">
        <v>46</v>
      </c>
      <c r="AC1878">
        <f t="shared" si="568"/>
        <v>1</v>
      </c>
      <c r="AD1878">
        <f t="shared" si="569"/>
        <v>0</v>
      </c>
      <c r="AE1878" t="s">
        <v>50</v>
      </c>
      <c r="AF1878">
        <f>IF(AE1878="website",1,0)</f>
        <v>0</v>
      </c>
    </row>
    <row r="1879" spans="1:32">
      <c r="A1879" t="s">
        <v>2531</v>
      </c>
      <c r="B1879" t="s">
        <v>33</v>
      </c>
      <c r="C1879" s="3">
        <f t="shared" si="551"/>
        <v>0</v>
      </c>
      <c r="D1879">
        <f t="shared" si="552"/>
        <v>1</v>
      </c>
      <c r="E1879" t="s">
        <v>792</v>
      </c>
      <c r="F1879" t="s">
        <v>709</v>
      </c>
      <c r="G1879" s="1">
        <v>24752</v>
      </c>
      <c r="H1879" s="2">
        <f t="shared" ca="1" si="553"/>
        <v>58</v>
      </c>
      <c r="I1879" s="2">
        <f t="shared" ca="1" si="554"/>
        <v>0.47142857142857142</v>
      </c>
      <c r="J1879" t="s">
        <v>45</v>
      </c>
      <c r="K1879" t="s">
        <v>37</v>
      </c>
      <c r="L1879">
        <f t="shared" si="555"/>
        <v>1</v>
      </c>
      <c r="M1879">
        <f t="shared" si="556"/>
        <v>0</v>
      </c>
      <c r="N1879">
        <f t="shared" si="557"/>
        <v>0</v>
      </c>
      <c r="O1879" t="s">
        <v>565</v>
      </c>
      <c r="P1879">
        <f t="shared" si="558"/>
        <v>0</v>
      </c>
      <c r="Q1879">
        <f t="shared" si="559"/>
        <v>0</v>
      </c>
      <c r="R1879">
        <f t="shared" si="560"/>
        <v>0</v>
      </c>
      <c r="S1879">
        <f t="shared" si="561"/>
        <v>0</v>
      </c>
      <c r="T1879">
        <f t="shared" si="562"/>
        <v>0</v>
      </c>
      <c r="U1879">
        <f t="shared" si="563"/>
        <v>0</v>
      </c>
      <c r="V1879">
        <f t="shared" si="564"/>
        <v>0</v>
      </c>
      <c r="W1879" t="s">
        <v>39</v>
      </c>
      <c r="X1879">
        <f t="shared" si="565"/>
        <v>1</v>
      </c>
      <c r="Y1879">
        <f t="shared" si="566"/>
        <v>0</v>
      </c>
      <c r="Z1879">
        <v>5</v>
      </c>
      <c r="AA1879">
        <f t="shared" si="567"/>
        <v>1</v>
      </c>
      <c r="AB1879" t="s">
        <v>46</v>
      </c>
      <c r="AC1879">
        <f t="shared" si="568"/>
        <v>1</v>
      </c>
      <c r="AD1879">
        <f t="shared" si="569"/>
        <v>0</v>
      </c>
      <c r="AE1879" t="s">
        <v>50</v>
      </c>
      <c r="AF1879">
        <f>IF(AE1879="website",1,0)</f>
        <v>0</v>
      </c>
    </row>
    <row r="1880" spans="1:32">
      <c r="A1880" t="s">
        <v>2532</v>
      </c>
      <c r="B1880" t="s">
        <v>33</v>
      </c>
      <c r="C1880" s="3">
        <f t="shared" si="551"/>
        <v>0</v>
      </c>
      <c r="D1880">
        <f t="shared" si="552"/>
        <v>1</v>
      </c>
      <c r="E1880" t="s">
        <v>679</v>
      </c>
      <c r="F1880" t="s">
        <v>653</v>
      </c>
      <c r="G1880" s="1">
        <v>28148</v>
      </c>
      <c r="H1880" s="2">
        <f t="shared" ca="1" si="553"/>
        <v>49</v>
      </c>
      <c r="I1880" s="2">
        <f t="shared" ca="1" si="554"/>
        <v>0.34285714285714286</v>
      </c>
      <c r="J1880" t="s">
        <v>36</v>
      </c>
      <c r="K1880" t="s">
        <v>37</v>
      </c>
      <c r="L1880">
        <f t="shared" si="555"/>
        <v>1</v>
      </c>
      <c r="M1880">
        <f t="shared" si="556"/>
        <v>0</v>
      </c>
      <c r="N1880">
        <f t="shared" si="557"/>
        <v>0</v>
      </c>
      <c r="O1880" t="s">
        <v>717</v>
      </c>
      <c r="P1880">
        <f t="shared" si="558"/>
        <v>0</v>
      </c>
      <c r="Q1880">
        <f t="shared" si="559"/>
        <v>0</v>
      </c>
      <c r="R1880">
        <f t="shared" si="560"/>
        <v>0</v>
      </c>
      <c r="S1880">
        <f t="shared" si="561"/>
        <v>0</v>
      </c>
      <c r="T1880">
        <f t="shared" si="562"/>
        <v>0</v>
      </c>
      <c r="U1880">
        <f t="shared" si="563"/>
        <v>0</v>
      </c>
      <c r="V1880">
        <f t="shared" si="564"/>
        <v>0</v>
      </c>
      <c r="W1880" t="s">
        <v>39</v>
      </c>
      <c r="X1880">
        <f t="shared" si="565"/>
        <v>1</v>
      </c>
      <c r="Y1880">
        <f t="shared" si="566"/>
        <v>0</v>
      </c>
      <c r="Z1880">
        <v>3</v>
      </c>
      <c r="AA1880">
        <f t="shared" si="567"/>
        <v>0.5</v>
      </c>
      <c r="AB1880" t="s">
        <v>46</v>
      </c>
      <c r="AC1880">
        <f t="shared" si="568"/>
        <v>0</v>
      </c>
      <c r="AD1880">
        <f t="shared" si="569"/>
        <v>0</v>
      </c>
      <c r="AE1880" t="s">
        <v>41</v>
      </c>
      <c r="AF1880">
        <f>IF(AE1880="website",1,0)</f>
        <v>1</v>
      </c>
    </row>
    <row r="1881" spans="1:32">
      <c r="A1881" t="s">
        <v>2533</v>
      </c>
      <c r="B1881" t="s">
        <v>33</v>
      </c>
      <c r="C1881" s="3">
        <f t="shared" si="551"/>
        <v>0</v>
      </c>
      <c r="D1881">
        <f t="shared" si="552"/>
        <v>1</v>
      </c>
      <c r="E1881" t="s">
        <v>817</v>
      </c>
      <c r="F1881" t="s">
        <v>730</v>
      </c>
      <c r="G1881" s="1">
        <v>35817</v>
      </c>
      <c r="H1881" s="2">
        <f t="shared" ca="1" si="553"/>
        <v>28</v>
      </c>
      <c r="I1881" s="2">
        <f t="shared" ca="1" si="554"/>
        <v>4.2857142857142858E-2</v>
      </c>
      <c r="J1881" t="s">
        <v>36</v>
      </c>
      <c r="K1881" t="s">
        <v>37</v>
      </c>
      <c r="L1881">
        <f t="shared" si="555"/>
        <v>1</v>
      </c>
      <c r="M1881">
        <f t="shared" si="556"/>
        <v>0</v>
      </c>
      <c r="N1881">
        <f t="shared" si="557"/>
        <v>0</v>
      </c>
      <c r="O1881" t="s">
        <v>38</v>
      </c>
      <c r="P1881">
        <f t="shared" si="558"/>
        <v>1</v>
      </c>
      <c r="Q1881">
        <f t="shared" si="559"/>
        <v>0</v>
      </c>
      <c r="R1881">
        <f t="shared" si="560"/>
        <v>0</v>
      </c>
      <c r="S1881">
        <f t="shared" si="561"/>
        <v>0</v>
      </c>
      <c r="T1881">
        <f t="shared" si="562"/>
        <v>0</v>
      </c>
      <c r="U1881">
        <f t="shared" si="563"/>
        <v>0</v>
      </c>
      <c r="V1881">
        <f t="shared" si="564"/>
        <v>0</v>
      </c>
      <c r="W1881" t="s">
        <v>39</v>
      </c>
      <c r="X1881">
        <f t="shared" si="565"/>
        <v>1</v>
      </c>
      <c r="Y1881">
        <f t="shared" si="566"/>
        <v>0</v>
      </c>
      <c r="Z1881">
        <v>5</v>
      </c>
      <c r="AA1881">
        <f t="shared" si="567"/>
        <v>1</v>
      </c>
      <c r="AB1881" t="s">
        <v>40</v>
      </c>
      <c r="AC1881">
        <f t="shared" si="568"/>
        <v>0</v>
      </c>
      <c r="AD1881">
        <f t="shared" si="569"/>
        <v>1</v>
      </c>
      <c r="AE1881" t="s">
        <v>90</v>
      </c>
      <c r="AF1881">
        <f>IF(AE1881="website",1,0)</f>
        <v>0</v>
      </c>
    </row>
    <row r="1882" spans="1:32">
      <c r="A1882" t="s">
        <v>2534</v>
      </c>
      <c r="B1882" t="s">
        <v>33</v>
      </c>
      <c r="C1882" s="3">
        <f t="shared" si="551"/>
        <v>0</v>
      </c>
      <c r="D1882">
        <f t="shared" si="552"/>
        <v>1</v>
      </c>
      <c r="E1882" t="s">
        <v>988</v>
      </c>
      <c r="F1882" t="s">
        <v>685</v>
      </c>
      <c r="G1882" s="1">
        <v>32764</v>
      </c>
      <c r="H1882" s="2">
        <f t="shared" ca="1" si="553"/>
        <v>37</v>
      </c>
      <c r="I1882" s="2">
        <f t="shared" ca="1" si="554"/>
        <v>0.17142857142857143</v>
      </c>
      <c r="J1882" t="s">
        <v>36</v>
      </c>
      <c r="K1882" t="s">
        <v>37</v>
      </c>
      <c r="L1882">
        <f t="shared" si="555"/>
        <v>1</v>
      </c>
      <c r="M1882">
        <f t="shared" si="556"/>
        <v>0</v>
      </c>
      <c r="N1882">
        <f t="shared" si="557"/>
        <v>0</v>
      </c>
      <c r="O1882" t="s">
        <v>76</v>
      </c>
      <c r="P1882">
        <f t="shared" si="558"/>
        <v>0</v>
      </c>
      <c r="Q1882">
        <f t="shared" si="559"/>
        <v>1</v>
      </c>
      <c r="R1882">
        <f t="shared" si="560"/>
        <v>0</v>
      </c>
      <c r="S1882">
        <f t="shared" si="561"/>
        <v>0</v>
      </c>
      <c r="T1882">
        <f t="shared" si="562"/>
        <v>0</v>
      </c>
      <c r="U1882">
        <f t="shared" si="563"/>
        <v>0</v>
      </c>
      <c r="V1882">
        <f t="shared" si="564"/>
        <v>0</v>
      </c>
      <c r="W1882" t="s">
        <v>39</v>
      </c>
      <c r="X1882">
        <f t="shared" si="565"/>
        <v>1</v>
      </c>
      <c r="Y1882">
        <f t="shared" si="566"/>
        <v>0</v>
      </c>
      <c r="Z1882">
        <v>2</v>
      </c>
      <c r="AA1882">
        <f t="shared" si="567"/>
        <v>0.25</v>
      </c>
      <c r="AB1882" t="s">
        <v>40</v>
      </c>
      <c r="AC1882">
        <f t="shared" si="568"/>
        <v>0</v>
      </c>
      <c r="AD1882">
        <f t="shared" si="569"/>
        <v>0</v>
      </c>
      <c r="AE1882" t="s">
        <v>41</v>
      </c>
      <c r="AF1882">
        <f>IF(AE1882="website",1,0)</f>
        <v>1</v>
      </c>
    </row>
    <row r="1883" spans="1:32">
      <c r="A1883" t="s">
        <v>2535</v>
      </c>
      <c r="B1883" t="s">
        <v>33</v>
      </c>
      <c r="C1883" s="3">
        <f t="shared" si="551"/>
        <v>0</v>
      </c>
      <c r="D1883">
        <f t="shared" si="552"/>
        <v>1</v>
      </c>
      <c r="E1883" t="s">
        <v>679</v>
      </c>
      <c r="F1883" t="s">
        <v>430</v>
      </c>
      <c r="G1883" s="1">
        <v>21997</v>
      </c>
      <c r="H1883" s="2">
        <f t="shared" ca="1" si="553"/>
        <v>66</v>
      </c>
      <c r="I1883" s="2">
        <f t="shared" ca="1" si="554"/>
        <v>0.58571428571428574</v>
      </c>
      <c r="J1883" t="s">
        <v>36</v>
      </c>
      <c r="K1883" t="s">
        <v>37</v>
      </c>
      <c r="L1883">
        <f t="shared" si="555"/>
        <v>1</v>
      </c>
      <c r="M1883">
        <f t="shared" si="556"/>
        <v>0</v>
      </c>
      <c r="N1883">
        <f t="shared" si="557"/>
        <v>0</v>
      </c>
      <c r="O1883" t="s">
        <v>305</v>
      </c>
      <c r="P1883">
        <f t="shared" si="558"/>
        <v>0</v>
      </c>
      <c r="Q1883">
        <f t="shared" si="559"/>
        <v>0</v>
      </c>
      <c r="R1883">
        <f t="shared" si="560"/>
        <v>0</v>
      </c>
      <c r="S1883">
        <f t="shared" si="561"/>
        <v>0</v>
      </c>
      <c r="T1883">
        <f t="shared" si="562"/>
        <v>0</v>
      </c>
      <c r="U1883">
        <f t="shared" si="563"/>
        <v>0</v>
      </c>
      <c r="V1883">
        <f t="shared" si="564"/>
        <v>0</v>
      </c>
      <c r="W1883" t="s">
        <v>58</v>
      </c>
      <c r="X1883">
        <f t="shared" si="565"/>
        <v>0</v>
      </c>
      <c r="Y1883">
        <f t="shared" si="566"/>
        <v>1</v>
      </c>
      <c r="Z1883">
        <v>3</v>
      </c>
      <c r="AA1883">
        <f t="shared" si="567"/>
        <v>0.5</v>
      </c>
      <c r="AB1883" t="s">
        <v>46</v>
      </c>
      <c r="AC1883">
        <f t="shared" si="568"/>
        <v>0</v>
      </c>
      <c r="AD1883">
        <f t="shared" si="569"/>
        <v>0</v>
      </c>
      <c r="AE1883" t="s">
        <v>41</v>
      </c>
      <c r="AF1883">
        <f>IF(AE1883="website",1,0)</f>
        <v>1</v>
      </c>
    </row>
    <row r="1884" spans="1:32">
      <c r="A1884" t="s">
        <v>2536</v>
      </c>
      <c r="B1884" t="s">
        <v>33</v>
      </c>
      <c r="C1884" s="3">
        <f t="shared" si="551"/>
        <v>0</v>
      </c>
      <c r="D1884">
        <f t="shared" si="552"/>
        <v>1</v>
      </c>
      <c r="E1884" t="s">
        <v>629</v>
      </c>
      <c r="F1884" t="s">
        <v>591</v>
      </c>
      <c r="G1884" s="1">
        <v>15018</v>
      </c>
      <c r="H1884" s="2">
        <f t="shared" ca="1" si="553"/>
        <v>85</v>
      </c>
      <c r="I1884" s="2">
        <f t="shared" ca="1" si="554"/>
        <v>0.8571428571428571</v>
      </c>
      <c r="J1884" t="s">
        <v>45</v>
      </c>
      <c r="K1884" t="s">
        <v>37</v>
      </c>
      <c r="L1884">
        <f t="shared" si="555"/>
        <v>1</v>
      </c>
      <c r="M1884">
        <f t="shared" si="556"/>
        <v>0</v>
      </c>
      <c r="N1884">
        <f t="shared" si="557"/>
        <v>0</v>
      </c>
      <c r="O1884" t="s">
        <v>38</v>
      </c>
      <c r="P1884">
        <f t="shared" si="558"/>
        <v>1</v>
      </c>
      <c r="Q1884">
        <f t="shared" si="559"/>
        <v>0</v>
      </c>
      <c r="R1884">
        <f t="shared" si="560"/>
        <v>0</v>
      </c>
      <c r="S1884">
        <f t="shared" si="561"/>
        <v>0</v>
      </c>
      <c r="T1884">
        <f t="shared" si="562"/>
        <v>0</v>
      </c>
      <c r="U1884">
        <f t="shared" si="563"/>
        <v>0</v>
      </c>
      <c r="V1884">
        <f t="shared" si="564"/>
        <v>0</v>
      </c>
      <c r="W1884" t="s">
        <v>39</v>
      </c>
      <c r="X1884">
        <f t="shared" si="565"/>
        <v>1</v>
      </c>
      <c r="Y1884">
        <f t="shared" si="566"/>
        <v>0</v>
      </c>
      <c r="Z1884">
        <v>1</v>
      </c>
      <c r="AA1884">
        <f t="shared" si="567"/>
        <v>0</v>
      </c>
      <c r="AB1884" t="s">
        <v>46</v>
      </c>
      <c r="AC1884">
        <f t="shared" si="568"/>
        <v>1</v>
      </c>
      <c r="AD1884">
        <f t="shared" si="569"/>
        <v>0</v>
      </c>
      <c r="AE1884" t="s">
        <v>50</v>
      </c>
      <c r="AF1884">
        <f>IF(AE1884="website",1,0)</f>
        <v>0</v>
      </c>
    </row>
    <row r="1885" spans="1:32">
      <c r="A1885" t="s">
        <v>2537</v>
      </c>
      <c r="B1885" t="s">
        <v>33</v>
      </c>
      <c r="C1885" s="3">
        <f t="shared" si="551"/>
        <v>0</v>
      </c>
      <c r="D1885">
        <f t="shared" si="552"/>
        <v>1</v>
      </c>
      <c r="E1885" t="s">
        <v>329</v>
      </c>
      <c r="F1885" t="s">
        <v>818</v>
      </c>
      <c r="G1885" s="1">
        <v>19942</v>
      </c>
      <c r="H1885" s="2">
        <f t="shared" ca="1" si="553"/>
        <v>72</v>
      </c>
      <c r="I1885" s="2">
        <f t="shared" ca="1" si="554"/>
        <v>0.67142857142857137</v>
      </c>
      <c r="J1885" t="s">
        <v>45</v>
      </c>
      <c r="K1885" t="s">
        <v>37</v>
      </c>
      <c r="L1885">
        <f t="shared" si="555"/>
        <v>1</v>
      </c>
      <c r="M1885">
        <f t="shared" si="556"/>
        <v>0</v>
      </c>
      <c r="N1885">
        <f t="shared" si="557"/>
        <v>0</v>
      </c>
      <c r="O1885" t="s">
        <v>124</v>
      </c>
      <c r="P1885">
        <f t="shared" si="558"/>
        <v>0</v>
      </c>
      <c r="Q1885">
        <f t="shared" si="559"/>
        <v>0</v>
      </c>
      <c r="R1885">
        <f t="shared" si="560"/>
        <v>0</v>
      </c>
      <c r="S1885">
        <f t="shared" si="561"/>
        <v>0</v>
      </c>
      <c r="T1885">
        <f t="shared" si="562"/>
        <v>0</v>
      </c>
      <c r="U1885">
        <f t="shared" si="563"/>
        <v>1</v>
      </c>
      <c r="V1885">
        <f t="shared" si="564"/>
        <v>0</v>
      </c>
      <c r="W1885" t="s">
        <v>39</v>
      </c>
      <c r="X1885">
        <f t="shared" si="565"/>
        <v>1</v>
      </c>
      <c r="Y1885">
        <f t="shared" si="566"/>
        <v>0</v>
      </c>
      <c r="Z1885">
        <v>5</v>
      </c>
      <c r="AA1885">
        <f t="shared" si="567"/>
        <v>1</v>
      </c>
      <c r="AB1885" t="s">
        <v>40</v>
      </c>
      <c r="AC1885">
        <f t="shared" si="568"/>
        <v>0</v>
      </c>
      <c r="AD1885">
        <f t="shared" si="569"/>
        <v>0</v>
      </c>
      <c r="AE1885" t="s">
        <v>41</v>
      </c>
      <c r="AF1885">
        <f>IF(AE1885="website",1,0)</f>
        <v>1</v>
      </c>
    </row>
    <row r="1886" spans="1:32">
      <c r="A1886" t="s">
        <v>2538</v>
      </c>
      <c r="B1886" t="s">
        <v>33</v>
      </c>
      <c r="C1886" s="3">
        <f t="shared" si="551"/>
        <v>0</v>
      </c>
      <c r="D1886">
        <f t="shared" si="552"/>
        <v>1</v>
      </c>
      <c r="E1886" t="s">
        <v>635</v>
      </c>
      <c r="F1886" t="s">
        <v>818</v>
      </c>
      <c r="G1886" s="1">
        <v>24771</v>
      </c>
      <c r="H1886" s="2">
        <f t="shared" ca="1" si="553"/>
        <v>58</v>
      </c>
      <c r="I1886" s="2">
        <f t="shared" ca="1" si="554"/>
        <v>0.47142857142857142</v>
      </c>
      <c r="J1886" t="s">
        <v>45</v>
      </c>
      <c r="K1886" t="s">
        <v>113</v>
      </c>
      <c r="L1886">
        <f t="shared" si="555"/>
        <v>0</v>
      </c>
      <c r="M1886">
        <f t="shared" si="556"/>
        <v>0</v>
      </c>
      <c r="N1886">
        <f t="shared" si="557"/>
        <v>1</v>
      </c>
      <c r="O1886" t="s">
        <v>675</v>
      </c>
      <c r="P1886">
        <f t="shared" si="558"/>
        <v>0</v>
      </c>
      <c r="Q1886">
        <f t="shared" si="559"/>
        <v>0</v>
      </c>
      <c r="R1886">
        <f t="shared" si="560"/>
        <v>0</v>
      </c>
      <c r="S1886">
        <f t="shared" si="561"/>
        <v>0</v>
      </c>
      <c r="T1886">
        <f t="shared" si="562"/>
        <v>0</v>
      </c>
      <c r="U1886">
        <f t="shared" si="563"/>
        <v>0</v>
      </c>
      <c r="V1886">
        <f t="shared" si="564"/>
        <v>0</v>
      </c>
      <c r="W1886" t="s">
        <v>39</v>
      </c>
      <c r="X1886">
        <f t="shared" si="565"/>
        <v>1</v>
      </c>
      <c r="Y1886">
        <f t="shared" si="566"/>
        <v>0</v>
      </c>
      <c r="Z1886">
        <v>1</v>
      </c>
      <c r="AA1886">
        <f t="shared" si="567"/>
        <v>0</v>
      </c>
      <c r="AB1886" t="s">
        <v>40</v>
      </c>
      <c r="AC1886">
        <f t="shared" si="568"/>
        <v>1</v>
      </c>
      <c r="AD1886">
        <f t="shared" si="569"/>
        <v>0</v>
      </c>
      <c r="AE1886" t="s">
        <v>50</v>
      </c>
      <c r="AF1886">
        <f>IF(AE1886="website",1,0)</f>
        <v>0</v>
      </c>
    </row>
    <row r="1887" spans="1:32">
      <c r="A1887" t="s">
        <v>2539</v>
      </c>
      <c r="B1887" t="s">
        <v>33</v>
      </c>
      <c r="C1887" s="3">
        <f t="shared" si="551"/>
        <v>0</v>
      </c>
      <c r="D1887">
        <f t="shared" si="552"/>
        <v>1</v>
      </c>
      <c r="E1887" t="s">
        <v>847</v>
      </c>
      <c r="F1887" t="s">
        <v>695</v>
      </c>
      <c r="G1887" s="1">
        <v>36480</v>
      </c>
      <c r="H1887" s="2">
        <f t="shared" ca="1" si="553"/>
        <v>26</v>
      </c>
      <c r="I1887" s="2">
        <f t="shared" ca="1" si="554"/>
        <v>1.4285714285714285E-2</v>
      </c>
      <c r="J1887" t="s">
        <v>36</v>
      </c>
      <c r="K1887" t="s">
        <v>37</v>
      </c>
      <c r="L1887">
        <f t="shared" si="555"/>
        <v>1</v>
      </c>
      <c r="M1887">
        <f t="shared" si="556"/>
        <v>0</v>
      </c>
      <c r="N1887">
        <f t="shared" si="557"/>
        <v>0</v>
      </c>
      <c r="O1887" t="s">
        <v>38</v>
      </c>
      <c r="P1887">
        <f t="shared" si="558"/>
        <v>1</v>
      </c>
      <c r="Q1887">
        <f t="shared" si="559"/>
        <v>0</v>
      </c>
      <c r="R1887">
        <f t="shared" si="560"/>
        <v>0</v>
      </c>
      <c r="S1887">
        <f t="shared" si="561"/>
        <v>0</v>
      </c>
      <c r="T1887">
        <f t="shared" si="562"/>
        <v>0</v>
      </c>
      <c r="U1887">
        <f t="shared" si="563"/>
        <v>0</v>
      </c>
      <c r="V1887">
        <f t="shared" si="564"/>
        <v>0</v>
      </c>
      <c r="W1887" t="s">
        <v>39</v>
      </c>
      <c r="X1887">
        <f t="shared" si="565"/>
        <v>1</v>
      </c>
      <c r="Y1887">
        <f t="shared" si="566"/>
        <v>0</v>
      </c>
      <c r="Z1887">
        <v>5</v>
      </c>
      <c r="AA1887">
        <f t="shared" si="567"/>
        <v>1</v>
      </c>
      <c r="AB1887" t="s">
        <v>46</v>
      </c>
      <c r="AC1887">
        <f t="shared" si="568"/>
        <v>0</v>
      </c>
      <c r="AD1887">
        <f t="shared" si="569"/>
        <v>0</v>
      </c>
      <c r="AE1887" t="s">
        <v>41</v>
      </c>
      <c r="AF1887">
        <f>IF(AE1887="website",1,0)</f>
        <v>1</v>
      </c>
    </row>
    <row r="1888" spans="1:32">
      <c r="A1888" t="s">
        <v>2540</v>
      </c>
      <c r="B1888" t="s">
        <v>33</v>
      </c>
      <c r="C1888" s="3">
        <f t="shared" si="551"/>
        <v>0</v>
      </c>
      <c r="D1888">
        <f t="shared" si="552"/>
        <v>1</v>
      </c>
      <c r="E1888" t="s">
        <v>766</v>
      </c>
      <c r="F1888" t="s">
        <v>623</v>
      </c>
      <c r="G1888" s="1">
        <v>31419</v>
      </c>
      <c r="H1888" s="2">
        <f t="shared" ca="1" si="553"/>
        <v>40</v>
      </c>
      <c r="I1888" s="2">
        <f t="shared" ca="1" si="554"/>
        <v>0.21428571428571427</v>
      </c>
      <c r="J1888" t="s">
        <v>36</v>
      </c>
      <c r="K1888" t="s">
        <v>37</v>
      </c>
      <c r="L1888">
        <f t="shared" si="555"/>
        <v>1</v>
      </c>
      <c r="M1888">
        <f t="shared" si="556"/>
        <v>0</v>
      </c>
      <c r="N1888">
        <f t="shared" si="557"/>
        <v>0</v>
      </c>
      <c r="O1888" t="s">
        <v>76</v>
      </c>
      <c r="P1888">
        <f t="shared" si="558"/>
        <v>0</v>
      </c>
      <c r="Q1888">
        <f t="shared" si="559"/>
        <v>1</v>
      </c>
      <c r="R1888">
        <f t="shared" si="560"/>
        <v>0</v>
      </c>
      <c r="S1888">
        <f t="shared" si="561"/>
        <v>0</v>
      </c>
      <c r="T1888">
        <f t="shared" si="562"/>
        <v>0</v>
      </c>
      <c r="U1888">
        <f t="shared" si="563"/>
        <v>0</v>
      </c>
      <c r="V1888">
        <f t="shared" si="564"/>
        <v>0</v>
      </c>
      <c r="W1888" t="s">
        <v>58</v>
      </c>
      <c r="X1888">
        <f t="shared" si="565"/>
        <v>0</v>
      </c>
      <c r="Y1888">
        <f t="shared" si="566"/>
        <v>1</v>
      </c>
      <c r="Z1888">
        <v>1</v>
      </c>
      <c r="AA1888">
        <f t="shared" si="567"/>
        <v>0</v>
      </c>
      <c r="AB1888" t="s">
        <v>46</v>
      </c>
      <c r="AC1888">
        <f t="shared" si="568"/>
        <v>1</v>
      </c>
      <c r="AD1888">
        <f t="shared" si="569"/>
        <v>0</v>
      </c>
      <c r="AE1888" t="s">
        <v>50</v>
      </c>
      <c r="AF1888">
        <f>IF(AE1888="website",1,0)</f>
        <v>0</v>
      </c>
    </row>
    <row r="1889" spans="1:32">
      <c r="A1889" t="s">
        <v>2541</v>
      </c>
      <c r="B1889" t="s">
        <v>33</v>
      </c>
      <c r="C1889" s="3">
        <f t="shared" si="551"/>
        <v>0</v>
      </c>
      <c r="D1889">
        <f t="shared" si="552"/>
        <v>1</v>
      </c>
      <c r="E1889" t="s">
        <v>1307</v>
      </c>
      <c r="F1889" t="s">
        <v>928</v>
      </c>
      <c r="G1889" s="1">
        <v>22864</v>
      </c>
      <c r="H1889" s="2">
        <f t="shared" ca="1" si="553"/>
        <v>64</v>
      </c>
      <c r="I1889" s="2">
        <f t="shared" ca="1" si="554"/>
        <v>0.55714285714285716</v>
      </c>
      <c r="J1889" t="s">
        <v>45</v>
      </c>
      <c r="K1889" t="s">
        <v>37</v>
      </c>
      <c r="L1889">
        <f t="shared" si="555"/>
        <v>1</v>
      </c>
      <c r="M1889">
        <f t="shared" si="556"/>
        <v>0</v>
      </c>
      <c r="N1889">
        <f t="shared" si="557"/>
        <v>0</v>
      </c>
      <c r="O1889" t="s">
        <v>38</v>
      </c>
      <c r="P1889">
        <f t="shared" si="558"/>
        <v>1</v>
      </c>
      <c r="Q1889">
        <f t="shared" si="559"/>
        <v>0</v>
      </c>
      <c r="R1889">
        <f t="shared" si="560"/>
        <v>0</v>
      </c>
      <c r="S1889">
        <f t="shared" si="561"/>
        <v>0</v>
      </c>
      <c r="T1889">
        <f t="shared" si="562"/>
        <v>0</v>
      </c>
      <c r="U1889">
        <f t="shared" si="563"/>
        <v>0</v>
      </c>
      <c r="V1889">
        <f t="shared" si="564"/>
        <v>0</v>
      </c>
      <c r="W1889" t="s">
        <v>39</v>
      </c>
      <c r="X1889">
        <f t="shared" si="565"/>
        <v>1</v>
      </c>
      <c r="Y1889">
        <f t="shared" si="566"/>
        <v>0</v>
      </c>
      <c r="Z1889">
        <v>3</v>
      </c>
      <c r="AA1889">
        <f t="shared" si="567"/>
        <v>0.5</v>
      </c>
      <c r="AB1889" t="s">
        <v>46</v>
      </c>
      <c r="AC1889">
        <f t="shared" si="568"/>
        <v>0</v>
      </c>
      <c r="AD1889">
        <f t="shared" si="569"/>
        <v>0</v>
      </c>
      <c r="AE1889" t="s">
        <v>41</v>
      </c>
      <c r="AF1889">
        <f>IF(AE1889="website",1,0)</f>
        <v>1</v>
      </c>
    </row>
    <row r="1890" spans="1:32">
      <c r="A1890" t="s">
        <v>2542</v>
      </c>
      <c r="B1890" t="s">
        <v>33</v>
      </c>
      <c r="C1890" s="3">
        <f t="shared" si="551"/>
        <v>0</v>
      </c>
      <c r="D1890">
        <f t="shared" si="552"/>
        <v>1</v>
      </c>
      <c r="E1890" t="s">
        <v>546</v>
      </c>
      <c r="F1890" t="s">
        <v>695</v>
      </c>
      <c r="G1890" s="1">
        <v>31968</v>
      </c>
      <c r="H1890" s="2">
        <f t="shared" ca="1" si="553"/>
        <v>39</v>
      </c>
      <c r="I1890" s="2">
        <f t="shared" ca="1" si="554"/>
        <v>0.2</v>
      </c>
      <c r="J1890" t="s">
        <v>45</v>
      </c>
      <c r="K1890" t="s">
        <v>37</v>
      </c>
      <c r="L1890">
        <f t="shared" si="555"/>
        <v>1</v>
      </c>
      <c r="M1890">
        <f t="shared" si="556"/>
        <v>0</v>
      </c>
      <c r="N1890">
        <f t="shared" si="557"/>
        <v>0</v>
      </c>
      <c r="O1890" t="s">
        <v>38</v>
      </c>
      <c r="P1890">
        <f t="shared" si="558"/>
        <v>1</v>
      </c>
      <c r="Q1890">
        <f t="shared" si="559"/>
        <v>0</v>
      </c>
      <c r="R1890">
        <f t="shared" si="560"/>
        <v>0</v>
      </c>
      <c r="S1890">
        <f t="shared" si="561"/>
        <v>0</v>
      </c>
      <c r="T1890">
        <f t="shared" si="562"/>
        <v>0</v>
      </c>
      <c r="U1890">
        <f t="shared" si="563"/>
        <v>0</v>
      </c>
      <c r="V1890">
        <f t="shared" si="564"/>
        <v>0</v>
      </c>
      <c r="W1890" t="s">
        <v>39</v>
      </c>
      <c r="X1890">
        <f t="shared" si="565"/>
        <v>1</v>
      </c>
      <c r="Y1890">
        <f t="shared" si="566"/>
        <v>0</v>
      </c>
      <c r="Z1890">
        <v>4</v>
      </c>
      <c r="AA1890">
        <f t="shared" si="567"/>
        <v>0.75</v>
      </c>
      <c r="AB1890" t="s">
        <v>40</v>
      </c>
      <c r="AC1890">
        <f t="shared" si="568"/>
        <v>0</v>
      </c>
      <c r="AD1890">
        <f t="shared" si="569"/>
        <v>0</v>
      </c>
      <c r="AE1890" t="s">
        <v>41</v>
      </c>
      <c r="AF1890">
        <f>IF(AE1890="website",1,0)</f>
        <v>1</v>
      </c>
    </row>
    <row r="1891" spans="1:32">
      <c r="A1891" t="s">
        <v>2543</v>
      </c>
      <c r="B1891" t="s">
        <v>33</v>
      </c>
      <c r="C1891" s="3">
        <f t="shared" si="551"/>
        <v>0</v>
      </c>
      <c r="D1891">
        <f t="shared" si="552"/>
        <v>1</v>
      </c>
      <c r="E1891" t="s">
        <v>658</v>
      </c>
      <c r="F1891" t="s">
        <v>112</v>
      </c>
      <c r="G1891" s="1">
        <v>19795</v>
      </c>
      <c r="H1891" s="2">
        <f t="shared" ca="1" si="553"/>
        <v>72</v>
      </c>
      <c r="I1891" s="2">
        <f t="shared" ca="1" si="554"/>
        <v>0.67142857142857137</v>
      </c>
      <c r="J1891" t="s">
        <v>45</v>
      </c>
      <c r="K1891" t="s">
        <v>65</v>
      </c>
      <c r="L1891">
        <f t="shared" si="555"/>
        <v>0</v>
      </c>
      <c r="M1891">
        <f t="shared" si="556"/>
        <v>1</v>
      </c>
      <c r="N1891">
        <f t="shared" si="557"/>
        <v>0</v>
      </c>
      <c r="O1891" t="s">
        <v>686</v>
      </c>
      <c r="P1891">
        <f t="shared" si="558"/>
        <v>0</v>
      </c>
      <c r="Q1891">
        <f t="shared" si="559"/>
        <v>0</v>
      </c>
      <c r="R1891">
        <f t="shared" si="560"/>
        <v>0</v>
      </c>
      <c r="S1891">
        <f t="shared" si="561"/>
        <v>0</v>
      </c>
      <c r="T1891">
        <f t="shared" si="562"/>
        <v>0</v>
      </c>
      <c r="U1891">
        <f t="shared" si="563"/>
        <v>0</v>
      </c>
      <c r="V1891">
        <f t="shared" si="564"/>
        <v>0</v>
      </c>
      <c r="W1891" t="s">
        <v>39</v>
      </c>
      <c r="X1891">
        <f t="shared" si="565"/>
        <v>1</v>
      </c>
      <c r="Y1891">
        <f t="shared" si="566"/>
        <v>0</v>
      </c>
      <c r="Z1891">
        <v>4</v>
      </c>
      <c r="AA1891">
        <f t="shared" si="567"/>
        <v>0.75</v>
      </c>
      <c r="AB1891" t="s">
        <v>46</v>
      </c>
      <c r="AC1891">
        <f t="shared" si="568"/>
        <v>0</v>
      </c>
      <c r="AD1891">
        <f t="shared" si="569"/>
        <v>1</v>
      </c>
      <c r="AE1891" t="s">
        <v>90</v>
      </c>
      <c r="AF1891">
        <f>IF(AE1891="website",1,0)</f>
        <v>0</v>
      </c>
    </row>
    <row r="1892" spans="1:32">
      <c r="A1892" t="s">
        <v>2544</v>
      </c>
      <c r="B1892" t="s">
        <v>33</v>
      </c>
      <c r="C1892" s="3">
        <f t="shared" si="551"/>
        <v>0</v>
      </c>
      <c r="D1892">
        <f t="shared" si="552"/>
        <v>1</v>
      </c>
      <c r="E1892" t="s">
        <v>1073</v>
      </c>
      <c r="F1892" t="s">
        <v>659</v>
      </c>
      <c r="G1892" s="1">
        <v>26452</v>
      </c>
      <c r="H1892" s="2">
        <f t="shared" ca="1" si="553"/>
        <v>54</v>
      </c>
      <c r="I1892" s="2">
        <f t="shared" ca="1" si="554"/>
        <v>0.41428571428571431</v>
      </c>
      <c r="J1892" t="s">
        <v>45</v>
      </c>
      <c r="K1892" t="s">
        <v>37</v>
      </c>
      <c r="L1892">
        <f t="shared" si="555"/>
        <v>1</v>
      </c>
      <c r="M1892">
        <f t="shared" si="556"/>
        <v>0</v>
      </c>
      <c r="N1892">
        <f t="shared" si="557"/>
        <v>0</v>
      </c>
      <c r="O1892" t="s">
        <v>76</v>
      </c>
      <c r="P1892">
        <f t="shared" si="558"/>
        <v>0</v>
      </c>
      <c r="Q1892">
        <f t="shared" si="559"/>
        <v>1</v>
      </c>
      <c r="R1892">
        <f t="shared" si="560"/>
        <v>0</v>
      </c>
      <c r="S1892">
        <f t="shared" si="561"/>
        <v>0</v>
      </c>
      <c r="T1892">
        <f t="shared" si="562"/>
        <v>0</v>
      </c>
      <c r="U1892">
        <f t="shared" si="563"/>
        <v>0</v>
      </c>
      <c r="V1892">
        <f t="shared" si="564"/>
        <v>0</v>
      </c>
      <c r="W1892" t="s">
        <v>39</v>
      </c>
      <c r="X1892">
        <f t="shared" si="565"/>
        <v>1</v>
      </c>
      <c r="Y1892">
        <f t="shared" si="566"/>
        <v>0</v>
      </c>
      <c r="Z1892">
        <v>2</v>
      </c>
      <c r="AA1892">
        <f t="shared" si="567"/>
        <v>0.25</v>
      </c>
      <c r="AB1892" t="s">
        <v>46</v>
      </c>
      <c r="AC1892">
        <f t="shared" si="568"/>
        <v>1</v>
      </c>
      <c r="AD1892">
        <f t="shared" si="569"/>
        <v>0</v>
      </c>
      <c r="AE1892" t="s">
        <v>50</v>
      </c>
      <c r="AF1892">
        <f>IF(AE1892="website",1,0)</f>
        <v>0</v>
      </c>
    </row>
    <row r="1893" spans="1:32">
      <c r="A1893" t="s">
        <v>2545</v>
      </c>
      <c r="B1893" t="s">
        <v>33</v>
      </c>
      <c r="C1893" s="3">
        <f t="shared" si="551"/>
        <v>0</v>
      </c>
      <c r="D1893">
        <f t="shared" si="552"/>
        <v>1</v>
      </c>
      <c r="E1893" t="s">
        <v>652</v>
      </c>
      <c r="F1893" t="s">
        <v>562</v>
      </c>
      <c r="G1893" s="1">
        <v>18785</v>
      </c>
      <c r="H1893" s="2">
        <f t="shared" ca="1" si="553"/>
        <v>75</v>
      </c>
      <c r="I1893" s="2">
        <f t="shared" ca="1" si="554"/>
        <v>0.7142857142857143</v>
      </c>
      <c r="J1893" t="s">
        <v>36</v>
      </c>
      <c r="K1893" t="s">
        <v>37</v>
      </c>
      <c r="L1893">
        <f t="shared" si="555"/>
        <v>1</v>
      </c>
      <c r="M1893">
        <f t="shared" si="556"/>
        <v>0</v>
      </c>
      <c r="N1893">
        <f t="shared" si="557"/>
        <v>0</v>
      </c>
      <c r="O1893" t="s">
        <v>124</v>
      </c>
      <c r="P1893">
        <f t="shared" si="558"/>
        <v>0</v>
      </c>
      <c r="Q1893">
        <f t="shared" si="559"/>
        <v>0</v>
      </c>
      <c r="R1893">
        <f t="shared" si="560"/>
        <v>0</v>
      </c>
      <c r="S1893">
        <f t="shared" si="561"/>
        <v>0</v>
      </c>
      <c r="T1893">
        <f t="shared" si="562"/>
        <v>0</v>
      </c>
      <c r="U1893">
        <f t="shared" si="563"/>
        <v>1</v>
      </c>
      <c r="V1893">
        <f t="shared" si="564"/>
        <v>0</v>
      </c>
      <c r="W1893" t="s">
        <v>58</v>
      </c>
      <c r="X1893">
        <f t="shared" si="565"/>
        <v>0</v>
      </c>
      <c r="Y1893">
        <f t="shared" si="566"/>
        <v>1</v>
      </c>
      <c r="Z1893">
        <v>5</v>
      </c>
      <c r="AA1893">
        <f t="shared" si="567"/>
        <v>1</v>
      </c>
      <c r="AB1893" t="s">
        <v>40</v>
      </c>
      <c r="AC1893">
        <f t="shared" si="568"/>
        <v>1</v>
      </c>
      <c r="AD1893">
        <f t="shared" si="569"/>
        <v>0</v>
      </c>
      <c r="AE1893" t="s">
        <v>50</v>
      </c>
      <c r="AF1893">
        <f>IF(AE1893="website",1,0)</f>
        <v>0</v>
      </c>
    </row>
    <row r="1894" spans="1:32">
      <c r="A1894" t="s">
        <v>2546</v>
      </c>
      <c r="B1894" t="s">
        <v>33</v>
      </c>
      <c r="C1894" s="3">
        <f t="shared" si="551"/>
        <v>0</v>
      </c>
      <c r="D1894">
        <f t="shared" si="552"/>
        <v>1</v>
      </c>
      <c r="E1894" t="s">
        <v>894</v>
      </c>
      <c r="F1894" t="s">
        <v>840</v>
      </c>
      <c r="G1894" s="1">
        <v>23007</v>
      </c>
      <c r="H1894" s="2">
        <f t="shared" ca="1" si="553"/>
        <v>63</v>
      </c>
      <c r="I1894" s="2">
        <f t="shared" ca="1" si="554"/>
        <v>0.54285714285714282</v>
      </c>
      <c r="J1894" t="s">
        <v>36</v>
      </c>
      <c r="K1894" t="s">
        <v>37</v>
      </c>
      <c r="L1894">
        <f t="shared" si="555"/>
        <v>1</v>
      </c>
      <c r="M1894">
        <f t="shared" si="556"/>
        <v>0</v>
      </c>
      <c r="N1894">
        <f t="shared" si="557"/>
        <v>0</v>
      </c>
      <c r="O1894" t="s">
        <v>565</v>
      </c>
      <c r="P1894">
        <f t="shared" si="558"/>
        <v>0</v>
      </c>
      <c r="Q1894">
        <f t="shared" si="559"/>
        <v>0</v>
      </c>
      <c r="R1894">
        <f t="shared" si="560"/>
        <v>0</v>
      </c>
      <c r="S1894">
        <f t="shared" si="561"/>
        <v>0</v>
      </c>
      <c r="T1894">
        <f t="shared" si="562"/>
        <v>0</v>
      </c>
      <c r="U1894">
        <f t="shared" si="563"/>
        <v>0</v>
      </c>
      <c r="V1894">
        <f t="shared" si="564"/>
        <v>0</v>
      </c>
      <c r="W1894" t="s">
        <v>39</v>
      </c>
      <c r="X1894">
        <f t="shared" si="565"/>
        <v>1</v>
      </c>
      <c r="Y1894">
        <f t="shared" si="566"/>
        <v>0</v>
      </c>
      <c r="Z1894">
        <v>1</v>
      </c>
      <c r="AA1894">
        <f t="shared" si="567"/>
        <v>0</v>
      </c>
      <c r="AB1894" t="s">
        <v>40</v>
      </c>
      <c r="AC1894">
        <f t="shared" si="568"/>
        <v>0</v>
      </c>
      <c r="AD1894">
        <f t="shared" si="569"/>
        <v>0</v>
      </c>
      <c r="AE1894" t="s">
        <v>41</v>
      </c>
      <c r="AF1894">
        <f>IF(AE1894="website",1,0)</f>
        <v>1</v>
      </c>
    </row>
    <row r="1895" spans="1:32">
      <c r="A1895" t="s">
        <v>2547</v>
      </c>
      <c r="B1895" t="s">
        <v>33</v>
      </c>
      <c r="C1895" s="3">
        <f t="shared" si="551"/>
        <v>0</v>
      </c>
      <c r="D1895">
        <f t="shared" si="552"/>
        <v>1</v>
      </c>
      <c r="E1895" t="s">
        <v>647</v>
      </c>
      <c r="F1895" t="s">
        <v>549</v>
      </c>
      <c r="G1895" s="1">
        <v>16142</v>
      </c>
      <c r="H1895" s="2">
        <f t="shared" ca="1" si="553"/>
        <v>82</v>
      </c>
      <c r="I1895" s="2">
        <f t="shared" ca="1" si="554"/>
        <v>0.81428571428571428</v>
      </c>
      <c r="J1895" t="s">
        <v>36</v>
      </c>
      <c r="K1895" t="s">
        <v>37</v>
      </c>
      <c r="L1895">
        <f t="shared" si="555"/>
        <v>1</v>
      </c>
      <c r="M1895">
        <f t="shared" si="556"/>
        <v>0</v>
      </c>
      <c r="N1895">
        <f t="shared" si="557"/>
        <v>0</v>
      </c>
      <c r="O1895" t="s">
        <v>592</v>
      </c>
      <c r="P1895">
        <f t="shared" si="558"/>
        <v>0</v>
      </c>
      <c r="Q1895">
        <f t="shared" si="559"/>
        <v>0</v>
      </c>
      <c r="R1895">
        <f t="shared" si="560"/>
        <v>0</v>
      </c>
      <c r="S1895">
        <f t="shared" si="561"/>
        <v>0</v>
      </c>
      <c r="T1895">
        <f t="shared" si="562"/>
        <v>0</v>
      </c>
      <c r="U1895">
        <f t="shared" si="563"/>
        <v>0</v>
      </c>
      <c r="V1895">
        <f t="shared" si="564"/>
        <v>0</v>
      </c>
      <c r="W1895" t="s">
        <v>58</v>
      </c>
      <c r="X1895">
        <f t="shared" si="565"/>
        <v>0</v>
      </c>
      <c r="Y1895">
        <f t="shared" si="566"/>
        <v>1</v>
      </c>
      <c r="Z1895">
        <v>4</v>
      </c>
      <c r="AA1895">
        <f t="shared" si="567"/>
        <v>0.75</v>
      </c>
      <c r="AB1895" t="s">
        <v>46</v>
      </c>
      <c r="AC1895">
        <f t="shared" si="568"/>
        <v>0</v>
      </c>
      <c r="AD1895">
        <f t="shared" si="569"/>
        <v>0</v>
      </c>
      <c r="AE1895" t="s">
        <v>41</v>
      </c>
      <c r="AF1895">
        <f>IF(AE1895="website",1,0)</f>
        <v>1</v>
      </c>
    </row>
    <row r="1896" spans="1:32">
      <c r="A1896" t="s">
        <v>2548</v>
      </c>
      <c r="B1896" t="s">
        <v>55</v>
      </c>
      <c r="C1896" s="3">
        <f t="shared" si="551"/>
        <v>1</v>
      </c>
      <c r="D1896">
        <f t="shared" si="552"/>
        <v>0</v>
      </c>
      <c r="E1896" t="s">
        <v>1766</v>
      </c>
      <c r="F1896" t="s">
        <v>57</v>
      </c>
      <c r="G1896" s="1">
        <v>25210</v>
      </c>
      <c r="H1896" s="2">
        <f t="shared" ca="1" si="553"/>
        <v>57</v>
      </c>
      <c r="I1896" s="2">
        <f t="shared" ca="1" si="554"/>
        <v>0.45714285714285713</v>
      </c>
      <c r="J1896" t="s">
        <v>45</v>
      </c>
      <c r="K1896" t="s">
        <v>37</v>
      </c>
      <c r="L1896">
        <f t="shared" si="555"/>
        <v>1</v>
      </c>
      <c r="M1896">
        <f t="shared" si="556"/>
        <v>0</v>
      </c>
      <c r="N1896">
        <f t="shared" si="557"/>
        <v>0</v>
      </c>
      <c r="O1896" t="s">
        <v>124</v>
      </c>
      <c r="P1896">
        <f t="shared" si="558"/>
        <v>0</v>
      </c>
      <c r="Q1896">
        <f t="shared" si="559"/>
        <v>0</v>
      </c>
      <c r="R1896">
        <f t="shared" si="560"/>
        <v>0</v>
      </c>
      <c r="S1896">
        <f t="shared" si="561"/>
        <v>0</v>
      </c>
      <c r="T1896">
        <f t="shared" si="562"/>
        <v>0</v>
      </c>
      <c r="U1896">
        <f t="shared" si="563"/>
        <v>1</v>
      </c>
      <c r="V1896">
        <f t="shared" si="564"/>
        <v>0</v>
      </c>
      <c r="W1896" t="s">
        <v>58</v>
      </c>
      <c r="X1896">
        <f t="shared" si="565"/>
        <v>0</v>
      </c>
      <c r="Y1896">
        <f t="shared" si="566"/>
        <v>1</v>
      </c>
      <c r="Z1896">
        <v>4</v>
      </c>
      <c r="AA1896">
        <f t="shared" si="567"/>
        <v>0.75</v>
      </c>
      <c r="AB1896" t="s">
        <v>46</v>
      </c>
      <c r="AC1896">
        <f t="shared" si="568"/>
        <v>1</v>
      </c>
      <c r="AD1896">
        <f t="shared" si="569"/>
        <v>0</v>
      </c>
      <c r="AE1896" t="s">
        <v>50</v>
      </c>
      <c r="AF1896">
        <f>IF(AE1896="website",1,0)</f>
        <v>0</v>
      </c>
    </row>
    <row r="1897" spans="1:32">
      <c r="A1897" t="s">
        <v>2549</v>
      </c>
      <c r="B1897" t="s">
        <v>33</v>
      </c>
      <c r="C1897" s="3">
        <f t="shared" si="551"/>
        <v>0</v>
      </c>
      <c r="D1897">
        <f t="shared" si="552"/>
        <v>1</v>
      </c>
      <c r="E1897" t="s">
        <v>865</v>
      </c>
      <c r="F1897" t="s">
        <v>773</v>
      </c>
      <c r="G1897" s="1">
        <v>20257</v>
      </c>
      <c r="H1897" s="2">
        <f t="shared" ca="1" si="553"/>
        <v>71</v>
      </c>
      <c r="I1897" s="2">
        <f t="shared" ca="1" si="554"/>
        <v>0.65714285714285714</v>
      </c>
      <c r="J1897" t="s">
        <v>45</v>
      </c>
      <c r="K1897" t="s">
        <v>37</v>
      </c>
      <c r="L1897">
        <f t="shared" si="555"/>
        <v>1</v>
      </c>
      <c r="M1897">
        <f t="shared" si="556"/>
        <v>0</v>
      </c>
      <c r="N1897">
        <f t="shared" si="557"/>
        <v>0</v>
      </c>
      <c r="O1897" t="s">
        <v>305</v>
      </c>
      <c r="P1897">
        <f t="shared" si="558"/>
        <v>0</v>
      </c>
      <c r="Q1897">
        <f t="shared" si="559"/>
        <v>0</v>
      </c>
      <c r="R1897">
        <f t="shared" si="560"/>
        <v>0</v>
      </c>
      <c r="S1897">
        <f t="shared" si="561"/>
        <v>0</v>
      </c>
      <c r="T1897">
        <f t="shared" si="562"/>
        <v>0</v>
      </c>
      <c r="U1897">
        <f t="shared" si="563"/>
        <v>0</v>
      </c>
      <c r="V1897">
        <f t="shared" si="564"/>
        <v>0</v>
      </c>
      <c r="W1897" t="s">
        <v>58</v>
      </c>
      <c r="X1897">
        <f t="shared" si="565"/>
        <v>0</v>
      </c>
      <c r="Y1897">
        <f t="shared" si="566"/>
        <v>1</v>
      </c>
      <c r="Z1897">
        <v>3</v>
      </c>
      <c r="AA1897">
        <f t="shared" si="567"/>
        <v>0.5</v>
      </c>
      <c r="AB1897" t="s">
        <v>46</v>
      </c>
      <c r="AC1897">
        <f t="shared" si="568"/>
        <v>1</v>
      </c>
      <c r="AD1897">
        <f t="shared" si="569"/>
        <v>0</v>
      </c>
      <c r="AE1897" t="s">
        <v>50</v>
      </c>
      <c r="AF1897">
        <f>IF(AE1897="website",1,0)</f>
        <v>0</v>
      </c>
    </row>
    <row r="1898" spans="1:32">
      <c r="A1898" t="s">
        <v>2550</v>
      </c>
      <c r="B1898" t="s">
        <v>33</v>
      </c>
      <c r="C1898" s="3">
        <f t="shared" si="551"/>
        <v>0</v>
      </c>
      <c r="D1898">
        <f t="shared" si="552"/>
        <v>1</v>
      </c>
      <c r="E1898" t="s">
        <v>567</v>
      </c>
      <c r="F1898" t="s">
        <v>709</v>
      </c>
      <c r="G1898" s="1">
        <v>18624</v>
      </c>
      <c r="H1898" s="2">
        <f t="shared" ca="1" si="553"/>
        <v>75</v>
      </c>
      <c r="I1898" s="2">
        <f t="shared" ca="1" si="554"/>
        <v>0.7142857142857143</v>
      </c>
      <c r="J1898" t="s">
        <v>36</v>
      </c>
      <c r="K1898" t="s">
        <v>65</v>
      </c>
      <c r="L1898">
        <f t="shared" si="555"/>
        <v>0</v>
      </c>
      <c r="M1898">
        <f t="shared" si="556"/>
        <v>1</v>
      </c>
      <c r="N1898">
        <f t="shared" si="557"/>
        <v>0</v>
      </c>
      <c r="O1898" t="s">
        <v>686</v>
      </c>
      <c r="P1898">
        <f t="shared" si="558"/>
        <v>0</v>
      </c>
      <c r="Q1898">
        <f t="shared" si="559"/>
        <v>0</v>
      </c>
      <c r="R1898">
        <f t="shared" si="560"/>
        <v>0</v>
      </c>
      <c r="S1898">
        <f t="shared" si="561"/>
        <v>0</v>
      </c>
      <c r="T1898">
        <f t="shared" si="562"/>
        <v>0</v>
      </c>
      <c r="U1898">
        <f t="shared" si="563"/>
        <v>0</v>
      </c>
      <c r="V1898">
        <f t="shared" si="564"/>
        <v>0</v>
      </c>
      <c r="W1898" t="s">
        <v>39</v>
      </c>
      <c r="X1898">
        <f t="shared" si="565"/>
        <v>1</v>
      </c>
      <c r="Y1898">
        <f t="shared" si="566"/>
        <v>0</v>
      </c>
      <c r="Z1898">
        <v>2</v>
      </c>
      <c r="AA1898">
        <f t="shared" si="567"/>
        <v>0.25</v>
      </c>
      <c r="AB1898" t="s">
        <v>46</v>
      </c>
      <c r="AC1898">
        <f t="shared" si="568"/>
        <v>0</v>
      </c>
      <c r="AD1898">
        <f t="shared" si="569"/>
        <v>0</v>
      </c>
      <c r="AE1898" t="s">
        <v>41</v>
      </c>
      <c r="AF1898">
        <f>IF(AE1898="website",1,0)</f>
        <v>1</v>
      </c>
    </row>
    <row r="1899" spans="1:32">
      <c r="A1899" t="s">
        <v>2551</v>
      </c>
      <c r="B1899" t="s">
        <v>33</v>
      </c>
      <c r="C1899" s="3">
        <f t="shared" si="551"/>
        <v>0</v>
      </c>
      <c r="D1899">
        <f t="shared" si="552"/>
        <v>1</v>
      </c>
      <c r="E1899" t="s">
        <v>884</v>
      </c>
      <c r="F1899" t="s">
        <v>659</v>
      </c>
      <c r="G1899" s="1">
        <v>28860</v>
      </c>
      <c r="H1899" s="2">
        <f t="shared" ca="1" si="553"/>
        <v>47</v>
      </c>
      <c r="I1899" s="2">
        <f t="shared" ca="1" si="554"/>
        <v>0.31428571428571428</v>
      </c>
      <c r="J1899" t="s">
        <v>45</v>
      </c>
      <c r="K1899" t="s">
        <v>37</v>
      </c>
      <c r="L1899">
        <f t="shared" si="555"/>
        <v>1</v>
      </c>
      <c r="M1899">
        <f t="shared" si="556"/>
        <v>0</v>
      </c>
      <c r="N1899">
        <f t="shared" si="557"/>
        <v>0</v>
      </c>
      <c r="O1899" t="s">
        <v>717</v>
      </c>
      <c r="P1899">
        <f t="shared" si="558"/>
        <v>0</v>
      </c>
      <c r="Q1899">
        <f t="shared" si="559"/>
        <v>0</v>
      </c>
      <c r="R1899">
        <f t="shared" si="560"/>
        <v>0</v>
      </c>
      <c r="S1899">
        <f t="shared" si="561"/>
        <v>0</v>
      </c>
      <c r="T1899">
        <f t="shared" si="562"/>
        <v>0</v>
      </c>
      <c r="U1899">
        <f t="shared" si="563"/>
        <v>0</v>
      </c>
      <c r="V1899">
        <f t="shared" si="564"/>
        <v>0</v>
      </c>
      <c r="W1899" t="s">
        <v>39</v>
      </c>
      <c r="X1899">
        <f t="shared" si="565"/>
        <v>1</v>
      </c>
      <c r="Y1899">
        <f t="shared" si="566"/>
        <v>0</v>
      </c>
      <c r="Z1899">
        <v>1</v>
      </c>
      <c r="AA1899">
        <f t="shared" si="567"/>
        <v>0</v>
      </c>
      <c r="AB1899" t="s">
        <v>40</v>
      </c>
      <c r="AC1899">
        <f t="shared" si="568"/>
        <v>0</v>
      </c>
      <c r="AD1899">
        <f t="shared" si="569"/>
        <v>0</v>
      </c>
      <c r="AE1899" t="s">
        <v>41</v>
      </c>
      <c r="AF1899">
        <f>IF(AE1899="website",1,0)</f>
        <v>1</v>
      </c>
    </row>
    <row r="1900" spans="1:32">
      <c r="A1900" t="s">
        <v>2552</v>
      </c>
      <c r="B1900" t="s">
        <v>33</v>
      </c>
      <c r="C1900" s="3">
        <f t="shared" si="551"/>
        <v>0</v>
      </c>
      <c r="D1900">
        <f t="shared" si="552"/>
        <v>1</v>
      </c>
      <c r="E1900" t="s">
        <v>1389</v>
      </c>
      <c r="F1900" t="s">
        <v>1270</v>
      </c>
      <c r="G1900" s="1">
        <v>35160</v>
      </c>
      <c r="H1900" s="2">
        <f t="shared" ca="1" si="553"/>
        <v>30</v>
      </c>
      <c r="I1900" s="2">
        <f t="shared" ca="1" si="554"/>
        <v>7.1428571428571425E-2</v>
      </c>
      <c r="J1900" t="s">
        <v>45</v>
      </c>
      <c r="K1900" t="s">
        <v>248</v>
      </c>
      <c r="L1900">
        <f t="shared" si="555"/>
        <v>0</v>
      </c>
      <c r="M1900">
        <f t="shared" si="556"/>
        <v>0</v>
      </c>
      <c r="N1900">
        <f t="shared" si="557"/>
        <v>0</v>
      </c>
      <c r="O1900" t="s">
        <v>582</v>
      </c>
      <c r="P1900">
        <f t="shared" si="558"/>
        <v>0</v>
      </c>
      <c r="Q1900">
        <f t="shared" si="559"/>
        <v>0</v>
      </c>
      <c r="R1900">
        <f t="shared" si="560"/>
        <v>0</v>
      </c>
      <c r="S1900">
        <f t="shared" si="561"/>
        <v>0</v>
      </c>
      <c r="T1900">
        <f t="shared" si="562"/>
        <v>0</v>
      </c>
      <c r="U1900">
        <f t="shared" si="563"/>
        <v>0</v>
      </c>
      <c r="V1900">
        <f t="shared" si="564"/>
        <v>0</v>
      </c>
      <c r="W1900" t="s">
        <v>39</v>
      </c>
      <c r="X1900">
        <f t="shared" si="565"/>
        <v>1</v>
      </c>
      <c r="Y1900">
        <f t="shared" si="566"/>
        <v>0</v>
      </c>
      <c r="Z1900">
        <v>3</v>
      </c>
      <c r="AA1900">
        <f t="shared" si="567"/>
        <v>0.5</v>
      </c>
      <c r="AB1900" t="s">
        <v>46</v>
      </c>
      <c r="AC1900">
        <f t="shared" si="568"/>
        <v>0</v>
      </c>
      <c r="AD1900">
        <f t="shared" si="569"/>
        <v>0</v>
      </c>
      <c r="AE1900" t="s">
        <v>41</v>
      </c>
      <c r="AF1900">
        <f>IF(AE1900="website",1,0)</f>
        <v>1</v>
      </c>
    </row>
    <row r="1901" spans="1:32">
      <c r="A1901" t="s">
        <v>2553</v>
      </c>
      <c r="B1901" t="s">
        <v>33</v>
      </c>
      <c r="C1901" s="3">
        <f t="shared" si="551"/>
        <v>0</v>
      </c>
      <c r="D1901">
        <f t="shared" si="552"/>
        <v>1</v>
      </c>
      <c r="E1901" t="s">
        <v>476</v>
      </c>
      <c r="F1901" t="s">
        <v>928</v>
      </c>
      <c r="G1901" s="1">
        <v>36045</v>
      </c>
      <c r="H1901" s="2">
        <f t="shared" ca="1" si="553"/>
        <v>28</v>
      </c>
      <c r="I1901" s="2">
        <f t="shared" ca="1" si="554"/>
        <v>4.2857142857142858E-2</v>
      </c>
      <c r="J1901" t="s">
        <v>36</v>
      </c>
      <c r="K1901" t="s">
        <v>248</v>
      </c>
      <c r="L1901">
        <f t="shared" si="555"/>
        <v>0</v>
      </c>
      <c r="M1901">
        <f t="shared" si="556"/>
        <v>0</v>
      </c>
      <c r="N1901">
        <f t="shared" si="557"/>
        <v>0</v>
      </c>
      <c r="O1901" t="s">
        <v>582</v>
      </c>
      <c r="P1901">
        <f t="shared" si="558"/>
        <v>0</v>
      </c>
      <c r="Q1901">
        <f t="shared" si="559"/>
        <v>0</v>
      </c>
      <c r="R1901">
        <f t="shared" si="560"/>
        <v>0</v>
      </c>
      <c r="S1901">
        <f t="shared" si="561"/>
        <v>0</v>
      </c>
      <c r="T1901">
        <f t="shared" si="562"/>
        <v>0</v>
      </c>
      <c r="U1901">
        <f t="shared" si="563"/>
        <v>0</v>
      </c>
      <c r="V1901">
        <f t="shared" si="564"/>
        <v>0</v>
      </c>
      <c r="W1901" t="s">
        <v>58</v>
      </c>
      <c r="X1901">
        <f t="shared" si="565"/>
        <v>0</v>
      </c>
      <c r="Y1901">
        <f t="shared" si="566"/>
        <v>1</v>
      </c>
      <c r="Z1901">
        <v>4</v>
      </c>
      <c r="AA1901">
        <f t="shared" si="567"/>
        <v>0.75</v>
      </c>
      <c r="AB1901" t="s">
        <v>46</v>
      </c>
      <c r="AC1901">
        <f t="shared" si="568"/>
        <v>0</v>
      </c>
      <c r="AD1901">
        <f t="shared" si="569"/>
        <v>1</v>
      </c>
      <c r="AE1901" t="s">
        <v>90</v>
      </c>
      <c r="AF1901">
        <f>IF(AE1901="website",1,0)</f>
        <v>0</v>
      </c>
    </row>
    <row r="1902" spans="1:32">
      <c r="A1902" t="s">
        <v>2554</v>
      </c>
      <c r="B1902" t="s">
        <v>33</v>
      </c>
      <c r="C1902" s="3">
        <f t="shared" si="551"/>
        <v>0</v>
      </c>
      <c r="D1902">
        <f t="shared" si="552"/>
        <v>1</v>
      </c>
      <c r="E1902" t="s">
        <v>750</v>
      </c>
      <c r="F1902" t="s">
        <v>372</v>
      </c>
      <c r="G1902" s="1">
        <v>30211</v>
      </c>
      <c r="H1902" s="2">
        <f t="shared" ca="1" si="553"/>
        <v>44</v>
      </c>
      <c r="I1902" s="2">
        <f t="shared" ca="1" si="554"/>
        <v>0.27142857142857141</v>
      </c>
      <c r="J1902" t="s">
        <v>45</v>
      </c>
      <c r="K1902" t="s">
        <v>65</v>
      </c>
      <c r="L1902">
        <f t="shared" si="555"/>
        <v>0</v>
      </c>
      <c r="M1902">
        <f t="shared" si="556"/>
        <v>1</v>
      </c>
      <c r="N1902">
        <f t="shared" si="557"/>
        <v>0</v>
      </c>
      <c r="O1902" t="s">
        <v>642</v>
      </c>
      <c r="P1902">
        <f t="shared" si="558"/>
        <v>0</v>
      </c>
      <c r="Q1902">
        <f t="shared" si="559"/>
        <v>0</v>
      </c>
      <c r="R1902">
        <f t="shared" si="560"/>
        <v>0</v>
      </c>
      <c r="S1902">
        <f t="shared" si="561"/>
        <v>0</v>
      </c>
      <c r="T1902">
        <f t="shared" si="562"/>
        <v>0</v>
      </c>
      <c r="U1902">
        <f t="shared" si="563"/>
        <v>0</v>
      </c>
      <c r="V1902">
        <f t="shared" si="564"/>
        <v>0</v>
      </c>
      <c r="W1902" t="s">
        <v>39</v>
      </c>
      <c r="X1902">
        <f t="shared" si="565"/>
        <v>1</v>
      </c>
      <c r="Y1902">
        <f t="shared" si="566"/>
        <v>0</v>
      </c>
      <c r="Z1902">
        <v>4</v>
      </c>
      <c r="AA1902">
        <f t="shared" si="567"/>
        <v>0.75</v>
      </c>
      <c r="AB1902" t="s">
        <v>46</v>
      </c>
      <c r="AC1902">
        <f t="shared" si="568"/>
        <v>1</v>
      </c>
      <c r="AD1902">
        <f t="shared" si="569"/>
        <v>0</v>
      </c>
      <c r="AE1902" t="s">
        <v>50</v>
      </c>
      <c r="AF1902">
        <f>IF(AE1902="website",1,0)</f>
        <v>0</v>
      </c>
    </row>
    <row r="1903" spans="1:32">
      <c r="A1903" t="s">
        <v>2555</v>
      </c>
      <c r="B1903" t="s">
        <v>55</v>
      </c>
      <c r="C1903" s="3">
        <f t="shared" si="551"/>
        <v>1</v>
      </c>
      <c r="D1903">
        <f t="shared" si="552"/>
        <v>0</v>
      </c>
      <c r="E1903" t="s">
        <v>1025</v>
      </c>
      <c r="F1903" t="s">
        <v>57</v>
      </c>
      <c r="G1903" s="1">
        <v>29534</v>
      </c>
      <c r="H1903" s="2">
        <f t="shared" ca="1" si="553"/>
        <v>45</v>
      </c>
      <c r="I1903" s="2">
        <f t="shared" ca="1" si="554"/>
        <v>0.2857142857142857</v>
      </c>
      <c r="J1903" t="s">
        <v>45</v>
      </c>
      <c r="K1903" t="s">
        <v>37</v>
      </c>
      <c r="L1903">
        <f t="shared" si="555"/>
        <v>1</v>
      </c>
      <c r="M1903">
        <f t="shared" si="556"/>
        <v>0</v>
      </c>
      <c r="N1903">
        <f t="shared" si="557"/>
        <v>0</v>
      </c>
      <c r="O1903" t="s">
        <v>137</v>
      </c>
      <c r="P1903">
        <f t="shared" si="558"/>
        <v>0</v>
      </c>
      <c r="Q1903">
        <f t="shared" si="559"/>
        <v>0</v>
      </c>
      <c r="R1903">
        <f t="shared" si="560"/>
        <v>0</v>
      </c>
      <c r="S1903">
        <f t="shared" si="561"/>
        <v>0</v>
      </c>
      <c r="T1903">
        <f t="shared" si="562"/>
        <v>0</v>
      </c>
      <c r="U1903">
        <f t="shared" si="563"/>
        <v>0</v>
      </c>
      <c r="V1903">
        <f t="shared" si="564"/>
        <v>0</v>
      </c>
      <c r="W1903" t="s">
        <v>58</v>
      </c>
      <c r="X1903">
        <f t="shared" si="565"/>
        <v>0</v>
      </c>
      <c r="Y1903">
        <f t="shared" si="566"/>
        <v>1</v>
      </c>
      <c r="Z1903">
        <v>2</v>
      </c>
      <c r="AA1903">
        <f t="shared" si="567"/>
        <v>0.25</v>
      </c>
      <c r="AB1903" t="s">
        <v>46</v>
      </c>
      <c r="AC1903">
        <f t="shared" si="568"/>
        <v>1</v>
      </c>
      <c r="AD1903">
        <f t="shared" si="569"/>
        <v>0</v>
      </c>
      <c r="AE1903" t="s">
        <v>50</v>
      </c>
      <c r="AF1903">
        <f>IF(AE1903="website",1,0)</f>
        <v>0</v>
      </c>
    </row>
    <row r="1904" spans="1:32">
      <c r="A1904" t="s">
        <v>2556</v>
      </c>
      <c r="B1904" t="s">
        <v>33</v>
      </c>
      <c r="C1904" s="3">
        <f t="shared" si="551"/>
        <v>0</v>
      </c>
      <c r="D1904">
        <f t="shared" si="552"/>
        <v>1</v>
      </c>
      <c r="E1904" t="s">
        <v>976</v>
      </c>
      <c r="F1904" t="s">
        <v>378</v>
      </c>
      <c r="G1904" s="1">
        <v>33573</v>
      </c>
      <c r="H1904" s="2">
        <f t="shared" ca="1" si="553"/>
        <v>34</v>
      </c>
      <c r="I1904" s="2">
        <f t="shared" ca="1" si="554"/>
        <v>0.12857142857142856</v>
      </c>
      <c r="J1904" t="s">
        <v>36</v>
      </c>
      <c r="K1904" t="s">
        <v>37</v>
      </c>
      <c r="L1904">
        <f t="shared" si="555"/>
        <v>1</v>
      </c>
      <c r="M1904">
        <f t="shared" si="556"/>
        <v>0</v>
      </c>
      <c r="N1904">
        <f t="shared" si="557"/>
        <v>0</v>
      </c>
      <c r="O1904" t="s">
        <v>124</v>
      </c>
      <c r="P1904">
        <f t="shared" si="558"/>
        <v>0</v>
      </c>
      <c r="Q1904">
        <f t="shared" si="559"/>
        <v>0</v>
      </c>
      <c r="R1904">
        <f t="shared" si="560"/>
        <v>0</v>
      </c>
      <c r="S1904">
        <f t="shared" si="561"/>
        <v>0</v>
      </c>
      <c r="T1904">
        <f t="shared" si="562"/>
        <v>0</v>
      </c>
      <c r="U1904">
        <f t="shared" si="563"/>
        <v>1</v>
      </c>
      <c r="V1904">
        <f t="shared" si="564"/>
        <v>0</v>
      </c>
      <c r="W1904" t="s">
        <v>39</v>
      </c>
      <c r="X1904">
        <f t="shared" si="565"/>
        <v>1</v>
      </c>
      <c r="Y1904">
        <f t="shared" si="566"/>
        <v>0</v>
      </c>
      <c r="Z1904">
        <v>2</v>
      </c>
      <c r="AA1904">
        <f t="shared" si="567"/>
        <v>0.25</v>
      </c>
      <c r="AB1904" t="s">
        <v>46</v>
      </c>
      <c r="AC1904">
        <f t="shared" si="568"/>
        <v>0</v>
      </c>
      <c r="AD1904">
        <f t="shared" si="569"/>
        <v>0</v>
      </c>
      <c r="AE1904" t="s">
        <v>41</v>
      </c>
      <c r="AF1904">
        <f>IF(AE1904="website",1,0)</f>
        <v>1</v>
      </c>
    </row>
    <row r="1905" spans="1:32">
      <c r="A1905" t="s">
        <v>2557</v>
      </c>
      <c r="B1905" t="s">
        <v>33</v>
      </c>
      <c r="C1905" s="3">
        <f t="shared" si="551"/>
        <v>0</v>
      </c>
      <c r="D1905">
        <f t="shared" si="552"/>
        <v>1</v>
      </c>
      <c r="E1905" t="s">
        <v>288</v>
      </c>
      <c r="F1905" t="s">
        <v>112</v>
      </c>
      <c r="G1905" s="1">
        <v>17980</v>
      </c>
      <c r="H1905" s="2">
        <f t="shared" ca="1" si="553"/>
        <v>77</v>
      </c>
      <c r="I1905" s="2">
        <f t="shared" ca="1" si="554"/>
        <v>0.74285714285714288</v>
      </c>
      <c r="J1905" t="s">
        <v>45</v>
      </c>
      <c r="K1905" t="s">
        <v>37</v>
      </c>
      <c r="L1905">
        <f t="shared" si="555"/>
        <v>1</v>
      </c>
      <c r="M1905">
        <f t="shared" si="556"/>
        <v>0</v>
      </c>
      <c r="N1905">
        <f t="shared" si="557"/>
        <v>0</v>
      </c>
      <c r="O1905" t="s">
        <v>592</v>
      </c>
      <c r="P1905">
        <f t="shared" si="558"/>
        <v>0</v>
      </c>
      <c r="Q1905">
        <f t="shared" si="559"/>
        <v>0</v>
      </c>
      <c r="R1905">
        <f t="shared" si="560"/>
        <v>0</v>
      </c>
      <c r="S1905">
        <f t="shared" si="561"/>
        <v>0</v>
      </c>
      <c r="T1905">
        <f t="shared" si="562"/>
        <v>0</v>
      </c>
      <c r="U1905">
        <f t="shared" si="563"/>
        <v>0</v>
      </c>
      <c r="V1905">
        <f t="shared" si="564"/>
        <v>0</v>
      </c>
      <c r="W1905" t="s">
        <v>39</v>
      </c>
      <c r="X1905">
        <f t="shared" si="565"/>
        <v>1</v>
      </c>
      <c r="Y1905">
        <f t="shared" si="566"/>
        <v>0</v>
      </c>
      <c r="Z1905">
        <v>2</v>
      </c>
      <c r="AA1905">
        <f t="shared" si="567"/>
        <v>0.25</v>
      </c>
      <c r="AB1905" t="s">
        <v>40</v>
      </c>
      <c r="AC1905">
        <f t="shared" si="568"/>
        <v>0</v>
      </c>
      <c r="AD1905">
        <f t="shared" si="569"/>
        <v>0</v>
      </c>
      <c r="AE1905" t="s">
        <v>41</v>
      </c>
      <c r="AF1905">
        <f>IF(AE1905="website",1,0)</f>
        <v>1</v>
      </c>
    </row>
    <row r="1906" spans="1:32">
      <c r="A1906" t="s">
        <v>2558</v>
      </c>
      <c r="B1906" t="s">
        <v>33</v>
      </c>
      <c r="C1906" s="3">
        <f t="shared" si="551"/>
        <v>0</v>
      </c>
      <c r="D1906">
        <f t="shared" si="552"/>
        <v>1</v>
      </c>
      <c r="E1906" t="s">
        <v>659</v>
      </c>
      <c r="F1906" t="s">
        <v>742</v>
      </c>
      <c r="G1906" s="1">
        <v>22314</v>
      </c>
      <c r="H1906" s="2">
        <f t="shared" ca="1" si="553"/>
        <v>65</v>
      </c>
      <c r="I1906" s="2">
        <f t="shared" ca="1" si="554"/>
        <v>0.5714285714285714</v>
      </c>
      <c r="J1906" t="s">
        <v>45</v>
      </c>
      <c r="K1906" t="s">
        <v>37</v>
      </c>
      <c r="L1906">
        <f t="shared" si="555"/>
        <v>1</v>
      </c>
      <c r="M1906">
        <f t="shared" si="556"/>
        <v>0</v>
      </c>
      <c r="N1906">
        <f t="shared" si="557"/>
        <v>0</v>
      </c>
      <c r="O1906" t="s">
        <v>305</v>
      </c>
      <c r="P1906">
        <f t="shared" si="558"/>
        <v>0</v>
      </c>
      <c r="Q1906">
        <f t="shared" si="559"/>
        <v>0</v>
      </c>
      <c r="R1906">
        <f t="shared" si="560"/>
        <v>0</v>
      </c>
      <c r="S1906">
        <f t="shared" si="561"/>
        <v>0</v>
      </c>
      <c r="T1906">
        <f t="shared" si="562"/>
        <v>0</v>
      </c>
      <c r="U1906">
        <f t="shared" si="563"/>
        <v>0</v>
      </c>
      <c r="V1906">
        <f t="shared" si="564"/>
        <v>0</v>
      </c>
      <c r="W1906" t="s">
        <v>39</v>
      </c>
      <c r="X1906">
        <f t="shared" si="565"/>
        <v>1</v>
      </c>
      <c r="Y1906">
        <f t="shared" si="566"/>
        <v>0</v>
      </c>
      <c r="Z1906">
        <v>1</v>
      </c>
      <c r="AA1906">
        <f t="shared" si="567"/>
        <v>0</v>
      </c>
      <c r="AB1906" t="s">
        <v>46</v>
      </c>
      <c r="AC1906">
        <f t="shared" si="568"/>
        <v>0</v>
      </c>
      <c r="AD1906">
        <f t="shared" si="569"/>
        <v>0</v>
      </c>
      <c r="AE1906" t="s">
        <v>41</v>
      </c>
      <c r="AF1906">
        <f>IF(AE1906="website",1,0)</f>
        <v>1</v>
      </c>
    </row>
    <row r="1907" spans="1:32">
      <c r="A1907" t="s">
        <v>2559</v>
      </c>
      <c r="B1907" t="s">
        <v>33</v>
      </c>
      <c r="C1907" s="3">
        <f t="shared" si="551"/>
        <v>0</v>
      </c>
      <c r="D1907">
        <f t="shared" si="552"/>
        <v>1</v>
      </c>
      <c r="E1907" t="s">
        <v>482</v>
      </c>
      <c r="F1907" t="s">
        <v>613</v>
      </c>
      <c r="G1907" s="1">
        <v>20347</v>
      </c>
      <c r="H1907" s="2">
        <f t="shared" ca="1" si="553"/>
        <v>71</v>
      </c>
      <c r="I1907" s="2">
        <f t="shared" ca="1" si="554"/>
        <v>0.65714285714285714</v>
      </c>
      <c r="J1907" t="s">
        <v>36</v>
      </c>
      <c r="K1907" t="s">
        <v>37</v>
      </c>
      <c r="L1907">
        <f t="shared" si="555"/>
        <v>1</v>
      </c>
      <c r="M1907">
        <f t="shared" si="556"/>
        <v>0</v>
      </c>
      <c r="N1907">
        <f t="shared" si="557"/>
        <v>0</v>
      </c>
      <c r="O1907" t="s">
        <v>38</v>
      </c>
      <c r="P1907">
        <f t="shared" si="558"/>
        <v>1</v>
      </c>
      <c r="Q1907">
        <f t="shared" si="559"/>
        <v>0</v>
      </c>
      <c r="R1907">
        <f t="shared" si="560"/>
        <v>0</v>
      </c>
      <c r="S1907">
        <f t="shared" si="561"/>
        <v>0</v>
      </c>
      <c r="T1907">
        <f t="shared" si="562"/>
        <v>0</v>
      </c>
      <c r="U1907">
        <f t="shared" si="563"/>
        <v>0</v>
      </c>
      <c r="V1907">
        <f t="shared" si="564"/>
        <v>0</v>
      </c>
      <c r="W1907" t="s">
        <v>39</v>
      </c>
      <c r="X1907">
        <f t="shared" si="565"/>
        <v>1</v>
      </c>
      <c r="Y1907">
        <f t="shared" si="566"/>
        <v>0</v>
      </c>
      <c r="Z1907">
        <v>2</v>
      </c>
      <c r="AA1907">
        <f t="shared" si="567"/>
        <v>0.25</v>
      </c>
      <c r="AB1907" t="s">
        <v>46</v>
      </c>
      <c r="AC1907">
        <f t="shared" si="568"/>
        <v>1</v>
      </c>
      <c r="AD1907">
        <f t="shared" si="569"/>
        <v>0</v>
      </c>
      <c r="AE1907" t="s">
        <v>50</v>
      </c>
      <c r="AF1907">
        <f>IF(AE1907="website",1,0)</f>
        <v>0</v>
      </c>
    </row>
    <row r="1908" spans="1:32">
      <c r="A1908" t="s">
        <v>2560</v>
      </c>
      <c r="B1908" t="s">
        <v>33</v>
      </c>
      <c r="C1908" s="3">
        <f t="shared" si="551"/>
        <v>0</v>
      </c>
      <c r="D1908">
        <f t="shared" si="552"/>
        <v>1</v>
      </c>
      <c r="E1908" t="s">
        <v>655</v>
      </c>
      <c r="F1908" t="s">
        <v>61</v>
      </c>
      <c r="G1908" s="1">
        <v>18334</v>
      </c>
      <c r="H1908" s="2">
        <f t="shared" ca="1" si="553"/>
        <v>76</v>
      </c>
      <c r="I1908" s="2">
        <f t="shared" ca="1" si="554"/>
        <v>0.72857142857142854</v>
      </c>
      <c r="J1908" t="s">
        <v>45</v>
      </c>
      <c r="K1908" t="s">
        <v>37</v>
      </c>
      <c r="L1908">
        <f t="shared" si="555"/>
        <v>1</v>
      </c>
      <c r="M1908">
        <f t="shared" si="556"/>
        <v>0</v>
      </c>
      <c r="N1908">
        <f t="shared" si="557"/>
        <v>0</v>
      </c>
      <c r="O1908" t="s">
        <v>137</v>
      </c>
      <c r="P1908">
        <f t="shared" si="558"/>
        <v>0</v>
      </c>
      <c r="Q1908">
        <f t="shared" si="559"/>
        <v>0</v>
      </c>
      <c r="R1908">
        <f t="shared" si="560"/>
        <v>0</v>
      </c>
      <c r="S1908">
        <f t="shared" si="561"/>
        <v>0</v>
      </c>
      <c r="T1908">
        <f t="shared" si="562"/>
        <v>0</v>
      </c>
      <c r="U1908">
        <f t="shared" si="563"/>
        <v>0</v>
      </c>
      <c r="V1908">
        <f t="shared" si="564"/>
        <v>0</v>
      </c>
      <c r="W1908" t="s">
        <v>39</v>
      </c>
      <c r="X1908">
        <f t="shared" si="565"/>
        <v>1</v>
      </c>
      <c r="Y1908">
        <f t="shared" si="566"/>
        <v>0</v>
      </c>
      <c r="Z1908">
        <v>3</v>
      </c>
      <c r="AA1908">
        <f t="shared" si="567"/>
        <v>0.5</v>
      </c>
      <c r="AB1908" t="s">
        <v>46</v>
      </c>
      <c r="AC1908">
        <f t="shared" si="568"/>
        <v>0</v>
      </c>
      <c r="AD1908">
        <f t="shared" si="569"/>
        <v>0</v>
      </c>
      <c r="AE1908" t="s">
        <v>41</v>
      </c>
      <c r="AF1908">
        <f>IF(AE1908="website",1,0)</f>
        <v>1</v>
      </c>
    </row>
    <row r="1909" spans="1:32">
      <c r="A1909" t="s">
        <v>2561</v>
      </c>
      <c r="B1909" t="s">
        <v>33</v>
      </c>
      <c r="C1909" s="3">
        <f t="shared" si="551"/>
        <v>0</v>
      </c>
      <c r="D1909">
        <f t="shared" si="552"/>
        <v>1</v>
      </c>
      <c r="E1909" t="s">
        <v>602</v>
      </c>
      <c r="F1909" t="s">
        <v>620</v>
      </c>
      <c r="G1909" s="1">
        <v>27847</v>
      </c>
      <c r="H1909" s="2">
        <f t="shared" ca="1" si="553"/>
        <v>50</v>
      </c>
      <c r="I1909" s="2">
        <f t="shared" ca="1" si="554"/>
        <v>0.35714285714285715</v>
      </c>
      <c r="J1909" t="s">
        <v>36</v>
      </c>
      <c r="K1909" t="s">
        <v>37</v>
      </c>
      <c r="L1909">
        <f t="shared" si="555"/>
        <v>1</v>
      </c>
      <c r="M1909">
        <f t="shared" si="556"/>
        <v>0</v>
      </c>
      <c r="N1909">
        <f t="shared" si="557"/>
        <v>0</v>
      </c>
      <c r="O1909" t="s">
        <v>38</v>
      </c>
      <c r="P1909">
        <f t="shared" si="558"/>
        <v>1</v>
      </c>
      <c r="Q1909">
        <f t="shared" si="559"/>
        <v>0</v>
      </c>
      <c r="R1909">
        <f t="shared" si="560"/>
        <v>0</v>
      </c>
      <c r="S1909">
        <f t="shared" si="561"/>
        <v>0</v>
      </c>
      <c r="T1909">
        <f t="shared" si="562"/>
        <v>0</v>
      </c>
      <c r="U1909">
        <f t="shared" si="563"/>
        <v>0</v>
      </c>
      <c r="V1909">
        <f t="shared" si="564"/>
        <v>0</v>
      </c>
      <c r="W1909" t="s">
        <v>39</v>
      </c>
      <c r="X1909">
        <f t="shared" si="565"/>
        <v>1</v>
      </c>
      <c r="Y1909">
        <f t="shared" si="566"/>
        <v>0</v>
      </c>
      <c r="Z1909">
        <v>2</v>
      </c>
      <c r="AA1909">
        <f t="shared" si="567"/>
        <v>0.25</v>
      </c>
      <c r="AB1909" t="s">
        <v>46</v>
      </c>
      <c r="AC1909">
        <f t="shared" si="568"/>
        <v>0</v>
      </c>
      <c r="AD1909">
        <f t="shared" si="569"/>
        <v>0</v>
      </c>
      <c r="AE1909" t="s">
        <v>41</v>
      </c>
      <c r="AF1909">
        <f>IF(AE1909="website",1,0)</f>
        <v>1</v>
      </c>
    </row>
    <row r="1910" spans="1:32">
      <c r="A1910" t="s">
        <v>2562</v>
      </c>
      <c r="B1910" t="s">
        <v>33</v>
      </c>
      <c r="C1910" s="3">
        <f t="shared" si="551"/>
        <v>0</v>
      </c>
      <c r="D1910">
        <f t="shared" si="552"/>
        <v>1</v>
      </c>
      <c r="E1910" t="s">
        <v>804</v>
      </c>
      <c r="F1910" t="s">
        <v>599</v>
      </c>
      <c r="G1910" s="1">
        <v>31385</v>
      </c>
      <c r="H1910" s="2">
        <f t="shared" ca="1" si="553"/>
        <v>40</v>
      </c>
      <c r="I1910" s="2">
        <f t="shared" ca="1" si="554"/>
        <v>0.21428571428571427</v>
      </c>
      <c r="J1910" t="s">
        <v>36</v>
      </c>
      <c r="K1910" t="s">
        <v>37</v>
      </c>
      <c r="L1910">
        <f t="shared" si="555"/>
        <v>1</v>
      </c>
      <c r="M1910">
        <f t="shared" si="556"/>
        <v>0</v>
      </c>
      <c r="N1910">
        <f t="shared" si="557"/>
        <v>0</v>
      </c>
      <c r="O1910" t="s">
        <v>38</v>
      </c>
      <c r="P1910">
        <f t="shared" si="558"/>
        <v>1</v>
      </c>
      <c r="Q1910">
        <f t="shared" si="559"/>
        <v>0</v>
      </c>
      <c r="R1910">
        <f t="shared" si="560"/>
        <v>0</v>
      </c>
      <c r="S1910">
        <f t="shared" si="561"/>
        <v>0</v>
      </c>
      <c r="T1910">
        <f t="shared" si="562"/>
        <v>0</v>
      </c>
      <c r="U1910">
        <f t="shared" si="563"/>
        <v>0</v>
      </c>
      <c r="V1910">
        <f t="shared" si="564"/>
        <v>0</v>
      </c>
      <c r="W1910" t="s">
        <v>58</v>
      </c>
      <c r="X1910">
        <f t="shared" si="565"/>
        <v>0</v>
      </c>
      <c r="Y1910">
        <f t="shared" si="566"/>
        <v>1</v>
      </c>
      <c r="Z1910">
        <v>2</v>
      </c>
      <c r="AA1910">
        <f t="shared" si="567"/>
        <v>0.25</v>
      </c>
      <c r="AB1910" t="s">
        <v>46</v>
      </c>
      <c r="AC1910">
        <f t="shared" si="568"/>
        <v>1</v>
      </c>
      <c r="AD1910">
        <f t="shared" si="569"/>
        <v>0</v>
      </c>
      <c r="AE1910" t="s">
        <v>50</v>
      </c>
      <c r="AF1910">
        <f>IF(AE1910="website",1,0)</f>
        <v>0</v>
      </c>
    </row>
    <row r="1911" spans="1:32">
      <c r="A1911" t="s">
        <v>2563</v>
      </c>
      <c r="B1911" t="s">
        <v>55</v>
      </c>
      <c r="C1911" s="3">
        <f t="shared" si="551"/>
        <v>1</v>
      </c>
      <c r="D1911">
        <f t="shared" si="552"/>
        <v>0</v>
      </c>
      <c r="E1911" t="s">
        <v>1013</v>
      </c>
      <c r="F1911" t="s">
        <v>57</v>
      </c>
      <c r="G1911" s="1">
        <v>31324</v>
      </c>
      <c r="H1911" s="2">
        <f t="shared" ca="1" si="553"/>
        <v>41</v>
      </c>
      <c r="I1911" s="2">
        <f t="shared" ca="1" si="554"/>
        <v>0.22857142857142856</v>
      </c>
      <c r="J1911" t="s">
        <v>45</v>
      </c>
      <c r="K1911" t="s">
        <v>37</v>
      </c>
      <c r="L1911">
        <f t="shared" si="555"/>
        <v>1</v>
      </c>
      <c r="M1911">
        <f t="shared" si="556"/>
        <v>0</v>
      </c>
      <c r="N1911">
        <f t="shared" si="557"/>
        <v>0</v>
      </c>
      <c r="O1911" t="s">
        <v>38</v>
      </c>
      <c r="P1911">
        <f t="shared" si="558"/>
        <v>1</v>
      </c>
      <c r="Q1911">
        <f t="shared" si="559"/>
        <v>0</v>
      </c>
      <c r="R1911">
        <f t="shared" si="560"/>
        <v>0</v>
      </c>
      <c r="S1911">
        <f t="shared" si="561"/>
        <v>0</v>
      </c>
      <c r="T1911">
        <f t="shared" si="562"/>
        <v>0</v>
      </c>
      <c r="U1911">
        <f t="shared" si="563"/>
        <v>0</v>
      </c>
      <c r="V1911">
        <f t="shared" si="564"/>
        <v>0</v>
      </c>
      <c r="W1911" t="s">
        <v>39</v>
      </c>
      <c r="X1911">
        <f t="shared" si="565"/>
        <v>1</v>
      </c>
      <c r="Y1911">
        <f t="shared" si="566"/>
        <v>0</v>
      </c>
      <c r="Z1911">
        <v>2</v>
      </c>
      <c r="AA1911">
        <f t="shared" si="567"/>
        <v>0.25</v>
      </c>
      <c r="AB1911" t="s">
        <v>40</v>
      </c>
      <c r="AC1911">
        <f t="shared" si="568"/>
        <v>1</v>
      </c>
      <c r="AD1911">
        <f t="shared" si="569"/>
        <v>0</v>
      </c>
      <c r="AE1911" t="s">
        <v>50</v>
      </c>
      <c r="AF1911">
        <f>IF(AE1911="website",1,0)</f>
        <v>0</v>
      </c>
    </row>
    <row r="1912" spans="1:32">
      <c r="A1912" t="s">
        <v>2564</v>
      </c>
      <c r="B1912" t="s">
        <v>33</v>
      </c>
      <c r="C1912" s="3">
        <f t="shared" si="551"/>
        <v>0</v>
      </c>
      <c r="D1912">
        <f t="shared" si="552"/>
        <v>1</v>
      </c>
      <c r="E1912" t="s">
        <v>815</v>
      </c>
      <c r="F1912" t="s">
        <v>764</v>
      </c>
      <c r="G1912" s="1">
        <v>32519</v>
      </c>
      <c r="H1912" s="2">
        <f t="shared" ca="1" si="553"/>
        <v>37</v>
      </c>
      <c r="I1912" s="2">
        <f t="shared" ca="1" si="554"/>
        <v>0.17142857142857143</v>
      </c>
      <c r="J1912" t="s">
        <v>45</v>
      </c>
      <c r="K1912" t="s">
        <v>37</v>
      </c>
      <c r="L1912">
        <f t="shared" si="555"/>
        <v>1</v>
      </c>
      <c r="M1912">
        <f t="shared" si="556"/>
        <v>0</v>
      </c>
      <c r="N1912">
        <f t="shared" si="557"/>
        <v>0</v>
      </c>
      <c r="O1912" t="s">
        <v>38</v>
      </c>
      <c r="P1912">
        <f t="shared" si="558"/>
        <v>1</v>
      </c>
      <c r="Q1912">
        <f t="shared" si="559"/>
        <v>0</v>
      </c>
      <c r="R1912">
        <f t="shared" si="560"/>
        <v>0</v>
      </c>
      <c r="S1912">
        <f t="shared" si="561"/>
        <v>0</v>
      </c>
      <c r="T1912">
        <f t="shared" si="562"/>
        <v>0</v>
      </c>
      <c r="U1912">
        <f t="shared" si="563"/>
        <v>0</v>
      </c>
      <c r="V1912">
        <f t="shared" si="564"/>
        <v>0</v>
      </c>
      <c r="W1912" t="s">
        <v>39</v>
      </c>
      <c r="X1912">
        <f t="shared" si="565"/>
        <v>1</v>
      </c>
      <c r="Y1912">
        <f t="shared" si="566"/>
        <v>0</v>
      </c>
      <c r="Z1912">
        <v>5</v>
      </c>
      <c r="AA1912">
        <f t="shared" si="567"/>
        <v>1</v>
      </c>
      <c r="AB1912" t="s">
        <v>46</v>
      </c>
      <c r="AC1912">
        <f t="shared" si="568"/>
        <v>1</v>
      </c>
      <c r="AD1912">
        <f t="shared" si="569"/>
        <v>0</v>
      </c>
      <c r="AE1912" t="s">
        <v>50</v>
      </c>
      <c r="AF1912">
        <f>IF(AE1912="website",1,0)</f>
        <v>0</v>
      </c>
    </row>
    <row r="1913" spans="1:32">
      <c r="A1913" t="s">
        <v>2565</v>
      </c>
      <c r="B1913" t="s">
        <v>33</v>
      </c>
      <c r="C1913" s="3">
        <f t="shared" si="551"/>
        <v>0</v>
      </c>
      <c r="D1913">
        <f t="shared" si="552"/>
        <v>1</v>
      </c>
      <c r="E1913" t="s">
        <v>404</v>
      </c>
      <c r="F1913" t="s">
        <v>911</v>
      </c>
      <c r="G1913" s="1">
        <v>19931</v>
      </c>
      <c r="H1913" s="2">
        <f t="shared" ca="1" si="553"/>
        <v>72</v>
      </c>
      <c r="I1913" s="2">
        <f t="shared" ca="1" si="554"/>
        <v>0.67142857142857137</v>
      </c>
      <c r="J1913" t="s">
        <v>36</v>
      </c>
      <c r="K1913" t="s">
        <v>37</v>
      </c>
      <c r="L1913">
        <f t="shared" si="555"/>
        <v>1</v>
      </c>
      <c r="M1913">
        <f t="shared" si="556"/>
        <v>0</v>
      </c>
      <c r="N1913">
        <f t="shared" si="557"/>
        <v>0</v>
      </c>
      <c r="O1913" t="s">
        <v>183</v>
      </c>
      <c r="P1913">
        <f t="shared" si="558"/>
        <v>0</v>
      </c>
      <c r="Q1913">
        <f t="shared" si="559"/>
        <v>0</v>
      </c>
      <c r="R1913">
        <f t="shared" si="560"/>
        <v>0</v>
      </c>
      <c r="S1913">
        <f t="shared" si="561"/>
        <v>0</v>
      </c>
      <c r="T1913">
        <f t="shared" si="562"/>
        <v>0</v>
      </c>
      <c r="U1913">
        <f t="shared" si="563"/>
        <v>0</v>
      </c>
      <c r="V1913">
        <f t="shared" si="564"/>
        <v>0</v>
      </c>
      <c r="W1913" t="s">
        <v>58</v>
      </c>
      <c r="X1913">
        <f t="shared" si="565"/>
        <v>0</v>
      </c>
      <c r="Y1913">
        <f t="shared" si="566"/>
        <v>1</v>
      </c>
      <c r="Z1913">
        <v>1</v>
      </c>
      <c r="AA1913">
        <f t="shared" si="567"/>
        <v>0</v>
      </c>
      <c r="AB1913" t="s">
        <v>46</v>
      </c>
      <c r="AC1913">
        <f t="shared" si="568"/>
        <v>0</v>
      </c>
      <c r="AD1913">
        <f t="shared" si="569"/>
        <v>0</v>
      </c>
      <c r="AE1913" t="s">
        <v>41</v>
      </c>
      <c r="AF1913">
        <f>IF(AE1913="website",1,0)</f>
        <v>1</v>
      </c>
    </row>
    <row r="1914" spans="1:32">
      <c r="A1914" t="s">
        <v>2566</v>
      </c>
      <c r="B1914" t="s">
        <v>33</v>
      </c>
      <c r="C1914" s="3">
        <f t="shared" si="551"/>
        <v>0</v>
      </c>
      <c r="D1914">
        <f t="shared" si="552"/>
        <v>1</v>
      </c>
      <c r="E1914" t="s">
        <v>1073</v>
      </c>
      <c r="F1914" t="s">
        <v>904</v>
      </c>
      <c r="G1914" s="1">
        <v>29537</v>
      </c>
      <c r="H1914" s="2">
        <f t="shared" ca="1" si="553"/>
        <v>45</v>
      </c>
      <c r="I1914" s="2">
        <f t="shared" ca="1" si="554"/>
        <v>0.2857142857142857</v>
      </c>
      <c r="J1914" t="s">
        <v>45</v>
      </c>
      <c r="K1914" t="s">
        <v>626</v>
      </c>
      <c r="L1914">
        <f t="shared" si="555"/>
        <v>0</v>
      </c>
      <c r="M1914">
        <f t="shared" si="556"/>
        <v>0</v>
      </c>
      <c r="N1914">
        <f t="shared" si="557"/>
        <v>0</v>
      </c>
      <c r="O1914" t="s">
        <v>660</v>
      </c>
      <c r="P1914">
        <f t="shared" si="558"/>
        <v>0</v>
      </c>
      <c r="Q1914">
        <f t="shared" si="559"/>
        <v>0</v>
      </c>
      <c r="R1914">
        <f t="shared" si="560"/>
        <v>0</v>
      </c>
      <c r="S1914">
        <f t="shared" si="561"/>
        <v>0</v>
      </c>
      <c r="T1914">
        <f t="shared" si="562"/>
        <v>0</v>
      </c>
      <c r="U1914">
        <f t="shared" si="563"/>
        <v>0</v>
      </c>
      <c r="V1914">
        <f t="shared" si="564"/>
        <v>0</v>
      </c>
      <c r="W1914" t="s">
        <v>39</v>
      </c>
      <c r="X1914">
        <f t="shared" si="565"/>
        <v>1</v>
      </c>
      <c r="Y1914">
        <f t="shared" si="566"/>
        <v>0</v>
      </c>
      <c r="Z1914">
        <v>5</v>
      </c>
      <c r="AA1914">
        <f t="shared" si="567"/>
        <v>1</v>
      </c>
      <c r="AB1914" t="s">
        <v>46</v>
      </c>
      <c r="AC1914">
        <f t="shared" si="568"/>
        <v>0</v>
      </c>
      <c r="AD1914">
        <f t="shared" si="569"/>
        <v>0</v>
      </c>
      <c r="AE1914" t="s">
        <v>41</v>
      </c>
      <c r="AF1914">
        <f>IF(AE1914="website",1,0)</f>
        <v>1</v>
      </c>
    </row>
    <row r="1915" spans="1:32">
      <c r="A1915" t="s">
        <v>2567</v>
      </c>
      <c r="B1915" t="s">
        <v>33</v>
      </c>
      <c r="C1915" s="3">
        <f t="shared" si="551"/>
        <v>0</v>
      </c>
      <c r="D1915">
        <f t="shared" si="552"/>
        <v>1</v>
      </c>
      <c r="E1915" t="s">
        <v>988</v>
      </c>
      <c r="F1915" t="s">
        <v>656</v>
      </c>
      <c r="G1915" s="1">
        <v>34205</v>
      </c>
      <c r="H1915" s="2">
        <f t="shared" ca="1" si="553"/>
        <v>33</v>
      </c>
      <c r="I1915" s="2">
        <f t="shared" ca="1" si="554"/>
        <v>0.11428571428571428</v>
      </c>
      <c r="J1915" t="s">
        <v>36</v>
      </c>
      <c r="K1915" t="s">
        <v>248</v>
      </c>
      <c r="L1915">
        <f t="shared" si="555"/>
        <v>0</v>
      </c>
      <c r="M1915">
        <f t="shared" si="556"/>
        <v>0</v>
      </c>
      <c r="N1915">
        <f t="shared" si="557"/>
        <v>0</v>
      </c>
      <c r="O1915" t="s">
        <v>411</v>
      </c>
      <c r="P1915">
        <f t="shared" si="558"/>
        <v>0</v>
      </c>
      <c r="Q1915">
        <f t="shared" si="559"/>
        <v>0</v>
      </c>
      <c r="R1915">
        <f t="shared" si="560"/>
        <v>0</v>
      </c>
      <c r="S1915">
        <f t="shared" si="561"/>
        <v>0</v>
      </c>
      <c r="T1915">
        <f t="shared" si="562"/>
        <v>0</v>
      </c>
      <c r="U1915">
        <f t="shared" si="563"/>
        <v>0</v>
      </c>
      <c r="V1915">
        <f t="shared" si="564"/>
        <v>0</v>
      </c>
      <c r="W1915" t="s">
        <v>39</v>
      </c>
      <c r="X1915">
        <f t="shared" si="565"/>
        <v>1</v>
      </c>
      <c r="Y1915">
        <f t="shared" si="566"/>
        <v>0</v>
      </c>
      <c r="Z1915">
        <v>4</v>
      </c>
      <c r="AA1915">
        <f t="shared" si="567"/>
        <v>0.75</v>
      </c>
      <c r="AB1915" t="s">
        <v>40</v>
      </c>
      <c r="AC1915">
        <f t="shared" si="568"/>
        <v>0</v>
      </c>
      <c r="AD1915">
        <f t="shared" si="569"/>
        <v>0</v>
      </c>
      <c r="AE1915" t="s">
        <v>41</v>
      </c>
      <c r="AF1915">
        <f>IF(AE1915="website",1,0)</f>
        <v>1</v>
      </c>
    </row>
    <row r="1916" spans="1:32">
      <c r="A1916" t="s">
        <v>2568</v>
      </c>
      <c r="B1916" t="s">
        <v>33</v>
      </c>
      <c r="C1916" s="3">
        <f t="shared" si="551"/>
        <v>0</v>
      </c>
      <c r="D1916">
        <f t="shared" si="552"/>
        <v>1</v>
      </c>
      <c r="E1916" t="s">
        <v>1695</v>
      </c>
      <c r="F1916" t="s">
        <v>579</v>
      </c>
      <c r="G1916" s="1">
        <v>23537</v>
      </c>
      <c r="H1916" s="2">
        <f t="shared" ca="1" si="553"/>
        <v>62</v>
      </c>
      <c r="I1916" s="2">
        <f t="shared" ca="1" si="554"/>
        <v>0.52857142857142858</v>
      </c>
      <c r="J1916" t="s">
        <v>36</v>
      </c>
      <c r="K1916" t="s">
        <v>37</v>
      </c>
      <c r="L1916">
        <f t="shared" si="555"/>
        <v>1</v>
      </c>
      <c r="M1916">
        <f t="shared" si="556"/>
        <v>0</v>
      </c>
      <c r="N1916">
        <f t="shared" si="557"/>
        <v>0</v>
      </c>
      <c r="O1916" t="s">
        <v>97</v>
      </c>
      <c r="P1916">
        <f t="shared" si="558"/>
        <v>0</v>
      </c>
      <c r="Q1916">
        <f t="shared" si="559"/>
        <v>0</v>
      </c>
      <c r="R1916">
        <f t="shared" si="560"/>
        <v>0</v>
      </c>
      <c r="S1916">
        <f t="shared" si="561"/>
        <v>0</v>
      </c>
      <c r="T1916">
        <f t="shared" si="562"/>
        <v>1</v>
      </c>
      <c r="U1916">
        <f t="shared" si="563"/>
        <v>0</v>
      </c>
      <c r="V1916">
        <f t="shared" si="564"/>
        <v>0</v>
      </c>
      <c r="W1916" t="s">
        <v>58</v>
      </c>
      <c r="X1916">
        <f t="shared" si="565"/>
        <v>0</v>
      </c>
      <c r="Y1916">
        <f t="shared" si="566"/>
        <v>1</v>
      </c>
      <c r="Z1916">
        <v>4</v>
      </c>
      <c r="AA1916">
        <f t="shared" si="567"/>
        <v>0.75</v>
      </c>
      <c r="AB1916" t="s">
        <v>46</v>
      </c>
      <c r="AC1916">
        <f t="shared" si="568"/>
        <v>0</v>
      </c>
      <c r="AD1916">
        <f t="shared" si="569"/>
        <v>1</v>
      </c>
      <c r="AE1916" t="s">
        <v>90</v>
      </c>
      <c r="AF1916">
        <f>IF(AE1916="website",1,0)</f>
        <v>0</v>
      </c>
    </row>
    <row r="1917" spans="1:32">
      <c r="A1917" t="s">
        <v>2569</v>
      </c>
      <c r="B1917" t="s">
        <v>33</v>
      </c>
      <c r="C1917" s="3">
        <f t="shared" si="551"/>
        <v>0</v>
      </c>
      <c r="D1917">
        <f t="shared" si="552"/>
        <v>1</v>
      </c>
      <c r="E1917" t="s">
        <v>842</v>
      </c>
      <c r="F1917" t="s">
        <v>552</v>
      </c>
      <c r="G1917" s="1">
        <v>17821</v>
      </c>
      <c r="H1917" s="2">
        <f t="shared" ca="1" si="553"/>
        <v>77</v>
      </c>
      <c r="I1917" s="2">
        <f t="shared" ca="1" si="554"/>
        <v>0.74285714285714288</v>
      </c>
      <c r="J1917" t="s">
        <v>45</v>
      </c>
      <c r="K1917" t="s">
        <v>37</v>
      </c>
      <c r="L1917">
        <f t="shared" si="555"/>
        <v>1</v>
      </c>
      <c r="M1917">
        <f t="shared" si="556"/>
        <v>0</v>
      </c>
      <c r="N1917">
        <f t="shared" si="557"/>
        <v>0</v>
      </c>
      <c r="O1917" t="s">
        <v>38</v>
      </c>
      <c r="P1917">
        <f t="shared" si="558"/>
        <v>1</v>
      </c>
      <c r="Q1917">
        <f t="shared" si="559"/>
        <v>0</v>
      </c>
      <c r="R1917">
        <f t="shared" si="560"/>
        <v>0</v>
      </c>
      <c r="S1917">
        <f t="shared" si="561"/>
        <v>0</v>
      </c>
      <c r="T1917">
        <f t="shared" si="562"/>
        <v>0</v>
      </c>
      <c r="U1917">
        <f t="shared" si="563"/>
        <v>0</v>
      </c>
      <c r="V1917">
        <f t="shared" si="564"/>
        <v>0</v>
      </c>
      <c r="W1917" t="s">
        <v>58</v>
      </c>
      <c r="X1917">
        <f t="shared" si="565"/>
        <v>0</v>
      </c>
      <c r="Y1917">
        <f t="shared" si="566"/>
        <v>1</v>
      </c>
      <c r="Z1917">
        <v>2</v>
      </c>
      <c r="AA1917">
        <f t="shared" si="567"/>
        <v>0.25</v>
      </c>
      <c r="AB1917" t="s">
        <v>46</v>
      </c>
      <c r="AC1917">
        <f t="shared" si="568"/>
        <v>0</v>
      </c>
      <c r="AD1917">
        <f t="shared" si="569"/>
        <v>0</v>
      </c>
      <c r="AE1917" t="s">
        <v>41</v>
      </c>
      <c r="AF1917">
        <f>IF(AE1917="website",1,0)</f>
        <v>1</v>
      </c>
    </row>
    <row r="1918" spans="1:32">
      <c r="A1918" t="s">
        <v>2570</v>
      </c>
      <c r="B1918" t="s">
        <v>33</v>
      </c>
      <c r="C1918" s="3">
        <f t="shared" si="551"/>
        <v>0</v>
      </c>
      <c r="D1918">
        <f t="shared" si="552"/>
        <v>1</v>
      </c>
      <c r="E1918" t="s">
        <v>1695</v>
      </c>
      <c r="F1918" t="s">
        <v>748</v>
      </c>
      <c r="G1918" s="1">
        <v>26192</v>
      </c>
      <c r="H1918" s="2">
        <f t="shared" ca="1" si="553"/>
        <v>55</v>
      </c>
      <c r="I1918" s="2">
        <f t="shared" ca="1" si="554"/>
        <v>0.42857142857142855</v>
      </c>
      <c r="J1918" t="s">
        <v>36</v>
      </c>
      <c r="K1918" t="s">
        <v>819</v>
      </c>
      <c r="L1918">
        <f t="shared" si="555"/>
        <v>0</v>
      </c>
      <c r="M1918">
        <f t="shared" si="556"/>
        <v>0</v>
      </c>
      <c r="N1918">
        <f t="shared" si="557"/>
        <v>0</v>
      </c>
      <c r="O1918" t="s">
        <v>820</v>
      </c>
      <c r="P1918">
        <f t="shared" si="558"/>
        <v>0</v>
      </c>
      <c r="Q1918">
        <f t="shared" si="559"/>
        <v>0</v>
      </c>
      <c r="R1918">
        <f t="shared" si="560"/>
        <v>0</v>
      </c>
      <c r="S1918">
        <f t="shared" si="561"/>
        <v>0</v>
      </c>
      <c r="T1918">
        <f t="shared" si="562"/>
        <v>0</v>
      </c>
      <c r="U1918">
        <f t="shared" si="563"/>
        <v>0</v>
      </c>
      <c r="V1918">
        <f t="shared" si="564"/>
        <v>0</v>
      </c>
      <c r="W1918" t="s">
        <v>39</v>
      </c>
      <c r="X1918">
        <f t="shared" si="565"/>
        <v>1</v>
      </c>
      <c r="Y1918">
        <f t="shared" si="566"/>
        <v>0</v>
      </c>
      <c r="Z1918">
        <v>2</v>
      </c>
      <c r="AA1918">
        <f t="shared" si="567"/>
        <v>0.25</v>
      </c>
      <c r="AB1918" t="s">
        <v>46</v>
      </c>
      <c r="AC1918">
        <f t="shared" si="568"/>
        <v>0</v>
      </c>
      <c r="AD1918">
        <f t="shared" si="569"/>
        <v>1</v>
      </c>
      <c r="AE1918" t="s">
        <v>90</v>
      </c>
      <c r="AF1918">
        <f>IF(AE1918="website",1,0)</f>
        <v>0</v>
      </c>
    </row>
    <row r="1919" spans="1:32">
      <c r="A1919" t="s">
        <v>2571</v>
      </c>
      <c r="B1919" t="s">
        <v>33</v>
      </c>
      <c r="C1919" s="3">
        <f t="shared" si="551"/>
        <v>0</v>
      </c>
      <c r="D1919">
        <f t="shared" si="552"/>
        <v>1</v>
      </c>
      <c r="E1919" t="s">
        <v>1210</v>
      </c>
      <c r="F1919" t="s">
        <v>764</v>
      </c>
      <c r="G1919" s="1">
        <v>14871</v>
      </c>
      <c r="H1919" s="2">
        <f t="shared" ca="1" si="553"/>
        <v>86</v>
      </c>
      <c r="I1919" s="2">
        <f t="shared" ca="1" si="554"/>
        <v>0.87142857142857144</v>
      </c>
      <c r="J1919" t="s">
        <v>36</v>
      </c>
      <c r="K1919" t="s">
        <v>37</v>
      </c>
      <c r="L1919">
        <f t="shared" si="555"/>
        <v>1</v>
      </c>
      <c r="M1919">
        <f t="shared" si="556"/>
        <v>0</v>
      </c>
      <c r="N1919">
        <f t="shared" si="557"/>
        <v>0</v>
      </c>
      <c r="O1919" t="s">
        <v>38</v>
      </c>
      <c r="P1919">
        <f t="shared" si="558"/>
        <v>1</v>
      </c>
      <c r="Q1919">
        <f t="shared" si="559"/>
        <v>0</v>
      </c>
      <c r="R1919">
        <f t="shared" si="560"/>
        <v>0</v>
      </c>
      <c r="S1919">
        <f t="shared" si="561"/>
        <v>0</v>
      </c>
      <c r="T1919">
        <f t="shared" si="562"/>
        <v>0</v>
      </c>
      <c r="U1919">
        <f t="shared" si="563"/>
        <v>0</v>
      </c>
      <c r="V1919">
        <f t="shared" si="564"/>
        <v>0</v>
      </c>
      <c r="W1919" t="s">
        <v>39</v>
      </c>
      <c r="X1919">
        <f t="shared" si="565"/>
        <v>1</v>
      </c>
      <c r="Y1919">
        <f t="shared" si="566"/>
        <v>0</v>
      </c>
      <c r="Z1919">
        <v>1</v>
      </c>
      <c r="AA1919">
        <f t="shared" si="567"/>
        <v>0</v>
      </c>
      <c r="AB1919" t="s">
        <v>46</v>
      </c>
      <c r="AC1919">
        <f t="shared" si="568"/>
        <v>0</v>
      </c>
      <c r="AD1919">
        <f t="shared" si="569"/>
        <v>1</v>
      </c>
      <c r="AE1919" t="s">
        <v>90</v>
      </c>
      <c r="AF1919">
        <f>IF(AE1919="website",1,0)</f>
        <v>0</v>
      </c>
    </row>
    <row r="1920" spans="1:32">
      <c r="A1920" t="s">
        <v>2572</v>
      </c>
      <c r="B1920" t="s">
        <v>55</v>
      </c>
      <c r="C1920" s="3">
        <f t="shared" si="551"/>
        <v>1</v>
      </c>
      <c r="D1920">
        <f t="shared" si="552"/>
        <v>0</v>
      </c>
      <c r="E1920" t="s">
        <v>1378</v>
      </c>
      <c r="F1920" t="s">
        <v>57</v>
      </c>
      <c r="G1920" s="1">
        <v>24856</v>
      </c>
      <c r="H1920" s="2">
        <f t="shared" ca="1" si="553"/>
        <v>58</v>
      </c>
      <c r="I1920" s="2">
        <f t="shared" ca="1" si="554"/>
        <v>0.47142857142857142</v>
      </c>
      <c r="J1920" t="s">
        <v>36</v>
      </c>
      <c r="K1920" t="s">
        <v>37</v>
      </c>
      <c r="L1920">
        <f t="shared" si="555"/>
        <v>1</v>
      </c>
      <c r="M1920">
        <f t="shared" si="556"/>
        <v>0</v>
      </c>
      <c r="N1920">
        <f t="shared" si="557"/>
        <v>0</v>
      </c>
      <c r="O1920" t="s">
        <v>124</v>
      </c>
      <c r="P1920">
        <f t="shared" si="558"/>
        <v>0</v>
      </c>
      <c r="Q1920">
        <f t="shared" si="559"/>
        <v>0</v>
      </c>
      <c r="R1920">
        <f t="shared" si="560"/>
        <v>0</v>
      </c>
      <c r="S1920">
        <f t="shared" si="561"/>
        <v>0</v>
      </c>
      <c r="T1920">
        <f t="shared" si="562"/>
        <v>0</v>
      </c>
      <c r="U1920">
        <f t="shared" si="563"/>
        <v>1</v>
      </c>
      <c r="V1920">
        <f t="shared" si="564"/>
        <v>0</v>
      </c>
      <c r="W1920" t="s">
        <v>58</v>
      </c>
      <c r="X1920">
        <f t="shared" si="565"/>
        <v>0</v>
      </c>
      <c r="Y1920">
        <f t="shared" si="566"/>
        <v>1</v>
      </c>
      <c r="Z1920">
        <v>1</v>
      </c>
      <c r="AA1920">
        <f t="shared" si="567"/>
        <v>0</v>
      </c>
      <c r="AB1920" t="s">
        <v>46</v>
      </c>
      <c r="AC1920">
        <f t="shared" si="568"/>
        <v>0</v>
      </c>
      <c r="AD1920">
        <f t="shared" si="569"/>
        <v>0</v>
      </c>
      <c r="AE1920" t="s">
        <v>41</v>
      </c>
      <c r="AF1920">
        <f>IF(AE1920="website",1,0)</f>
        <v>1</v>
      </c>
    </row>
    <row r="1921" spans="1:32">
      <c r="A1921" t="s">
        <v>2573</v>
      </c>
      <c r="B1921" t="s">
        <v>33</v>
      </c>
      <c r="C1921" s="3">
        <f t="shared" si="551"/>
        <v>0</v>
      </c>
      <c r="D1921">
        <f t="shared" si="552"/>
        <v>1</v>
      </c>
      <c r="E1921" t="s">
        <v>625</v>
      </c>
      <c r="F1921" t="s">
        <v>599</v>
      </c>
      <c r="G1921" s="1">
        <v>25502</v>
      </c>
      <c r="H1921" s="2">
        <f t="shared" ca="1" si="553"/>
        <v>56</v>
      </c>
      <c r="I1921" s="2">
        <f t="shared" ca="1" si="554"/>
        <v>0.44285714285714284</v>
      </c>
      <c r="J1921" t="s">
        <v>45</v>
      </c>
      <c r="K1921" t="s">
        <v>113</v>
      </c>
      <c r="L1921">
        <f t="shared" si="555"/>
        <v>0</v>
      </c>
      <c r="M1921">
        <f t="shared" si="556"/>
        <v>0</v>
      </c>
      <c r="N1921">
        <f t="shared" si="557"/>
        <v>1</v>
      </c>
      <c r="O1921" t="s">
        <v>594</v>
      </c>
      <c r="P1921">
        <f t="shared" si="558"/>
        <v>0</v>
      </c>
      <c r="Q1921">
        <f t="shared" si="559"/>
        <v>0</v>
      </c>
      <c r="R1921">
        <f t="shared" si="560"/>
        <v>0</v>
      </c>
      <c r="S1921">
        <f t="shared" si="561"/>
        <v>0</v>
      </c>
      <c r="T1921">
        <f t="shared" si="562"/>
        <v>0</v>
      </c>
      <c r="U1921">
        <f t="shared" si="563"/>
        <v>0</v>
      </c>
      <c r="V1921">
        <f t="shared" si="564"/>
        <v>0</v>
      </c>
      <c r="W1921" t="s">
        <v>39</v>
      </c>
      <c r="X1921">
        <f t="shared" si="565"/>
        <v>1</v>
      </c>
      <c r="Y1921">
        <f t="shared" si="566"/>
        <v>0</v>
      </c>
      <c r="Z1921">
        <v>5</v>
      </c>
      <c r="AA1921">
        <f t="shared" si="567"/>
        <v>1</v>
      </c>
      <c r="AB1921" t="s">
        <v>46</v>
      </c>
      <c r="AC1921">
        <f t="shared" si="568"/>
        <v>1</v>
      </c>
      <c r="AD1921">
        <f t="shared" si="569"/>
        <v>0</v>
      </c>
      <c r="AE1921" t="s">
        <v>50</v>
      </c>
      <c r="AF1921">
        <f>IF(AE1921="website",1,0)</f>
        <v>0</v>
      </c>
    </row>
    <row r="1922" spans="1:32">
      <c r="A1922" t="s">
        <v>2574</v>
      </c>
      <c r="B1922" t="s">
        <v>33</v>
      </c>
      <c r="C1922" s="3">
        <f t="shared" ref="C1922:C1985" si="570">IF(B1922="company",1,0)</f>
        <v>0</v>
      </c>
      <c r="D1922">
        <f t="shared" ref="D1922:D1985" si="571">IF(B1922="individual",1,0)</f>
        <v>1</v>
      </c>
      <c r="E1922" t="s">
        <v>551</v>
      </c>
      <c r="F1922" t="s">
        <v>613</v>
      </c>
      <c r="G1922" s="1">
        <v>20813</v>
      </c>
      <c r="H1922" s="2">
        <f t="shared" ref="H1922:H1985" ca="1" si="572">DATEDIF(G1922,TODAY(),"Y")</f>
        <v>69</v>
      </c>
      <c r="I1922" s="2">
        <f t="shared" ref="I1922:I1985" ca="1" si="573">(H1922-MIN(H:H))/(MAX(H:H)-MIN(H:H))</f>
        <v>0.62857142857142856</v>
      </c>
      <c r="J1922" t="s">
        <v>36</v>
      </c>
      <c r="K1922" t="s">
        <v>626</v>
      </c>
      <c r="L1922">
        <f t="shared" ref="L1922:L1985" si="574">IF(K1922="usa",1,0)</f>
        <v>0</v>
      </c>
      <c r="M1922">
        <f t="shared" ref="M1922:M1985" si="575">IF(K1922="canada",1,0)</f>
        <v>0</v>
      </c>
      <c r="N1922">
        <f t="shared" ref="N1922:N1985" si="576">IF(K1922="germany",1,0)</f>
        <v>0</v>
      </c>
      <c r="O1922" t="s">
        <v>660</v>
      </c>
      <c r="P1922">
        <f t="shared" ref="P1922:P1985" si="577">IF(O1922="california",1,0)</f>
        <v>0</v>
      </c>
      <c r="Q1922">
        <f t="shared" ref="Q1922:Q1985" si="578">IF(O1922="oregon",1,0)</f>
        <v>0</v>
      </c>
      <c r="R1922">
        <f t="shared" ref="R1922:R1985" si="579">IF(O1922="quebec",1,0)</f>
        <v>0</v>
      </c>
      <c r="S1922">
        <f t="shared" ref="S1922:S1985" si="580">IF(O1922="berlin",1,0)</f>
        <v>0</v>
      </c>
      <c r="T1922">
        <f t="shared" ref="T1922:T1985" si="581">IF(O1922="arizona",1,0)</f>
        <v>0</v>
      </c>
      <c r="U1922">
        <f t="shared" ref="U1922:U1985" si="582">IF(O1922="nevada",1,0)</f>
        <v>0</v>
      </c>
      <c r="V1922">
        <f t="shared" ref="V1922:V1985" si="583">IF(O1922="colardo",1,0)</f>
        <v>0</v>
      </c>
      <c r="W1922" t="s">
        <v>39</v>
      </c>
      <c r="X1922">
        <f t="shared" ref="X1922:X1985" si="584">IF(W1922="home",1,0)</f>
        <v>1</v>
      </c>
      <c r="Y1922">
        <f t="shared" ref="Y1922:Y1985" si="585">IF(W1922="investment",1,0)</f>
        <v>0</v>
      </c>
      <c r="Z1922">
        <v>5</v>
      </c>
      <c r="AA1922">
        <f t="shared" ref="AA1922:AA1985" si="586">(Z1922-1)/4</f>
        <v>1</v>
      </c>
      <c r="AB1922" t="s">
        <v>46</v>
      </c>
      <c r="AC1922">
        <f t="shared" ref="AC1922:AC1985" si="587">IF(AE1922="agency",1,0)</f>
        <v>0</v>
      </c>
      <c r="AD1922">
        <f t="shared" ref="AD1922:AD1985" si="588">IF(AE1922="client",1,0)</f>
        <v>0</v>
      </c>
      <c r="AE1922" t="s">
        <v>41</v>
      </c>
      <c r="AF1922">
        <f>IF(AE1922="website",1,0)</f>
        <v>1</v>
      </c>
    </row>
    <row r="1923" spans="1:32">
      <c r="A1923" t="s">
        <v>2575</v>
      </c>
      <c r="B1923" t="s">
        <v>33</v>
      </c>
      <c r="C1923" s="3">
        <f t="shared" si="570"/>
        <v>0</v>
      </c>
      <c r="D1923">
        <f t="shared" si="571"/>
        <v>1</v>
      </c>
      <c r="E1923" t="s">
        <v>968</v>
      </c>
      <c r="F1923" t="s">
        <v>714</v>
      </c>
      <c r="G1923" s="1">
        <v>32151</v>
      </c>
      <c r="H1923" s="2">
        <f t="shared" ca="1" si="572"/>
        <v>38</v>
      </c>
      <c r="I1923" s="2">
        <f t="shared" ca="1" si="573"/>
        <v>0.18571428571428572</v>
      </c>
      <c r="J1923" t="s">
        <v>36</v>
      </c>
      <c r="K1923" t="s">
        <v>37</v>
      </c>
      <c r="L1923">
        <f t="shared" si="574"/>
        <v>1</v>
      </c>
      <c r="M1923">
        <f t="shared" si="575"/>
        <v>0</v>
      </c>
      <c r="N1923">
        <f t="shared" si="576"/>
        <v>0</v>
      </c>
      <c r="O1923" t="s">
        <v>38</v>
      </c>
      <c r="P1923">
        <f t="shared" si="577"/>
        <v>1</v>
      </c>
      <c r="Q1923">
        <f t="shared" si="578"/>
        <v>0</v>
      </c>
      <c r="R1923">
        <f t="shared" si="579"/>
        <v>0</v>
      </c>
      <c r="S1923">
        <f t="shared" si="580"/>
        <v>0</v>
      </c>
      <c r="T1923">
        <f t="shared" si="581"/>
        <v>0</v>
      </c>
      <c r="U1923">
        <f t="shared" si="582"/>
        <v>0</v>
      </c>
      <c r="V1923">
        <f t="shared" si="583"/>
        <v>0</v>
      </c>
      <c r="W1923" t="s">
        <v>39</v>
      </c>
      <c r="X1923">
        <f t="shared" si="584"/>
        <v>1</v>
      </c>
      <c r="Y1923">
        <f t="shared" si="585"/>
        <v>0</v>
      </c>
      <c r="Z1923">
        <v>1</v>
      </c>
      <c r="AA1923">
        <f t="shared" si="586"/>
        <v>0</v>
      </c>
      <c r="AB1923" t="s">
        <v>46</v>
      </c>
      <c r="AC1923">
        <f t="shared" si="587"/>
        <v>1</v>
      </c>
      <c r="AD1923">
        <f t="shared" si="588"/>
        <v>0</v>
      </c>
      <c r="AE1923" t="s">
        <v>50</v>
      </c>
      <c r="AF1923">
        <f>IF(AE1923="website",1,0)</f>
        <v>0</v>
      </c>
    </row>
    <row r="1924" spans="1:32">
      <c r="A1924" t="s">
        <v>2576</v>
      </c>
      <c r="B1924" t="s">
        <v>33</v>
      </c>
      <c r="C1924" s="3">
        <f t="shared" si="570"/>
        <v>0</v>
      </c>
      <c r="D1924">
        <f t="shared" si="571"/>
        <v>1</v>
      </c>
      <c r="E1924" t="s">
        <v>581</v>
      </c>
      <c r="F1924" t="s">
        <v>861</v>
      </c>
      <c r="G1924" s="1">
        <v>17233</v>
      </c>
      <c r="H1924" s="2">
        <f t="shared" ca="1" si="572"/>
        <v>79</v>
      </c>
      <c r="I1924" s="2">
        <f t="shared" ca="1" si="573"/>
        <v>0.77142857142857146</v>
      </c>
      <c r="J1924" t="s">
        <v>36</v>
      </c>
      <c r="K1924" t="s">
        <v>158</v>
      </c>
      <c r="L1924">
        <f t="shared" si="574"/>
        <v>0</v>
      </c>
      <c r="M1924">
        <f t="shared" si="575"/>
        <v>0</v>
      </c>
      <c r="N1924">
        <f t="shared" si="576"/>
        <v>0</v>
      </c>
      <c r="O1924" t="s">
        <v>1068</v>
      </c>
      <c r="P1924">
        <f t="shared" si="577"/>
        <v>0</v>
      </c>
      <c r="Q1924">
        <f t="shared" si="578"/>
        <v>0</v>
      </c>
      <c r="R1924">
        <f t="shared" si="579"/>
        <v>0</v>
      </c>
      <c r="S1924">
        <f t="shared" si="580"/>
        <v>0</v>
      </c>
      <c r="T1924">
        <f t="shared" si="581"/>
        <v>0</v>
      </c>
      <c r="U1924">
        <f t="shared" si="582"/>
        <v>0</v>
      </c>
      <c r="V1924">
        <f t="shared" si="583"/>
        <v>0</v>
      </c>
      <c r="W1924" t="s">
        <v>58</v>
      </c>
      <c r="X1924">
        <f t="shared" si="584"/>
        <v>0</v>
      </c>
      <c r="Y1924">
        <f t="shared" si="585"/>
        <v>1</v>
      </c>
      <c r="Z1924">
        <v>1</v>
      </c>
      <c r="AA1924">
        <f t="shared" si="586"/>
        <v>0</v>
      </c>
      <c r="AB1924" t="s">
        <v>40</v>
      </c>
      <c r="AC1924">
        <f t="shared" si="587"/>
        <v>0</v>
      </c>
      <c r="AD1924">
        <f t="shared" si="588"/>
        <v>1</v>
      </c>
      <c r="AE1924" t="s">
        <v>90</v>
      </c>
      <c r="AF1924">
        <f>IF(AE1924="website",1,0)</f>
        <v>0</v>
      </c>
    </row>
    <row r="1925" spans="1:32">
      <c r="A1925" t="s">
        <v>2577</v>
      </c>
      <c r="B1925" t="s">
        <v>33</v>
      </c>
      <c r="C1925" s="3">
        <f t="shared" si="570"/>
        <v>0</v>
      </c>
      <c r="D1925">
        <f t="shared" si="571"/>
        <v>1</v>
      </c>
      <c r="E1925" t="s">
        <v>1389</v>
      </c>
      <c r="F1925" t="s">
        <v>861</v>
      </c>
      <c r="G1925" s="1">
        <v>21188</v>
      </c>
      <c r="H1925" s="2">
        <f t="shared" ca="1" si="572"/>
        <v>68</v>
      </c>
      <c r="I1925" s="2">
        <f t="shared" ca="1" si="573"/>
        <v>0.61428571428571432</v>
      </c>
      <c r="J1925" t="s">
        <v>45</v>
      </c>
      <c r="K1925" t="s">
        <v>37</v>
      </c>
      <c r="L1925">
        <f t="shared" si="574"/>
        <v>1</v>
      </c>
      <c r="M1925">
        <f t="shared" si="575"/>
        <v>0</v>
      </c>
      <c r="N1925">
        <f t="shared" si="576"/>
        <v>0</v>
      </c>
      <c r="O1925" t="s">
        <v>38</v>
      </c>
      <c r="P1925">
        <f t="shared" si="577"/>
        <v>1</v>
      </c>
      <c r="Q1925">
        <f t="shared" si="578"/>
        <v>0</v>
      </c>
      <c r="R1925">
        <f t="shared" si="579"/>
        <v>0</v>
      </c>
      <c r="S1925">
        <f t="shared" si="580"/>
        <v>0</v>
      </c>
      <c r="T1925">
        <f t="shared" si="581"/>
        <v>0</v>
      </c>
      <c r="U1925">
        <f t="shared" si="582"/>
        <v>0</v>
      </c>
      <c r="V1925">
        <f t="shared" si="583"/>
        <v>0</v>
      </c>
      <c r="W1925" t="s">
        <v>39</v>
      </c>
      <c r="X1925">
        <f t="shared" si="584"/>
        <v>1</v>
      </c>
      <c r="Y1925">
        <f t="shared" si="585"/>
        <v>0</v>
      </c>
      <c r="Z1925">
        <v>3</v>
      </c>
      <c r="AA1925">
        <f t="shared" si="586"/>
        <v>0.5</v>
      </c>
      <c r="AB1925" t="s">
        <v>46</v>
      </c>
      <c r="AC1925">
        <f t="shared" si="587"/>
        <v>0</v>
      </c>
      <c r="AD1925">
        <f t="shared" si="588"/>
        <v>1</v>
      </c>
      <c r="AE1925" t="s">
        <v>90</v>
      </c>
      <c r="AF1925">
        <f>IF(AE1925="website",1,0)</f>
        <v>0</v>
      </c>
    </row>
    <row r="1926" spans="1:32">
      <c r="A1926" t="s">
        <v>2578</v>
      </c>
      <c r="B1926" t="s">
        <v>33</v>
      </c>
      <c r="C1926" s="3">
        <f t="shared" si="570"/>
        <v>0</v>
      </c>
      <c r="D1926">
        <f t="shared" si="571"/>
        <v>1</v>
      </c>
      <c r="E1926" t="s">
        <v>700</v>
      </c>
      <c r="F1926" t="s">
        <v>728</v>
      </c>
      <c r="G1926" s="1">
        <v>15360</v>
      </c>
      <c r="H1926" s="2">
        <f t="shared" ca="1" si="572"/>
        <v>84</v>
      </c>
      <c r="I1926" s="2">
        <f t="shared" ca="1" si="573"/>
        <v>0.84285714285714286</v>
      </c>
      <c r="J1926" t="s">
        <v>45</v>
      </c>
      <c r="K1926" t="s">
        <v>37</v>
      </c>
      <c r="L1926">
        <f t="shared" si="574"/>
        <v>1</v>
      </c>
      <c r="M1926">
        <f t="shared" si="575"/>
        <v>0</v>
      </c>
      <c r="N1926">
        <f t="shared" si="576"/>
        <v>0</v>
      </c>
      <c r="O1926" t="s">
        <v>137</v>
      </c>
      <c r="P1926">
        <f t="shared" si="577"/>
        <v>0</v>
      </c>
      <c r="Q1926">
        <f t="shared" si="578"/>
        <v>0</v>
      </c>
      <c r="R1926">
        <f t="shared" si="579"/>
        <v>0</v>
      </c>
      <c r="S1926">
        <f t="shared" si="580"/>
        <v>0</v>
      </c>
      <c r="T1926">
        <f t="shared" si="581"/>
        <v>0</v>
      </c>
      <c r="U1926">
        <f t="shared" si="582"/>
        <v>0</v>
      </c>
      <c r="V1926">
        <f t="shared" si="583"/>
        <v>0</v>
      </c>
      <c r="W1926" t="s">
        <v>39</v>
      </c>
      <c r="X1926">
        <f t="shared" si="584"/>
        <v>1</v>
      </c>
      <c r="Y1926">
        <f t="shared" si="585"/>
        <v>0</v>
      </c>
      <c r="Z1926">
        <v>2</v>
      </c>
      <c r="AA1926">
        <f t="shared" si="586"/>
        <v>0.25</v>
      </c>
      <c r="AB1926" t="s">
        <v>46</v>
      </c>
      <c r="AC1926">
        <f t="shared" si="587"/>
        <v>1</v>
      </c>
      <c r="AD1926">
        <f t="shared" si="588"/>
        <v>0</v>
      </c>
      <c r="AE1926" t="s">
        <v>50</v>
      </c>
      <c r="AF1926">
        <f>IF(AE1926="website",1,0)</f>
        <v>0</v>
      </c>
    </row>
    <row r="1927" spans="1:32">
      <c r="A1927" t="s">
        <v>2579</v>
      </c>
      <c r="B1927" t="s">
        <v>33</v>
      </c>
      <c r="C1927" s="3">
        <f t="shared" si="570"/>
        <v>0</v>
      </c>
      <c r="D1927">
        <f t="shared" si="571"/>
        <v>1</v>
      </c>
      <c r="E1927" t="s">
        <v>910</v>
      </c>
      <c r="F1927" t="s">
        <v>825</v>
      </c>
      <c r="G1927" s="1">
        <v>35739</v>
      </c>
      <c r="H1927" s="2">
        <f t="shared" ca="1" si="572"/>
        <v>28</v>
      </c>
      <c r="I1927" s="2">
        <f t="shared" ca="1" si="573"/>
        <v>4.2857142857142858E-2</v>
      </c>
      <c r="J1927" t="s">
        <v>45</v>
      </c>
      <c r="K1927" t="s">
        <v>158</v>
      </c>
      <c r="L1927">
        <f t="shared" si="574"/>
        <v>0</v>
      </c>
      <c r="M1927">
        <f t="shared" si="575"/>
        <v>0</v>
      </c>
      <c r="N1927">
        <f t="shared" si="576"/>
        <v>0</v>
      </c>
      <c r="O1927" t="s">
        <v>650</v>
      </c>
      <c r="P1927">
        <f t="shared" si="577"/>
        <v>0</v>
      </c>
      <c r="Q1927">
        <f t="shared" si="578"/>
        <v>0</v>
      </c>
      <c r="R1927">
        <f t="shared" si="579"/>
        <v>0</v>
      </c>
      <c r="S1927">
        <f t="shared" si="580"/>
        <v>0</v>
      </c>
      <c r="T1927">
        <f t="shared" si="581"/>
        <v>0</v>
      </c>
      <c r="U1927">
        <f t="shared" si="582"/>
        <v>0</v>
      </c>
      <c r="V1927">
        <f t="shared" si="583"/>
        <v>0</v>
      </c>
      <c r="W1927" t="s">
        <v>39</v>
      </c>
      <c r="X1927">
        <f t="shared" si="584"/>
        <v>1</v>
      </c>
      <c r="Y1927">
        <f t="shared" si="585"/>
        <v>0</v>
      </c>
      <c r="Z1927">
        <v>1</v>
      </c>
      <c r="AA1927">
        <f t="shared" si="586"/>
        <v>0</v>
      </c>
      <c r="AB1927" t="s">
        <v>40</v>
      </c>
      <c r="AC1927">
        <f t="shared" si="587"/>
        <v>0</v>
      </c>
      <c r="AD1927">
        <f t="shared" si="588"/>
        <v>0</v>
      </c>
      <c r="AE1927" t="s">
        <v>41</v>
      </c>
      <c r="AF1927">
        <f>IF(AE1927="website",1,0)</f>
        <v>1</v>
      </c>
    </row>
    <row r="1928" spans="1:32">
      <c r="A1928" t="s">
        <v>2580</v>
      </c>
      <c r="B1928" t="s">
        <v>33</v>
      </c>
      <c r="C1928" s="3">
        <f t="shared" si="570"/>
        <v>0</v>
      </c>
      <c r="D1928">
        <f t="shared" si="571"/>
        <v>1</v>
      </c>
      <c r="E1928" t="s">
        <v>1061</v>
      </c>
      <c r="F1928" t="s">
        <v>738</v>
      </c>
      <c r="G1928" s="1">
        <v>19303</v>
      </c>
      <c r="H1928" s="2">
        <f t="shared" ca="1" si="572"/>
        <v>73</v>
      </c>
      <c r="I1928" s="2">
        <f t="shared" ca="1" si="573"/>
        <v>0.68571428571428572</v>
      </c>
      <c r="J1928" t="s">
        <v>36</v>
      </c>
      <c r="K1928" t="s">
        <v>37</v>
      </c>
      <c r="L1928">
        <f t="shared" si="574"/>
        <v>1</v>
      </c>
      <c r="M1928">
        <f t="shared" si="575"/>
        <v>0</v>
      </c>
      <c r="N1928">
        <f t="shared" si="576"/>
        <v>0</v>
      </c>
      <c r="O1928" t="s">
        <v>38</v>
      </c>
      <c r="P1928">
        <f t="shared" si="577"/>
        <v>1</v>
      </c>
      <c r="Q1928">
        <f t="shared" si="578"/>
        <v>0</v>
      </c>
      <c r="R1928">
        <f t="shared" si="579"/>
        <v>0</v>
      </c>
      <c r="S1928">
        <f t="shared" si="580"/>
        <v>0</v>
      </c>
      <c r="T1928">
        <f t="shared" si="581"/>
        <v>0</v>
      </c>
      <c r="U1928">
        <f t="shared" si="582"/>
        <v>0</v>
      </c>
      <c r="V1928">
        <f t="shared" si="583"/>
        <v>0</v>
      </c>
      <c r="W1928" t="s">
        <v>58</v>
      </c>
      <c r="X1928">
        <f t="shared" si="584"/>
        <v>0</v>
      </c>
      <c r="Y1928">
        <f t="shared" si="585"/>
        <v>1</v>
      </c>
      <c r="Z1928">
        <v>1</v>
      </c>
      <c r="AA1928">
        <f t="shared" si="586"/>
        <v>0</v>
      </c>
      <c r="AB1928" t="s">
        <v>40</v>
      </c>
      <c r="AC1928">
        <f t="shared" si="587"/>
        <v>0</v>
      </c>
      <c r="AD1928">
        <f t="shared" si="588"/>
        <v>0</v>
      </c>
      <c r="AE1928" t="s">
        <v>41</v>
      </c>
      <c r="AF1928">
        <f>IF(AE1928="website",1,0)</f>
        <v>1</v>
      </c>
    </row>
    <row r="1929" spans="1:32">
      <c r="A1929" t="s">
        <v>2581</v>
      </c>
      <c r="B1929" t="s">
        <v>33</v>
      </c>
      <c r="C1929" s="3">
        <f t="shared" si="570"/>
        <v>0</v>
      </c>
      <c r="D1929">
        <f t="shared" si="571"/>
        <v>1</v>
      </c>
      <c r="E1929" t="s">
        <v>792</v>
      </c>
      <c r="F1929" t="s">
        <v>941</v>
      </c>
      <c r="G1929" s="1">
        <v>35846</v>
      </c>
      <c r="H1929" s="2">
        <f t="shared" ca="1" si="572"/>
        <v>28</v>
      </c>
      <c r="I1929" s="2">
        <f t="shared" ca="1" si="573"/>
        <v>4.2857142857142858E-2</v>
      </c>
      <c r="J1929" t="s">
        <v>45</v>
      </c>
      <c r="K1929" t="s">
        <v>819</v>
      </c>
      <c r="L1929">
        <f t="shared" si="574"/>
        <v>0</v>
      </c>
      <c r="M1929">
        <f t="shared" si="575"/>
        <v>0</v>
      </c>
      <c r="N1929">
        <f t="shared" si="576"/>
        <v>0</v>
      </c>
      <c r="O1929" t="s">
        <v>820</v>
      </c>
      <c r="P1929">
        <f t="shared" si="577"/>
        <v>0</v>
      </c>
      <c r="Q1929">
        <f t="shared" si="578"/>
        <v>0</v>
      </c>
      <c r="R1929">
        <f t="shared" si="579"/>
        <v>0</v>
      </c>
      <c r="S1929">
        <f t="shared" si="580"/>
        <v>0</v>
      </c>
      <c r="T1929">
        <f t="shared" si="581"/>
        <v>0</v>
      </c>
      <c r="U1929">
        <f t="shared" si="582"/>
        <v>0</v>
      </c>
      <c r="V1929">
        <f t="shared" si="583"/>
        <v>0</v>
      </c>
      <c r="W1929" t="s">
        <v>39</v>
      </c>
      <c r="X1929">
        <f t="shared" si="584"/>
        <v>1</v>
      </c>
      <c r="Y1929">
        <f t="shared" si="585"/>
        <v>0</v>
      </c>
      <c r="Z1929">
        <v>4</v>
      </c>
      <c r="AA1929">
        <f t="shared" si="586"/>
        <v>0.75</v>
      </c>
      <c r="AB1929" t="s">
        <v>40</v>
      </c>
      <c r="AC1929">
        <f t="shared" si="587"/>
        <v>0</v>
      </c>
      <c r="AD1929">
        <f t="shared" si="588"/>
        <v>1</v>
      </c>
      <c r="AE1929" t="s">
        <v>90</v>
      </c>
      <c r="AF1929">
        <f>IF(AE1929="website",1,0)</f>
        <v>0</v>
      </c>
    </row>
    <row r="1930" spans="1:32">
      <c r="A1930" t="s">
        <v>2582</v>
      </c>
      <c r="B1930" t="s">
        <v>33</v>
      </c>
      <c r="C1930" s="3">
        <f t="shared" si="570"/>
        <v>0</v>
      </c>
      <c r="D1930">
        <f t="shared" si="571"/>
        <v>1</v>
      </c>
      <c r="E1930" t="s">
        <v>1695</v>
      </c>
      <c r="F1930" t="s">
        <v>728</v>
      </c>
      <c r="G1930" s="1">
        <v>15273</v>
      </c>
      <c r="H1930" s="2">
        <f t="shared" ca="1" si="572"/>
        <v>84</v>
      </c>
      <c r="I1930" s="2">
        <f t="shared" ca="1" si="573"/>
        <v>0.84285714285714286</v>
      </c>
      <c r="J1930" t="s">
        <v>36</v>
      </c>
      <c r="K1930" t="s">
        <v>158</v>
      </c>
      <c r="L1930">
        <f t="shared" si="574"/>
        <v>0</v>
      </c>
      <c r="M1930">
        <f t="shared" si="575"/>
        <v>0</v>
      </c>
      <c r="N1930">
        <f t="shared" si="576"/>
        <v>0</v>
      </c>
      <c r="O1930" t="s">
        <v>1068</v>
      </c>
      <c r="P1930">
        <f t="shared" si="577"/>
        <v>0</v>
      </c>
      <c r="Q1930">
        <f t="shared" si="578"/>
        <v>0</v>
      </c>
      <c r="R1930">
        <f t="shared" si="579"/>
        <v>0</v>
      </c>
      <c r="S1930">
        <f t="shared" si="580"/>
        <v>0</v>
      </c>
      <c r="T1930">
        <f t="shared" si="581"/>
        <v>0</v>
      </c>
      <c r="U1930">
        <f t="shared" si="582"/>
        <v>0</v>
      </c>
      <c r="V1930">
        <f t="shared" si="583"/>
        <v>0</v>
      </c>
      <c r="W1930" t="s">
        <v>39</v>
      </c>
      <c r="X1930">
        <f t="shared" si="584"/>
        <v>1</v>
      </c>
      <c r="Y1930">
        <f t="shared" si="585"/>
        <v>0</v>
      </c>
      <c r="Z1930">
        <v>1</v>
      </c>
      <c r="AA1930">
        <f t="shared" si="586"/>
        <v>0</v>
      </c>
      <c r="AB1930" t="s">
        <v>40</v>
      </c>
      <c r="AC1930">
        <f t="shared" si="587"/>
        <v>1</v>
      </c>
      <c r="AD1930">
        <f t="shared" si="588"/>
        <v>0</v>
      </c>
      <c r="AE1930" t="s">
        <v>50</v>
      </c>
      <c r="AF1930">
        <f>IF(AE1930="website",1,0)</f>
        <v>0</v>
      </c>
    </row>
    <row r="1931" spans="1:32">
      <c r="A1931" t="s">
        <v>2583</v>
      </c>
      <c r="B1931" t="s">
        <v>33</v>
      </c>
      <c r="C1931" s="3">
        <f t="shared" si="570"/>
        <v>0</v>
      </c>
      <c r="D1931">
        <f t="shared" si="571"/>
        <v>1</v>
      </c>
      <c r="E1931" t="s">
        <v>476</v>
      </c>
      <c r="F1931" t="s">
        <v>613</v>
      </c>
      <c r="G1931" s="1">
        <v>24129</v>
      </c>
      <c r="H1931" s="2">
        <f t="shared" ca="1" si="572"/>
        <v>60</v>
      </c>
      <c r="I1931" s="2">
        <f t="shared" ca="1" si="573"/>
        <v>0.5</v>
      </c>
      <c r="J1931" t="s">
        <v>36</v>
      </c>
      <c r="K1931" t="s">
        <v>37</v>
      </c>
      <c r="L1931">
        <f t="shared" si="574"/>
        <v>1</v>
      </c>
      <c r="M1931">
        <f t="shared" si="575"/>
        <v>0</v>
      </c>
      <c r="N1931">
        <f t="shared" si="576"/>
        <v>0</v>
      </c>
      <c r="O1931" t="s">
        <v>137</v>
      </c>
      <c r="P1931">
        <f t="shared" si="577"/>
        <v>0</v>
      </c>
      <c r="Q1931">
        <f t="shared" si="578"/>
        <v>0</v>
      </c>
      <c r="R1931">
        <f t="shared" si="579"/>
        <v>0</v>
      </c>
      <c r="S1931">
        <f t="shared" si="580"/>
        <v>0</v>
      </c>
      <c r="T1931">
        <f t="shared" si="581"/>
        <v>0</v>
      </c>
      <c r="U1931">
        <f t="shared" si="582"/>
        <v>0</v>
      </c>
      <c r="V1931">
        <f t="shared" si="583"/>
        <v>0</v>
      </c>
      <c r="W1931" t="s">
        <v>58</v>
      </c>
      <c r="X1931">
        <f t="shared" si="584"/>
        <v>0</v>
      </c>
      <c r="Y1931">
        <f t="shared" si="585"/>
        <v>1</v>
      </c>
      <c r="Z1931">
        <v>3</v>
      </c>
      <c r="AA1931">
        <f t="shared" si="586"/>
        <v>0.5</v>
      </c>
      <c r="AB1931" t="s">
        <v>46</v>
      </c>
      <c r="AC1931">
        <f t="shared" si="587"/>
        <v>1</v>
      </c>
      <c r="AD1931">
        <f t="shared" si="588"/>
        <v>0</v>
      </c>
      <c r="AE1931" t="s">
        <v>50</v>
      </c>
      <c r="AF1931">
        <f>IF(AE1931="website",1,0)</f>
        <v>0</v>
      </c>
    </row>
    <row r="1932" spans="1:32">
      <c r="A1932" t="s">
        <v>2584</v>
      </c>
      <c r="B1932" t="s">
        <v>33</v>
      </c>
      <c r="C1932" s="3">
        <f t="shared" si="570"/>
        <v>0</v>
      </c>
      <c r="D1932">
        <f t="shared" si="571"/>
        <v>1</v>
      </c>
      <c r="E1932" t="s">
        <v>776</v>
      </c>
      <c r="F1932" t="s">
        <v>911</v>
      </c>
      <c r="G1932" s="1">
        <v>34820</v>
      </c>
      <c r="H1932" s="2">
        <f t="shared" ca="1" si="572"/>
        <v>31</v>
      </c>
      <c r="I1932" s="2">
        <f t="shared" ca="1" si="573"/>
        <v>8.5714285714285715E-2</v>
      </c>
      <c r="J1932" t="s">
        <v>36</v>
      </c>
      <c r="K1932" t="s">
        <v>37</v>
      </c>
      <c r="L1932">
        <f t="shared" si="574"/>
        <v>1</v>
      </c>
      <c r="M1932">
        <f t="shared" si="575"/>
        <v>0</v>
      </c>
      <c r="N1932">
        <f t="shared" si="576"/>
        <v>0</v>
      </c>
      <c r="O1932" t="s">
        <v>183</v>
      </c>
      <c r="P1932">
        <f t="shared" si="577"/>
        <v>0</v>
      </c>
      <c r="Q1932">
        <f t="shared" si="578"/>
        <v>0</v>
      </c>
      <c r="R1932">
        <f t="shared" si="579"/>
        <v>0</v>
      </c>
      <c r="S1932">
        <f t="shared" si="580"/>
        <v>0</v>
      </c>
      <c r="T1932">
        <f t="shared" si="581"/>
        <v>0</v>
      </c>
      <c r="U1932">
        <f t="shared" si="582"/>
        <v>0</v>
      </c>
      <c r="V1932">
        <f t="shared" si="583"/>
        <v>0</v>
      </c>
      <c r="W1932" t="s">
        <v>39</v>
      </c>
      <c r="X1932">
        <f t="shared" si="584"/>
        <v>1</v>
      </c>
      <c r="Y1932">
        <f t="shared" si="585"/>
        <v>0</v>
      </c>
      <c r="Z1932">
        <v>5</v>
      </c>
      <c r="AA1932">
        <f t="shared" si="586"/>
        <v>1</v>
      </c>
      <c r="AB1932" t="s">
        <v>40</v>
      </c>
      <c r="AC1932">
        <f t="shared" si="587"/>
        <v>0</v>
      </c>
      <c r="AD1932">
        <f t="shared" si="588"/>
        <v>0</v>
      </c>
      <c r="AE1932" t="s">
        <v>41</v>
      </c>
      <c r="AF1932">
        <f>IF(AE1932="website",1,0)</f>
        <v>1</v>
      </c>
    </row>
    <row r="1933" spans="1:32">
      <c r="A1933" t="s">
        <v>2585</v>
      </c>
      <c r="B1933" t="s">
        <v>33</v>
      </c>
      <c r="C1933" s="3">
        <f t="shared" si="570"/>
        <v>0</v>
      </c>
      <c r="D1933">
        <f t="shared" si="571"/>
        <v>1</v>
      </c>
      <c r="E1933" t="s">
        <v>1210</v>
      </c>
      <c r="F1933" t="s">
        <v>720</v>
      </c>
      <c r="G1933" s="1">
        <v>22779</v>
      </c>
      <c r="H1933" s="2">
        <f t="shared" ca="1" si="572"/>
        <v>64</v>
      </c>
      <c r="I1933" s="2">
        <f t="shared" ca="1" si="573"/>
        <v>0.55714285714285716</v>
      </c>
      <c r="J1933" t="s">
        <v>36</v>
      </c>
      <c r="K1933" t="s">
        <v>37</v>
      </c>
      <c r="L1933">
        <f t="shared" si="574"/>
        <v>1</v>
      </c>
      <c r="M1933">
        <f t="shared" si="575"/>
        <v>0</v>
      </c>
      <c r="N1933">
        <f t="shared" si="576"/>
        <v>0</v>
      </c>
      <c r="O1933" t="s">
        <v>38</v>
      </c>
      <c r="P1933">
        <f t="shared" si="577"/>
        <v>1</v>
      </c>
      <c r="Q1933">
        <f t="shared" si="578"/>
        <v>0</v>
      </c>
      <c r="R1933">
        <f t="shared" si="579"/>
        <v>0</v>
      </c>
      <c r="S1933">
        <f t="shared" si="580"/>
        <v>0</v>
      </c>
      <c r="T1933">
        <f t="shared" si="581"/>
        <v>0</v>
      </c>
      <c r="U1933">
        <f t="shared" si="582"/>
        <v>0</v>
      </c>
      <c r="V1933">
        <f t="shared" si="583"/>
        <v>0</v>
      </c>
      <c r="W1933" t="s">
        <v>58</v>
      </c>
      <c r="X1933">
        <f t="shared" si="584"/>
        <v>0</v>
      </c>
      <c r="Y1933">
        <f t="shared" si="585"/>
        <v>1</v>
      </c>
      <c r="Z1933">
        <v>2</v>
      </c>
      <c r="AA1933">
        <f t="shared" si="586"/>
        <v>0.25</v>
      </c>
      <c r="AB1933" t="s">
        <v>46</v>
      </c>
      <c r="AC1933">
        <f t="shared" si="587"/>
        <v>0</v>
      </c>
      <c r="AD1933">
        <f t="shared" si="588"/>
        <v>0</v>
      </c>
      <c r="AE1933" t="s">
        <v>41</v>
      </c>
      <c r="AF1933">
        <f>IF(AE1933="website",1,0)</f>
        <v>1</v>
      </c>
    </row>
    <row r="1934" spans="1:32">
      <c r="A1934" t="s">
        <v>2586</v>
      </c>
      <c r="B1934" t="s">
        <v>55</v>
      </c>
      <c r="C1934" s="3">
        <f t="shared" si="570"/>
        <v>1</v>
      </c>
      <c r="D1934">
        <f t="shared" si="571"/>
        <v>0</v>
      </c>
      <c r="E1934" t="s">
        <v>2587</v>
      </c>
      <c r="F1934" t="s">
        <v>57</v>
      </c>
      <c r="G1934" s="1">
        <v>34429</v>
      </c>
      <c r="H1934" s="2">
        <f t="shared" ca="1" si="572"/>
        <v>32</v>
      </c>
      <c r="I1934" s="2">
        <f t="shared" ca="1" si="573"/>
        <v>0.1</v>
      </c>
      <c r="J1934" t="s">
        <v>36</v>
      </c>
      <c r="K1934" t="s">
        <v>819</v>
      </c>
      <c r="L1934">
        <f t="shared" si="574"/>
        <v>0</v>
      </c>
      <c r="M1934">
        <f t="shared" si="575"/>
        <v>0</v>
      </c>
      <c r="N1934">
        <f t="shared" si="576"/>
        <v>0</v>
      </c>
      <c r="O1934" t="s">
        <v>1493</v>
      </c>
      <c r="P1934">
        <f t="shared" si="577"/>
        <v>0</v>
      </c>
      <c r="Q1934">
        <f t="shared" si="578"/>
        <v>0</v>
      </c>
      <c r="R1934">
        <f t="shared" si="579"/>
        <v>0</v>
      </c>
      <c r="S1934">
        <f t="shared" si="580"/>
        <v>0</v>
      </c>
      <c r="T1934">
        <f t="shared" si="581"/>
        <v>0</v>
      </c>
      <c r="U1934">
        <f t="shared" si="582"/>
        <v>0</v>
      </c>
      <c r="V1934">
        <f t="shared" si="583"/>
        <v>0</v>
      </c>
      <c r="W1934" t="s">
        <v>39</v>
      </c>
      <c r="X1934">
        <f t="shared" si="584"/>
        <v>1</v>
      </c>
      <c r="Y1934">
        <f t="shared" si="585"/>
        <v>0</v>
      </c>
      <c r="Z1934">
        <v>1</v>
      </c>
      <c r="AA1934">
        <f t="shared" si="586"/>
        <v>0</v>
      </c>
      <c r="AB1934" t="s">
        <v>46</v>
      </c>
      <c r="AC1934">
        <f t="shared" si="587"/>
        <v>0</v>
      </c>
      <c r="AD1934">
        <f t="shared" si="588"/>
        <v>1</v>
      </c>
      <c r="AE1934" t="s">
        <v>90</v>
      </c>
      <c r="AF1934">
        <f>IF(AE1934="website",1,0)</f>
        <v>0</v>
      </c>
    </row>
    <row r="1935" spans="1:32">
      <c r="A1935" t="s">
        <v>2588</v>
      </c>
      <c r="B1935" t="s">
        <v>33</v>
      </c>
      <c r="C1935" s="3">
        <f t="shared" si="570"/>
        <v>0</v>
      </c>
      <c r="D1935">
        <f t="shared" si="571"/>
        <v>1</v>
      </c>
      <c r="E1935" t="s">
        <v>815</v>
      </c>
      <c r="F1935" t="s">
        <v>748</v>
      </c>
      <c r="G1935" s="1">
        <v>28574</v>
      </c>
      <c r="H1935" s="2">
        <f t="shared" ca="1" si="572"/>
        <v>48</v>
      </c>
      <c r="I1935" s="2">
        <f t="shared" ca="1" si="573"/>
        <v>0.32857142857142857</v>
      </c>
      <c r="J1935" t="s">
        <v>45</v>
      </c>
      <c r="K1935" t="s">
        <v>626</v>
      </c>
      <c r="L1935">
        <f t="shared" si="574"/>
        <v>0</v>
      </c>
      <c r="M1935">
        <f t="shared" si="575"/>
        <v>0</v>
      </c>
      <c r="N1935">
        <f t="shared" si="576"/>
        <v>0</v>
      </c>
      <c r="O1935" t="s">
        <v>627</v>
      </c>
      <c r="P1935">
        <f t="shared" si="577"/>
        <v>0</v>
      </c>
      <c r="Q1935">
        <f t="shared" si="578"/>
        <v>0</v>
      </c>
      <c r="R1935">
        <f t="shared" si="579"/>
        <v>0</v>
      </c>
      <c r="S1935">
        <f t="shared" si="580"/>
        <v>0</v>
      </c>
      <c r="T1935">
        <f t="shared" si="581"/>
        <v>0</v>
      </c>
      <c r="U1935">
        <f t="shared" si="582"/>
        <v>0</v>
      </c>
      <c r="V1935">
        <f t="shared" si="583"/>
        <v>0</v>
      </c>
      <c r="W1935" t="s">
        <v>58</v>
      </c>
      <c r="X1935">
        <f t="shared" si="584"/>
        <v>0</v>
      </c>
      <c r="Y1935">
        <f t="shared" si="585"/>
        <v>1</v>
      </c>
      <c r="Z1935">
        <v>4</v>
      </c>
      <c r="AA1935">
        <f t="shared" si="586"/>
        <v>0.75</v>
      </c>
      <c r="AB1935" t="s">
        <v>40</v>
      </c>
      <c r="AC1935">
        <f t="shared" si="587"/>
        <v>0</v>
      </c>
      <c r="AD1935">
        <f t="shared" si="588"/>
        <v>1</v>
      </c>
      <c r="AE1935" t="s">
        <v>90</v>
      </c>
      <c r="AF1935">
        <f>IF(AE1935="website",1,0)</f>
        <v>0</v>
      </c>
    </row>
    <row r="1936" spans="1:32">
      <c r="A1936" t="s">
        <v>2589</v>
      </c>
      <c r="B1936" t="s">
        <v>33</v>
      </c>
      <c r="C1936" s="3">
        <f t="shared" si="570"/>
        <v>0</v>
      </c>
      <c r="D1936">
        <f t="shared" si="571"/>
        <v>1</v>
      </c>
      <c r="E1936" t="s">
        <v>587</v>
      </c>
      <c r="F1936" t="s">
        <v>796</v>
      </c>
      <c r="G1936" s="1">
        <v>30420</v>
      </c>
      <c r="H1936" s="2">
        <f t="shared" ca="1" si="572"/>
        <v>43</v>
      </c>
      <c r="I1936" s="2">
        <f t="shared" ca="1" si="573"/>
        <v>0.25714285714285712</v>
      </c>
      <c r="J1936" t="s">
        <v>36</v>
      </c>
      <c r="K1936" t="s">
        <v>37</v>
      </c>
      <c r="L1936">
        <f t="shared" si="574"/>
        <v>1</v>
      </c>
      <c r="M1936">
        <f t="shared" si="575"/>
        <v>0</v>
      </c>
      <c r="N1936">
        <f t="shared" si="576"/>
        <v>0</v>
      </c>
      <c r="O1936" t="s">
        <v>97</v>
      </c>
      <c r="P1936">
        <f t="shared" si="577"/>
        <v>0</v>
      </c>
      <c r="Q1936">
        <f t="shared" si="578"/>
        <v>0</v>
      </c>
      <c r="R1936">
        <f t="shared" si="579"/>
        <v>0</v>
      </c>
      <c r="S1936">
        <f t="shared" si="580"/>
        <v>0</v>
      </c>
      <c r="T1936">
        <f t="shared" si="581"/>
        <v>1</v>
      </c>
      <c r="U1936">
        <f t="shared" si="582"/>
        <v>0</v>
      </c>
      <c r="V1936">
        <f t="shared" si="583"/>
        <v>0</v>
      </c>
      <c r="W1936" t="s">
        <v>39</v>
      </c>
      <c r="X1936">
        <f t="shared" si="584"/>
        <v>1</v>
      </c>
      <c r="Y1936">
        <f t="shared" si="585"/>
        <v>0</v>
      </c>
      <c r="Z1936">
        <v>5</v>
      </c>
      <c r="AA1936">
        <f t="shared" si="586"/>
        <v>1</v>
      </c>
      <c r="AB1936" t="s">
        <v>46</v>
      </c>
      <c r="AC1936">
        <f t="shared" si="587"/>
        <v>0</v>
      </c>
      <c r="AD1936">
        <f t="shared" si="588"/>
        <v>0</v>
      </c>
      <c r="AE1936" t="s">
        <v>41</v>
      </c>
      <c r="AF1936">
        <f>IF(AE1936="website",1,0)</f>
        <v>1</v>
      </c>
    </row>
    <row r="1937" spans="1:32">
      <c r="A1937" t="s">
        <v>2590</v>
      </c>
      <c r="B1937" t="s">
        <v>33</v>
      </c>
      <c r="C1937" s="3">
        <f t="shared" si="570"/>
        <v>0</v>
      </c>
      <c r="D1937">
        <f t="shared" si="571"/>
        <v>1</v>
      </c>
      <c r="E1937" t="s">
        <v>1110</v>
      </c>
      <c r="F1937" t="s">
        <v>247</v>
      </c>
      <c r="G1937" s="1">
        <v>30736</v>
      </c>
      <c r="H1937" s="2">
        <f t="shared" ca="1" si="572"/>
        <v>42</v>
      </c>
      <c r="I1937" s="2">
        <f t="shared" ca="1" si="573"/>
        <v>0.24285714285714285</v>
      </c>
      <c r="J1937" t="s">
        <v>45</v>
      </c>
      <c r="K1937" t="s">
        <v>172</v>
      </c>
      <c r="L1937">
        <f t="shared" si="574"/>
        <v>0</v>
      </c>
      <c r="M1937">
        <f t="shared" si="575"/>
        <v>0</v>
      </c>
      <c r="N1937">
        <f t="shared" si="576"/>
        <v>0</v>
      </c>
      <c r="O1937" t="s">
        <v>173</v>
      </c>
      <c r="P1937">
        <f t="shared" si="577"/>
        <v>0</v>
      </c>
      <c r="Q1937">
        <f t="shared" si="578"/>
        <v>0</v>
      </c>
      <c r="R1937">
        <f t="shared" si="579"/>
        <v>0</v>
      </c>
      <c r="S1937">
        <f t="shared" si="580"/>
        <v>0</v>
      </c>
      <c r="T1937">
        <f t="shared" si="581"/>
        <v>0</v>
      </c>
      <c r="U1937">
        <f t="shared" si="582"/>
        <v>0</v>
      </c>
      <c r="V1937">
        <f t="shared" si="583"/>
        <v>0</v>
      </c>
      <c r="W1937" t="s">
        <v>39</v>
      </c>
      <c r="X1937">
        <f t="shared" si="584"/>
        <v>1</v>
      </c>
      <c r="Y1937">
        <f t="shared" si="585"/>
        <v>0</v>
      </c>
      <c r="Z1937">
        <v>1</v>
      </c>
      <c r="AA1937">
        <f t="shared" si="586"/>
        <v>0</v>
      </c>
      <c r="AB1937" t="s">
        <v>40</v>
      </c>
      <c r="AC1937">
        <f t="shared" si="587"/>
        <v>1</v>
      </c>
      <c r="AD1937">
        <f t="shared" si="588"/>
        <v>0</v>
      </c>
      <c r="AE1937" t="s">
        <v>50</v>
      </c>
      <c r="AF1937">
        <f>IF(AE1937="website",1,0)</f>
        <v>0</v>
      </c>
    </row>
    <row r="1938" spans="1:32">
      <c r="A1938" t="s">
        <v>2591</v>
      </c>
      <c r="B1938" t="s">
        <v>33</v>
      </c>
      <c r="C1938" s="3">
        <f t="shared" si="570"/>
        <v>0</v>
      </c>
      <c r="D1938">
        <f t="shared" si="571"/>
        <v>1</v>
      </c>
      <c r="E1938" t="s">
        <v>587</v>
      </c>
      <c r="F1938" t="s">
        <v>695</v>
      </c>
      <c r="G1938" s="1">
        <v>22356</v>
      </c>
      <c r="H1938" s="2">
        <f t="shared" ca="1" si="572"/>
        <v>65</v>
      </c>
      <c r="I1938" s="2">
        <f t="shared" ca="1" si="573"/>
        <v>0.5714285714285714</v>
      </c>
      <c r="J1938" t="s">
        <v>36</v>
      </c>
      <c r="K1938" t="s">
        <v>37</v>
      </c>
      <c r="L1938">
        <f t="shared" si="574"/>
        <v>1</v>
      </c>
      <c r="M1938">
        <f t="shared" si="575"/>
        <v>0</v>
      </c>
      <c r="N1938">
        <f t="shared" si="576"/>
        <v>0</v>
      </c>
      <c r="O1938" t="s">
        <v>97</v>
      </c>
      <c r="P1938">
        <f t="shared" si="577"/>
        <v>0</v>
      </c>
      <c r="Q1938">
        <f t="shared" si="578"/>
        <v>0</v>
      </c>
      <c r="R1938">
        <f t="shared" si="579"/>
        <v>0</v>
      </c>
      <c r="S1938">
        <f t="shared" si="580"/>
        <v>0</v>
      </c>
      <c r="T1938">
        <f t="shared" si="581"/>
        <v>1</v>
      </c>
      <c r="U1938">
        <f t="shared" si="582"/>
        <v>0</v>
      </c>
      <c r="V1938">
        <f t="shared" si="583"/>
        <v>0</v>
      </c>
      <c r="W1938" t="s">
        <v>39</v>
      </c>
      <c r="X1938">
        <f t="shared" si="584"/>
        <v>1</v>
      </c>
      <c r="Y1938">
        <f t="shared" si="585"/>
        <v>0</v>
      </c>
      <c r="Z1938">
        <v>3</v>
      </c>
      <c r="AA1938">
        <f t="shared" si="586"/>
        <v>0.5</v>
      </c>
      <c r="AB1938" t="s">
        <v>40</v>
      </c>
      <c r="AC1938">
        <f t="shared" si="587"/>
        <v>0</v>
      </c>
      <c r="AD1938">
        <f t="shared" si="588"/>
        <v>0</v>
      </c>
      <c r="AE1938" t="s">
        <v>41</v>
      </c>
      <c r="AF1938">
        <f>IF(AE1938="website",1,0)</f>
        <v>1</v>
      </c>
    </row>
    <row r="1939" spans="1:32">
      <c r="A1939" t="s">
        <v>2592</v>
      </c>
      <c r="B1939" t="s">
        <v>33</v>
      </c>
      <c r="C1939" s="3">
        <f t="shared" si="570"/>
        <v>0</v>
      </c>
      <c r="D1939">
        <f t="shared" si="571"/>
        <v>1</v>
      </c>
      <c r="E1939" t="s">
        <v>598</v>
      </c>
      <c r="F1939" t="s">
        <v>366</v>
      </c>
      <c r="G1939" s="1">
        <v>26873</v>
      </c>
      <c r="H1939" s="2">
        <f t="shared" ca="1" si="572"/>
        <v>53</v>
      </c>
      <c r="I1939" s="2">
        <f t="shared" ca="1" si="573"/>
        <v>0.4</v>
      </c>
      <c r="J1939" t="s">
        <v>45</v>
      </c>
      <c r="K1939" t="s">
        <v>65</v>
      </c>
      <c r="L1939">
        <f t="shared" si="574"/>
        <v>0</v>
      </c>
      <c r="M1939">
        <f t="shared" si="575"/>
        <v>1</v>
      </c>
      <c r="N1939">
        <f t="shared" si="576"/>
        <v>0</v>
      </c>
      <c r="O1939" t="s">
        <v>66</v>
      </c>
      <c r="P1939">
        <f t="shared" si="577"/>
        <v>0</v>
      </c>
      <c r="Q1939">
        <f t="shared" si="578"/>
        <v>0</v>
      </c>
      <c r="R1939">
        <f t="shared" si="579"/>
        <v>1</v>
      </c>
      <c r="S1939">
        <f t="shared" si="580"/>
        <v>0</v>
      </c>
      <c r="T1939">
        <f t="shared" si="581"/>
        <v>0</v>
      </c>
      <c r="U1939">
        <f t="shared" si="582"/>
        <v>0</v>
      </c>
      <c r="V1939">
        <f t="shared" si="583"/>
        <v>0</v>
      </c>
      <c r="W1939" t="s">
        <v>39</v>
      </c>
      <c r="X1939">
        <f t="shared" si="584"/>
        <v>1</v>
      </c>
      <c r="Y1939">
        <f t="shared" si="585"/>
        <v>0</v>
      </c>
      <c r="Z1939">
        <v>4</v>
      </c>
      <c r="AA1939">
        <f t="shared" si="586"/>
        <v>0.75</v>
      </c>
      <c r="AB1939" t="s">
        <v>40</v>
      </c>
      <c r="AC1939">
        <f t="shared" si="587"/>
        <v>0</v>
      </c>
      <c r="AD1939">
        <f t="shared" si="588"/>
        <v>0</v>
      </c>
      <c r="AE1939" t="s">
        <v>41</v>
      </c>
      <c r="AF1939">
        <f>IF(AE1939="website",1,0)</f>
        <v>1</v>
      </c>
    </row>
    <row r="1940" spans="1:32">
      <c r="A1940" t="s">
        <v>2593</v>
      </c>
      <c r="B1940" t="s">
        <v>33</v>
      </c>
      <c r="C1940" s="3">
        <f t="shared" si="570"/>
        <v>0</v>
      </c>
      <c r="D1940">
        <f t="shared" si="571"/>
        <v>1</v>
      </c>
      <c r="E1940" t="s">
        <v>800</v>
      </c>
      <c r="F1940" t="s">
        <v>633</v>
      </c>
      <c r="G1940" s="1">
        <v>29015</v>
      </c>
      <c r="H1940" s="2">
        <f t="shared" ca="1" si="572"/>
        <v>47</v>
      </c>
      <c r="I1940" s="2">
        <f t="shared" ca="1" si="573"/>
        <v>0.31428571428571428</v>
      </c>
      <c r="J1940" t="s">
        <v>36</v>
      </c>
      <c r="K1940" t="s">
        <v>37</v>
      </c>
      <c r="L1940">
        <f t="shared" si="574"/>
        <v>1</v>
      </c>
      <c r="M1940">
        <f t="shared" si="575"/>
        <v>0</v>
      </c>
      <c r="N1940">
        <f t="shared" si="576"/>
        <v>0</v>
      </c>
      <c r="O1940" t="s">
        <v>600</v>
      </c>
      <c r="P1940">
        <f t="shared" si="577"/>
        <v>0</v>
      </c>
      <c r="Q1940">
        <f t="shared" si="578"/>
        <v>0</v>
      </c>
      <c r="R1940">
        <f t="shared" si="579"/>
        <v>0</v>
      </c>
      <c r="S1940">
        <f t="shared" si="580"/>
        <v>0</v>
      </c>
      <c r="T1940">
        <f t="shared" si="581"/>
        <v>0</v>
      </c>
      <c r="U1940">
        <f t="shared" si="582"/>
        <v>0</v>
      </c>
      <c r="V1940">
        <f t="shared" si="583"/>
        <v>0</v>
      </c>
      <c r="W1940" t="s">
        <v>58</v>
      </c>
      <c r="X1940">
        <f t="shared" si="584"/>
        <v>0</v>
      </c>
      <c r="Y1940">
        <f t="shared" si="585"/>
        <v>1</v>
      </c>
      <c r="Z1940">
        <v>1</v>
      </c>
      <c r="AA1940">
        <f t="shared" si="586"/>
        <v>0</v>
      </c>
      <c r="AB1940" t="s">
        <v>40</v>
      </c>
      <c r="AC1940">
        <f t="shared" si="587"/>
        <v>1</v>
      </c>
      <c r="AD1940">
        <f t="shared" si="588"/>
        <v>0</v>
      </c>
      <c r="AE1940" t="s">
        <v>50</v>
      </c>
      <c r="AF1940">
        <f>IF(AE1940="website",1,0)</f>
        <v>0</v>
      </c>
    </row>
    <row r="1941" spans="1:32">
      <c r="A1941" t="s">
        <v>2594</v>
      </c>
      <c r="B1941" t="s">
        <v>33</v>
      </c>
      <c r="C1941" s="3">
        <f t="shared" si="570"/>
        <v>0</v>
      </c>
      <c r="D1941">
        <f t="shared" si="571"/>
        <v>1</v>
      </c>
      <c r="E1941" t="s">
        <v>839</v>
      </c>
      <c r="F1941" t="s">
        <v>430</v>
      </c>
      <c r="G1941" s="1">
        <v>35462</v>
      </c>
      <c r="H1941" s="2">
        <f t="shared" ca="1" si="572"/>
        <v>29</v>
      </c>
      <c r="I1941" s="2">
        <f t="shared" ca="1" si="573"/>
        <v>5.7142857142857141E-2</v>
      </c>
      <c r="J1941" t="s">
        <v>36</v>
      </c>
      <c r="K1941" t="s">
        <v>65</v>
      </c>
      <c r="L1941">
        <f t="shared" si="574"/>
        <v>0</v>
      </c>
      <c r="M1941">
        <f t="shared" si="575"/>
        <v>1</v>
      </c>
      <c r="N1941">
        <f t="shared" si="576"/>
        <v>0</v>
      </c>
      <c r="O1941" t="s">
        <v>723</v>
      </c>
      <c r="P1941">
        <f t="shared" si="577"/>
        <v>0</v>
      </c>
      <c r="Q1941">
        <f t="shared" si="578"/>
        <v>0</v>
      </c>
      <c r="R1941">
        <f t="shared" si="579"/>
        <v>0</v>
      </c>
      <c r="S1941">
        <f t="shared" si="580"/>
        <v>0</v>
      </c>
      <c r="T1941">
        <f t="shared" si="581"/>
        <v>0</v>
      </c>
      <c r="U1941">
        <f t="shared" si="582"/>
        <v>0</v>
      </c>
      <c r="V1941">
        <f t="shared" si="583"/>
        <v>0</v>
      </c>
      <c r="W1941" t="s">
        <v>39</v>
      </c>
      <c r="X1941">
        <f t="shared" si="584"/>
        <v>1</v>
      </c>
      <c r="Y1941">
        <f t="shared" si="585"/>
        <v>0</v>
      </c>
      <c r="Z1941">
        <v>4</v>
      </c>
      <c r="AA1941">
        <f t="shared" si="586"/>
        <v>0.75</v>
      </c>
      <c r="AB1941" t="s">
        <v>46</v>
      </c>
      <c r="AC1941">
        <f t="shared" si="587"/>
        <v>1</v>
      </c>
      <c r="AD1941">
        <f t="shared" si="588"/>
        <v>0</v>
      </c>
      <c r="AE1941" t="s">
        <v>50</v>
      </c>
      <c r="AF1941">
        <f>IF(AE1941="website",1,0)</f>
        <v>0</v>
      </c>
    </row>
    <row r="1942" spans="1:32">
      <c r="A1942" t="s">
        <v>2595</v>
      </c>
      <c r="B1942" t="s">
        <v>33</v>
      </c>
      <c r="C1942" s="3">
        <f t="shared" si="570"/>
        <v>0</v>
      </c>
      <c r="D1942">
        <f t="shared" si="571"/>
        <v>1</v>
      </c>
      <c r="E1942" t="s">
        <v>847</v>
      </c>
      <c r="F1942" t="s">
        <v>659</v>
      </c>
      <c r="G1942" s="1">
        <v>15846</v>
      </c>
      <c r="H1942" s="2">
        <f t="shared" ca="1" si="572"/>
        <v>83</v>
      </c>
      <c r="I1942" s="2">
        <f t="shared" ca="1" si="573"/>
        <v>0.82857142857142863</v>
      </c>
      <c r="J1942" t="s">
        <v>36</v>
      </c>
      <c r="K1942" t="s">
        <v>37</v>
      </c>
      <c r="L1942">
        <f t="shared" si="574"/>
        <v>1</v>
      </c>
      <c r="M1942">
        <f t="shared" si="575"/>
        <v>0</v>
      </c>
      <c r="N1942">
        <f t="shared" si="576"/>
        <v>0</v>
      </c>
      <c r="O1942" t="s">
        <v>124</v>
      </c>
      <c r="P1942">
        <f t="shared" si="577"/>
        <v>0</v>
      </c>
      <c r="Q1942">
        <f t="shared" si="578"/>
        <v>0</v>
      </c>
      <c r="R1942">
        <f t="shared" si="579"/>
        <v>0</v>
      </c>
      <c r="S1942">
        <f t="shared" si="580"/>
        <v>0</v>
      </c>
      <c r="T1942">
        <f t="shared" si="581"/>
        <v>0</v>
      </c>
      <c r="U1942">
        <f t="shared" si="582"/>
        <v>1</v>
      </c>
      <c r="V1942">
        <f t="shared" si="583"/>
        <v>0</v>
      </c>
      <c r="W1942" t="s">
        <v>39</v>
      </c>
      <c r="X1942">
        <f t="shared" si="584"/>
        <v>1</v>
      </c>
      <c r="Y1942">
        <f t="shared" si="585"/>
        <v>0</v>
      </c>
      <c r="Z1942">
        <v>5</v>
      </c>
      <c r="AA1942">
        <f t="shared" si="586"/>
        <v>1</v>
      </c>
      <c r="AB1942" t="s">
        <v>46</v>
      </c>
      <c r="AC1942">
        <f t="shared" si="587"/>
        <v>0</v>
      </c>
      <c r="AD1942">
        <f t="shared" si="588"/>
        <v>1</v>
      </c>
      <c r="AE1942" t="s">
        <v>90</v>
      </c>
      <c r="AF1942">
        <f>IF(AE1942="website",1,0)</f>
        <v>0</v>
      </c>
    </row>
    <row r="1943" spans="1:32">
      <c r="A1943" t="s">
        <v>2596</v>
      </c>
      <c r="B1943" t="s">
        <v>55</v>
      </c>
      <c r="C1943" s="3">
        <f t="shared" si="570"/>
        <v>1</v>
      </c>
      <c r="D1943">
        <f t="shared" si="571"/>
        <v>0</v>
      </c>
      <c r="E1943" t="s">
        <v>863</v>
      </c>
      <c r="F1943" t="s">
        <v>57</v>
      </c>
      <c r="G1943" s="1">
        <v>30996</v>
      </c>
      <c r="H1943" s="2">
        <f t="shared" ca="1" si="572"/>
        <v>41</v>
      </c>
      <c r="I1943" s="2">
        <f t="shared" ca="1" si="573"/>
        <v>0.22857142857142856</v>
      </c>
      <c r="J1943" t="s">
        <v>36</v>
      </c>
      <c r="K1943" t="s">
        <v>37</v>
      </c>
      <c r="L1943">
        <f t="shared" si="574"/>
        <v>1</v>
      </c>
      <c r="M1943">
        <f t="shared" si="575"/>
        <v>0</v>
      </c>
      <c r="N1943">
        <f t="shared" si="576"/>
        <v>0</v>
      </c>
      <c r="O1943" t="s">
        <v>124</v>
      </c>
      <c r="P1943">
        <f t="shared" si="577"/>
        <v>0</v>
      </c>
      <c r="Q1943">
        <f t="shared" si="578"/>
        <v>0</v>
      </c>
      <c r="R1943">
        <f t="shared" si="579"/>
        <v>0</v>
      </c>
      <c r="S1943">
        <f t="shared" si="580"/>
        <v>0</v>
      </c>
      <c r="T1943">
        <f t="shared" si="581"/>
        <v>0</v>
      </c>
      <c r="U1943">
        <f t="shared" si="582"/>
        <v>1</v>
      </c>
      <c r="V1943">
        <f t="shared" si="583"/>
        <v>0</v>
      </c>
      <c r="W1943" t="s">
        <v>39</v>
      </c>
      <c r="X1943">
        <f t="shared" si="584"/>
        <v>1</v>
      </c>
      <c r="Y1943">
        <f t="shared" si="585"/>
        <v>0</v>
      </c>
      <c r="Z1943">
        <v>2</v>
      </c>
      <c r="AA1943">
        <f t="shared" si="586"/>
        <v>0.25</v>
      </c>
      <c r="AB1943" t="s">
        <v>40</v>
      </c>
      <c r="AC1943">
        <f t="shared" si="587"/>
        <v>1</v>
      </c>
      <c r="AD1943">
        <f t="shared" si="588"/>
        <v>0</v>
      </c>
      <c r="AE1943" t="s">
        <v>50</v>
      </c>
      <c r="AF1943">
        <f>IF(AE1943="website",1,0)</f>
        <v>0</v>
      </c>
    </row>
    <row r="1944" spans="1:32">
      <c r="A1944" t="s">
        <v>2597</v>
      </c>
      <c r="B1944" t="s">
        <v>33</v>
      </c>
      <c r="C1944" s="3">
        <f t="shared" si="570"/>
        <v>0</v>
      </c>
      <c r="D1944">
        <f t="shared" si="571"/>
        <v>1</v>
      </c>
      <c r="E1944" t="s">
        <v>1060</v>
      </c>
      <c r="F1944" t="s">
        <v>738</v>
      </c>
      <c r="G1944" s="1">
        <v>26668</v>
      </c>
      <c r="H1944" s="2">
        <f t="shared" ca="1" si="572"/>
        <v>53</v>
      </c>
      <c r="I1944" s="2">
        <f t="shared" ca="1" si="573"/>
        <v>0.4</v>
      </c>
      <c r="J1944" t="s">
        <v>45</v>
      </c>
      <c r="K1944" t="s">
        <v>37</v>
      </c>
      <c r="L1944">
        <f t="shared" si="574"/>
        <v>1</v>
      </c>
      <c r="M1944">
        <f t="shared" si="575"/>
        <v>0</v>
      </c>
      <c r="N1944">
        <f t="shared" si="576"/>
        <v>0</v>
      </c>
      <c r="O1944" t="s">
        <v>97</v>
      </c>
      <c r="P1944">
        <f t="shared" si="577"/>
        <v>0</v>
      </c>
      <c r="Q1944">
        <f t="shared" si="578"/>
        <v>0</v>
      </c>
      <c r="R1944">
        <f t="shared" si="579"/>
        <v>0</v>
      </c>
      <c r="S1944">
        <f t="shared" si="580"/>
        <v>0</v>
      </c>
      <c r="T1944">
        <f t="shared" si="581"/>
        <v>1</v>
      </c>
      <c r="U1944">
        <f t="shared" si="582"/>
        <v>0</v>
      </c>
      <c r="V1944">
        <f t="shared" si="583"/>
        <v>0</v>
      </c>
      <c r="W1944" t="s">
        <v>39</v>
      </c>
      <c r="X1944">
        <f t="shared" si="584"/>
        <v>1</v>
      </c>
      <c r="Y1944">
        <f t="shared" si="585"/>
        <v>0</v>
      </c>
      <c r="Z1944">
        <v>1</v>
      </c>
      <c r="AA1944">
        <f t="shared" si="586"/>
        <v>0</v>
      </c>
      <c r="AB1944" t="s">
        <v>46</v>
      </c>
      <c r="AC1944">
        <f t="shared" si="587"/>
        <v>0</v>
      </c>
      <c r="AD1944">
        <f t="shared" si="588"/>
        <v>0</v>
      </c>
      <c r="AE1944" t="s">
        <v>41</v>
      </c>
      <c r="AF1944">
        <f>IF(AE1944="website",1,0)</f>
        <v>1</v>
      </c>
    </row>
    <row r="1945" spans="1:32">
      <c r="A1945" t="s">
        <v>2598</v>
      </c>
      <c r="B1945" t="s">
        <v>33</v>
      </c>
      <c r="C1945" s="3">
        <f t="shared" si="570"/>
        <v>0</v>
      </c>
      <c r="D1945">
        <f t="shared" si="571"/>
        <v>1</v>
      </c>
      <c r="E1945" t="s">
        <v>226</v>
      </c>
      <c r="F1945" t="s">
        <v>599</v>
      </c>
      <c r="G1945" s="1">
        <v>31458</v>
      </c>
      <c r="H1945" s="2">
        <f t="shared" ca="1" si="572"/>
        <v>40</v>
      </c>
      <c r="I1945" s="2">
        <f t="shared" ca="1" si="573"/>
        <v>0.21428571428571427</v>
      </c>
      <c r="J1945" t="s">
        <v>45</v>
      </c>
      <c r="K1945" t="s">
        <v>37</v>
      </c>
      <c r="L1945">
        <f t="shared" si="574"/>
        <v>1</v>
      </c>
      <c r="M1945">
        <f t="shared" si="575"/>
        <v>0</v>
      </c>
      <c r="N1945">
        <f t="shared" si="576"/>
        <v>0</v>
      </c>
      <c r="O1945" t="s">
        <v>38</v>
      </c>
      <c r="P1945">
        <f t="shared" si="577"/>
        <v>1</v>
      </c>
      <c r="Q1945">
        <f t="shared" si="578"/>
        <v>0</v>
      </c>
      <c r="R1945">
        <f t="shared" si="579"/>
        <v>0</v>
      </c>
      <c r="S1945">
        <f t="shared" si="580"/>
        <v>0</v>
      </c>
      <c r="T1945">
        <f t="shared" si="581"/>
        <v>0</v>
      </c>
      <c r="U1945">
        <f t="shared" si="582"/>
        <v>0</v>
      </c>
      <c r="V1945">
        <f t="shared" si="583"/>
        <v>0</v>
      </c>
      <c r="W1945" t="s">
        <v>58</v>
      </c>
      <c r="X1945">
        <f t="shared" si="584"/>
        <v>0</v>
      </c>
      <c r="Y1945">
        <f t="shared" si="585"/>
        <v>1</v>
      </c>
      <c r="Z1945">
        <v>1</v>
      </c>
      <c r="AA1945">
        <f t="shared" si="586"/>
        <v>0</v>
      </c>
      <c r="AB1945" t="s">
        <v>46</v>
      </c>
      <c r="AC1945">
        <f t="shared" si="587"/>
        <v>0</v>
      </c>
      <c r="AD1945">
        <f t="shared" si="588"/>
        <v>0</v>
      </c>
      <c r="AE1945" t="s">
        <v>41</v>
      </c>
      <c r="AF1945">
        <f>IF(AE1945="website",1,0)</f>
        <v>1</v>
      </c>
    </row>
    <row r="1946" spans="1:32">
      <c r="A1946" t="s">
        <v>2599</v>
      </c>
      <c r="B1946" t="s">
        <v>33</v>
      </c>
      <c r="C1946" s="3">
        <f t="shared" si="570"/>
        <v>0</v>
      </c>
      <c r="D1946">
        <f t="shared" si="571"/>
        <v>1</v>
      </c>
      <c r="E1946" t="s">
        <v>629</v>
      </c>
      <c r="F1946" t="s">
        <v>616</v>
      </c>
      <c r="G1946" s="1">
        <v>24529</v>
      </c>
      <c r="H1946" s="2">
        <f t="shared" ca="1" si="572"/>
        <v>59</v>
      </c>
      <c r="I1946" s="2">
        <f t="shared" ca="1" si="573"/>
        <v>0.48571428571428571</v>
      </c>
      <c r="J1946" t="s">
        <v>45</v>
      </c>
      <c r="K1946" t="s">
        <v>158</v>
      </c>
      <c r="L1946">
        <f t="shared" si="574"/>
        <v>0</v>
      </c>
      <c r="M1946">
        <f t="shared" si="575"/>
        <v>0</v>
      </c>
      <c r="N1946">
        <f t="shared" si="576"/>
        <v>0</v>
      </c>
      <c r="O1946" t="s">
        <v>159</v>
      </c>
      <c r="P1946">
        <f t="shared" si="577"/>
        <v>0</v>
      </c>
      <c r="Q1946">
        <f t="shared" si="578"/>
        <v>0</v>
      </c>
      <c r="R1946">
        <f t="shared" si="579"/>
        <v>0</v>
      </c>
      <c r="S1946">
        <f t="shared" si="580"/>
        <v>0</v>
      </c>
      <c r="T1946">
        <f t="shared" si="581"/>
        <v>0</v>
      </c>
      <c r="U1946">
        <f t="shared" si="582"/>
        <v>0</v>
      </c>
      <c r="V1946">
        <f t="shared" si="583"/>
        <v>0</v>
      </c>
      <c r="W1946" t="s">
        <v>58</v>
      </c>
      <c r="X1946">
        <f t="shared" si="584"/>
        <v>0</v>
      </c>
      <c r="Y1946">
        <f t="shared" si="585"/>
        <v>1</v>
      </c>
      <c r="Z1946">
        <v>3</v>
      </c>
      <c r="AA1946">
        <f t="shared" si="586"/>
        <v>0.5</v>
      </c>
      <c r="AB1946" t="s">
        <v>46</v>
      </c>
      <c r="AC1946">
        <f t="shared" si="587"/>
        <v>0</v>
      </c>
      <c r="AD1946">
        <f t="shared" si="588"/>
        <v>0</v>
      </c>
      <c r="AE1946" t="s">
        <v>41</v>
      </c>
      <c r="AF1946">
        <f>IF(AE1946="website",1,0)</f>
        <v>1</v>
      </c>
    </row>
    <row r="1947" spans="1:32">
      <c r="A1947" t="s">
        <v>2600</v>
      </c>
      <c r="B1947" t="s">
        <v>33</v>
      </c>
      <c r="C1947" s="3">
        <f t="shared" si="570"/>
        <v>0</v>
      </c>
      <c r="D1947">
        <f t="shared" si="571"/>
        <v>1</v>
      </c>
      <c r="E1947" t="s">
        <v>658</v>
      </c>
      <c r="F1947" t="s">
        <v>818</v>
      </c>
      <c r="G1947" s="1">
        <v>20104</v>
      </c>
      <c r="H1947" s="2">
        <f t="shared" ca="1" si="572"/>
        <v>71</v>
      </c>
      <c r="I1947" s="2">
        <f t="shared" ca="1" si="573"/>
        <v>0.65714285714285714</v>
      </c>
      <c r="J1947" t="s">
        <v>45</v>
      </c>
      <c r="K1947" t="s">
        <v>37</v>
      </c>
      <c r="L1947">
        <f t="shared" si="574"/>
        <v>1</v>
      </c>
      <c r="M1947">
        <f t="shared" si="575"/>
        <v>0</v>
      </c>
      <c r="N1947">
        <f t="shared" si="576"/>
        <v>0</v>
      </c>
      <c r="O1947" t="s">
        <v>38</v>
      </c>
      <c r="P1947">
        <f t="shared" si="577"/>
        <v>1</v>
      </c>
      <c r="Q1947">
        <f t="shared" si="578"/>
        <v>0</v>
      </c>
      <c r="R1947">
        <f t="shared" si="579"/>
        <v>0</v>
      </c>
      <c r="S1947">
        <f t="shared" si="580"/>
        <v>0</v>
      </c>
      <c r="T1947">
        <f t="shared" si="581"/>
        <v>0</v>
      </c>
      <c r="U1947">
        <f t="shared" si="582"/>
        <v>0</v>
      </c>
      <c r="V1947">
        <f t="shared" si="583"/>
        <v>0</v>
      </c>
      <c r="W1947" t="s">
        <v>39</v>
      </c>
      <c r="X1947">
        <f t="shared" si="584"/>
        <v>1</v>
      </c>
      <c r="Y1947">
        <f t="shared" si="585"/>
        <v>0</v>
      </c>
      <c r="Z1947">
        <v>1</v>
      </c>
      <c r="AA1947">
        <f t="shared" si="586"/>
        <v>0</v>
      </c>
      <c r="AB1947" t="s">
        <v>46</v>
      </c>
      <c r="AC1947">
        <f t="shared" si="587"/>
        <v>1</v>
      </c>
      <c r="AD1947">
        <f t="shared" si="588"/>
        <v>0</v>
      </c>
      <c r="AE1947" t="s">
        <v>50</v>
      </c>
      <c r="AF1947">
        <f>IF(AE1947="website",1,0)</f>
        <v>0</v>
      </c>
    </row>
    <row r="1948" spans="1:32">
      <c r="A1948" t="s">
        <v>2601</v>
      </c>
      <c r="B1948" t="s">
        <v>33</v>
      </c>
      <c r="C1948" s="3">
        <f t="shared" si="570"/>
        <v>0</v>
      </c>
      <c r="D1948">
        <f t="shared" si="571"/>
        <v>1</v>
      </c>
      <c r="E1948" t="s">
        <v>216</v>
      </c>
      <c r="F1948" t="s">
        <v>1270</v>
      </c>
      <c r="G1948" s="1">
        <v>28888</v>
      </c>
      <c r="H1948" s="2">
        <f t="shared" ca="1" si="572"/>
        <v>47</v>
      </c>
      <c r="I1948" s="2">
        <f t="shared" ca="1" si="573"/>
        <v>0.31428571428571428</v>
      </c>
      <c r="J1948" t="s">
        <v>45</v>
      </c>
      <c r="K1948" t="s">
        <v>37</v>
      </c>
      <c r="L1948">
        <f t="shared" si="574"/>
        <v>1</v>
      </c>
      <c r="M1948">
        <f t="shared" si="575"/>
        <v>0</v>
      </c>
      <c r="N1948">
        <f t="shared" si="576"/>
        <v>0</v>
      </c>
      <c r="O1948" t="s">
        <v>124</v>
      </c>
      <c r="P1948">
        <f t="shared" si="577"/>
        <v>0</v>
      </c>
      <c r="Q1948">
        <f t="shared" si="578"/>
        <v>0</v>
      </c>
      <c r="R1948">
        <f t="shared" si="579"/>
        <v>0</v>
      </c>
      <c r="S1948">
        <f t="shared" si="580"/>
        <v>0</v>
      </c>
      <c r="T1948">
        <f t="shared" si="581"/>
        <v>0</v>
      </c>
      <c r="U1948">
        <f t="shared" si="582"/>
        <v>1</v>
      </c>
      <c r="V1948">
        <f t="shared" si="583"/>
        <v>0</v>
      </c>
      <c r="W1948" t="s">
        <v>39</v>
      </c>
      <c r="X1948">
        <f t="shared" si="584"/>
        <v>1</v>
      </c>
      <c r="Y1948">
        <f t="shared" si="585"/>
        <v>0</v>
      </c>
      <c r="Z1948">
        <v>3</v>
      </c>
      <c r="AA1948">
        <f t="shared" si="586"/>
        <v>0.5</v>
      </c>
      <c r="AB1948" t="s">
        <v>46</v>
      </c>
      <c r="AC1948">
        <f t="shared" si="587"/>
        <v>0</v>
      </c>
      <c r="AD1948">
        <f t="shared" si="588"/>
        <v>0</v>
      </c>
      <c r="AE1948" t="s">
        <v>41</v>
      </c>
      <c r="AF1948">
        <f>IF(AE1948="website",1,0)</f>
        <v>1</v>
      </c>
    </row>
    <row r="1949" spans="1:32">
      <c r="A1949" t="s">
        <v>2602</v>
      </c>
      <c r="B1949" t="s">
        <v>33</v>
      </c>
      <c r="C1949" s="3">
        <f t="shared" si="570"/>
        <v>0</v>
      </c>
      <c r="D1949">
        <f t="shared" si="571"/>
        <v>1</v>
      </c>
      <c r="E1949" t="s">
        <v>776</v>
      </c>
      <c r="F1949" t="s">
        <v>573</v>
      </c>
      <c r="G1949" s="1">
        <v>20180</v>
      </c>
      <c r="H1949" s="2">
        <f t="shared" ca="1" si="572"/>
        <v>71</v>
      </c>
      <c r="I1949" s="2">
        <f t="shared" ca="1" si="573"/>
        <v>0.65714285714285714</v>
      </c>
      <c r="J1949" t="s">
        <v>36</v>
      </c>
      <c r="K1949" t="s">
        <v>37</v>
      </c>
      <c r="L1949">
        <f t="shared" si="574"/>
        <v>1</v>
      </c>
      <c r="M1949">
        <f t="shared" si="575"/>
        <v>0</v>
      </c>
      <c r="N1949">
        <f t="shared" si="576"/>
        <v>0</v>
      </c>
      <c r="O1949" t="s">
        <v>97</v>
      </c>
      <c r="P1949">
        <f t="shared" si="577"/>
        <v>0</v>
      </c>
      <c r="Q1949">
        <f t="shared" si="578"/>
        <v>0</v>
      </c>
      <c r="R1949">
        <f t="shared" si="579"/>
        <v>0</v>
      </c>
      <c r="S1949">
        <f t="shared" si="580"/>
        <v>0</v>
      </c>
      <c r="T1949">
        <f t="shared" si="581"/>
        <v>1</v>
      </c>
      <c r="U1949">
        <f t="shared" si="582"/>
        <v>0</v>
      </c>
      <c r="V1949">
        <f t="shared" si="583"/>
        <v>0</v>
      </c>
      <c r="W1949" t="s">
        <v>39</v>
      </c>
      <c r="X1949">
        <f t="shared" si="584"/>
        <v>1</v>
      </c>
      <c r="Y1949">
        <f t="shared" si="585"/>
        <v>0</v>
      </c>
      <c r="Z1949">
        <v>2</v>
      </c>
      <c r="AA1949">
        <f t="shared" si="586"/>
        <v>0.25</v>
      </c>
      <c r="AB1949" t="s">
        <v>46</v>
      </c>
      <c r="AC1949">
        <f t="shared" si="587"/>
        <v>1</v>
      </c>
      <c r="AD1949">
        <f t="shared" si="588"/>
        <v>0</v>
      </c>
      <c r="AE1949" t="s">
        <v>50</v>
      </c>
      <c r="AF1949">
        <f>IF(AE1949="website",1,0)</f>
        <v>0</v>
      </c>
    </row>
    <row r="1950" spans="1:32">
      <c r="A1950" t="s">
        <v>2603</v>
      </c>
      <c r="B1950" t="s">
        <v>33</v>
      </c>
      <c r="C1950" s="3">
        <f t="shared" si="570"/>
        <v>0</v>
      </c>
      <c r="D1950">
        <f t="shared" si="571"/>
        <v>1</v>
      </c>
      <c r="E1950" t="s">
        <v>1554</v>
      </c>
      <c r="F1950" t="s">
        <v>659</v>
      </c>
      <c r="G1950" s="1">
        <v>20290</v>
      </c>
      <c r="H1950" s="2">
        <f t="shared" ca="1" si="572"/>
        <v>71</v>
      </c>
      <c r="I1950" s="2">
        <f t="shared" ca="1" si="573"/>
        <v>0.65714285714285714</v>
      </c>
      <c r="J1950" t="s">
        <v>36</v>
      </c>
      <c r="K1950" t="s">
        <v>37</v>
      </c>
      <c r="L1950">
        <f t="shared" si="574"/>
        <v>1</v>
      </c>
      <c r="M1950">
        <f t="shared" si="575"/>
        <v>0</v>
      </c>
      <c r="N1950">
        <f t="shared" si="576"/>
        <v>0</v>
      </c>
      <c r="O1950" t="s">
        <v>137</v>
      </c>
      <c r="P1950">
        <f t="shared" si="577"/>
        <v>0</v>
      </c>
      <c r="Q1950">
        <f t="shared" si="578"/>
        <v>0</v>
      </c>
      <c r="R1950">
        <f t="shared" si="579"/>
        <v>0</v>
      </c>
      <c r="S1950">
        <f t="shared" si="580"/>
        <v>0</v>
      </c>
      <c r="T1950">
        <f t="shared" si="581"/>
        <v>0</v>
      </c>
      <c r="U1950">
        <f t="shared" si="582"/>
        <v>0</v>
      </c>
      <c r="V1950">
        <f t="shared" si="583"/>
        <v>0</v>
      </c>
      <c r="W1950" t="s">
        <v>39</v>
      </c>
      <c r="X1950">
        <f t="shared" si="584"/>
        <v>1</v>
      </c>
      <c r="Y1950">
        <f t="shared" si="585"/>
        <v>0</v>
      </c>
      <c r="Z1950">
        <v>2</v>
      </c>
      <c r="AA1950">
        <f t="shared" si="586"/>
        <v>0.25</v>
      </c>
      <c r="AB1950" t="s">
        <v>40</v>
      </c>
      <c r="AC1950">
        <f t="shared" si="587"/>
        <v>1</v>
      </c>
      <c r="AD1950">
        <f t="shared" si="588"/>
        <v>0</v>
      </c>
      <c r="AE1950" t="s">
        <v>50</v>
      </c>
      <c r="AF1950">
        <f>IF(AE1950="website",1,0)</f>
        <v>0</v>
      </c>
    </row>
    <row r="1951" spans="1:32">
      <c r="A1951" t="s">
        <v>2604</v>
      </c>
      <c r="B1951" t="s">
        <v>33</v>
      </c>
      <c r="C1951" s="3">
        <f t="shared" si="570"/>
        <v>0</v>
      </c>
      <c r="D1951">
        <f t="shared" si="571"/>
        <v>1</v>
      </c>
      <c r="E1951" t="s">
        <v>858</v>
      </c>
      <c r="F1951" t="s">
        <v>552</v>
      </c>
      <c r="G1951" s="1">
        <v>27480</v>
      </c>
      <c r="H1951" s="2">
        <f t="shared" ca="1" si="572"/>
        <v>51</v>
      </c>
      <c r="I1951" s="2">
        <f t="shared" ca="1" si="573"/>
        <v>0.37142857142857144</v>
      </c>
      <c r="J1951" t="s">
        <v>45</v>
      </c>
      <c r="K1951" t="s">
        <v>37</v>
      </c>
      <c r="L1951">
        <f t="shared" si="574"/>
        <v>1</v>
      </c>
      <c r="M1951">
        <f t="shared" si="575"/>
        <v>0</v>
      </c>
      <c r="N1951">
        <f t="shared" si="576"/>
        <v>0</v>
      </c>
      <c r="O1951" t="s">
        <v>559</v>
      </c>
      <c r="P1951">
        <f t="shared" si="577"/>
        <v>0</v>
      </c>
      <c r="Q1951">
        <f t="shared" si="578"/>
        <v>0</v>
      </c>
      <c r="R1951">
        <f t="shared" si="579"/>
        <v>0</v>
      </c>
      <c r="S1951">
        <f t="shared" si="580"/>
        <v>0</v>
      </c>
      <c r="T1951">
        <f t="shared" si="581"/>
        <v>0</v>
      </c>
      <c r="U1951">
        <f t="shared" si="582"/>
        <v>0</v>
      </c>
      <c r="V1951">
        <f t="shared" si="583"/>
        <v>0</v>
      </c>
      <c r="W1951" t="s">
        <v>39</v>
      </c>
      <c r="X1951">
        <f t="shared" si="584"/>
        <v>1</v>
      </c>
      <c r="Y1951">
        <f t="shared" si="585"/>
        <v>0</v>
      </c>
      <c r="Z1951">
        <v>4</v>
      </c>
      <c r="AA1951">
        <f t="shared" si="586"/>
        <v>0.75</v>
      </c>
      <c r="AB1951" t="s">
        <v>46</v>
      </c>
      <c r="AC1951">
        <f t="shared" si="587"/>
        <v>1</v>
      </c>
      <c r="AD1951">
        <f t="shared" si="588"/>
        <v>0</v>
      </c>
      <c r="AE1951" t="s">
        <v>50</v>
      </c>
      <c r="AF1951">
        <f>IF(AE1951="website",1,0)</f>
        <v>0</v>
      </c>
    </row>
    <row r="1952" spans="1:32">
      <c r="A1952" t="s">
        <v>2605</v>
      </c>
      <c r="B1952" t="s">
        <v>33</v>
      </c>
      <c r="C1952" s="3">
        <f t="shared" si="570"/>
        <v>0</v>
      </c>
      <c r="D1952">
        <f t="shared" si="571"/>
        <v>1</v>
      </c>
      <c r="E1952" t="s">
        <v>576</v>
      </c>
      <c r="F1952" t="s">
        <v>764</v>
      </c>
      <c r="G1952" s="1">
        <v>35316</v>
      </c>
      <c r="H1952" s="2">
        <f t="shared" ca="1" si="572"/>
        <v>30</v>
      </c>
      <c r="I1952" s="2">
        <f t="shared" ca="1" si="573"/>
        <v>7.1428571428571425E-2</v>
      </c>
      <c r="J1952" t="s">
        <v>45</v>
      </c>
      <c r="K1952" t="s">
        <v>37</v>
      </c>
      <c r="L1952">
        <f t="shared" si="574"/>
        <v>1</v>
      </c>
      <c r="M1952">
        <f t="shared" si="575"/>
        <v>0</v>
      </c>
      <c r="N1952">
        <f t="shared" si="576"/>
        <v>0</v>
      </c>
      <c r="O1952" t="s">
        <v>183</v>
      </c>
      <c r="P1952">
        <f t="shared" si="577"/>
        <v>0</v>
      </c>
      <c r="Q1952">
        <f t="shared" si="578"/>
        <v>0</v>
      </c>
      <c r="R1952">
        <f t="shared" si="579"/>
        <v>0</v>
      </c>
      <c r="S1952">
        <f t="shared" si="580"/>
        <v>0</v>
      </c>
      <c r="T1952">
        <f t="shared" si="581"/>
        <v>0</v>
      </c>
      <c r="U1952">
        <f t="shared" si="582"/>
        <v>0</v>
      </c>
      <c r="V1952">
        <f t="shared" si="583"/>
        <v>0</v>
      </c>
      <c r="W1952" t="s">
        <v>39</v>
      </c>
      <c r="X1952">
        <f t="shared" si="584"/>
        <v>1</v>
      </c>
      <c r="Y1952">
        <f t="shared" si="585"/>
        <v>0</v>
      </c>
      <c r="Z1952">
        <v>1</v>
      </c>
      <c r="AA1952">
        <f t="shared" si="586"/>
        <v>0</v>
      </c>
      <c r="AB1952" t="s">
        <v>40</v>
      </c>
      <c r="AC1952">
        <f t="shared" si="587"/>
        <v>0</v>
      </c>
      <c r="AD1952">
        <f t="shared" si="588"/>
        <v>0</v>
      </c>
      <c r="AE1952" t="s">
        <v>41</v>
      </c>
      <c r="AF1952">
        <f>IF(AE1952="website",1,0)</f>
        <v>1</v>
      </c>
    </row>
    <row r="1953" spans="1:32">
      <c r="A1953" t="s">
        <v>2606</v>
      </c>
      <c r="B1953" t="s">
        <v>55</v>
      </c>
      <c r="C1953" s="3">
        <f t="shared" si="570"/>
        <v>1</v>
      </c>
      <c r="D1953">
        <f t="shared" si="571"/>
        <v>0</v>
      </c>
      <c r="E1953" t="s">
        <v>957</v>
      </c>
      <c r="F1953" t="s">
        <v>57</v>
      </c>
      <c r="G1953" s="1">
        <v>33730</v>
      </c>
      <c r="H1953" s="2">
        <f t="shared" ca="1" si="572"/>
        <v>34</v>
      </c>
      <c r="I1953" s="2">
        <f t="shared" ca="1" si="573"/>
        <v>0.12857142857142856</v>
      </c>
      <c r="J1953" t="s">
        <v>45</v>
      </c>
      <c r="K1953" t="s">
        <v>37</v>
      </c>
      <c r="L1953">
        <f t="shared" si="574"/>
        <v>1</v>
      </c>
      <c r="M1953">
        <f t="shared" si="575"/>
        <v>0</v>
      </c>
      <c r="N1953">
        <f t="shared" si="576"/>
        <v>0</v>
      </c>
      <c r="O1953" t="s">
        <v>124</v>
      </c>
      <c r="P1953">
        <f t="shared" si="577"/>
        <v>0</v>
      </c>
      <c r="Q1953">
        <f t="shared" si="578"/>
        <v>0</v>
      </c>
      <c r="R1953">
        <f t="shared" si="579"/>
        <v>0</v>
      </c>
      <c r="S1953">
        <f t="shared" si="580"/>
        <v>0</v>
      </c>
      <c r="T1953">
        <f t="shared" si="581"/>
        <v>0</v>
      </c>
      <c r="U1953">
        <f t="shared" si="582"/>
        <v>1</v>
      </c>
      <c r="V1953">
        <f t="shared" si="583"/>
        <v>0</v>
      </c>
      <c r="W1953" t="s">
        <v>39</v>
      </c>
      <c r="X1953">
        <f t="shared" si="584"/>
        <v>1</v>
      </c>
      <c r="Y1953">
        <f t="shared" si="585"/>
        <v>0</v>
      </c>
      <c r="Z1953">
        <v>3</v>
      </c>
      <c r="AA1953">
        <f t="shared" si="586"/>
        <v>0.5</v>
      </c>
      <c r="AB1953" t="s">
        <v>46</v>
      </c>
      <c r="AC1953">
        <f t="shared" si="587"/>
        <v>1</v>
      </c>
      <c r="AD1953">
        <f t="shared" si="588"/>
        <v>0</v>
      </c>
      <c r="AE1953" t="s">
        <v>50</v>
      </c>
      <c r="AF1953">
        <f>IF(AE1953="website",1,0)</f>
        <v>0</v>
      </c>
    </row>
    <row r="1954" spans="1:32">
      <c r="A1954" t="s">
        <v>2607</v>
      </c>
      <c r="B1954" t="s">
        <v>33</v>
      </c>
      <c r="C1954" s="3">
        <f t="shared" si="570"/>
        <v>0</v>
      </c>
      <c r="D1954">
        <f t="shared" si="571"/>
        <v>1</v>
      </c>
      <c r="E1954" t="s">
        <v>1307</v>
      </c>
      <c r="F1954" t="s">
        <v>364</v>
      </c>
      <c r="G1954" s="1">
        <v>26588</v>
      </c>
      <c r="H1954" s="2">
        <f t="shared" ca="1" si="572"/>
        <v>53</v>
      </c>
      <c r="I1954" s="2">
        <f t="shared" ca="1" si="573"/>
        <v>0.4</v>
      </c>
      <c r="J1954" t="s">
        <v>45</v>
      </c>
      <c r="K1954" t="s">
        <v>113</v>
      </c>
      <c r="L1954">
        <f t="shared" si="574"/>
        <v>0</v>
      </c>
      <c r="M1954">
        <f t="shared" si="575"/>
        <v>0</v>
      </c>
      <c r="N1954">
        <f t="shared" si="576"/>
        <v>1</v>
      </c>
      <c r="O1954" t="s">
        <v>1137</v>
      </c>
      <c r="P1954">
        <f t="shared" si="577"/>
        <v>0</v>
      </c>
      <c r="Q1954">
        <f t="shared" si="578"/>
        <v>0</v>
      </c>
      <c r="R1954">
        <f t="shared" si="579"/>
        <v>0</v>
      </c>
      <c r="S1954">
        <f t="shared" si="580"/>
        <v>0</v>
      </c>
      <c r="T1954">
        <f t="shared" si="581"/>
        <v>0</v>
      </c>
      <c r="U1954">
        <f t="shared" si="582"/>
        <v>0</v>
      </c>
      <c r="V1954">
        <f t="shared" si="583"/>
        <v>0</v>
      </c>
      <c r="W1954" t="s">
        <v>39</v>
      </c>
      <c r="X1954">
        <f t="shared" si="584"/>
        <v>1</v>
      </c>
      <c r="Y1954">
        <f t="shared" si="585"/>
        <v>0</v>
      </c>
      <c r="Z1954">
        <v>1</v>
      </c>
      <c r="AA1954">
        <f t="shared" si="586"/>
        <v>0</v>
      </c>
      <c r="AB1954" t="s">
        <v>40</v>
      </c>
      <c r="AC1954">
        <f t="shared" si="587"/>
        <v>0</v>
      </c>
      <c r="AD1954">
        <f t="shared" si="588"/>
        <v>0</v>
      </c>
      <c r="AE1954" t="s">
        <v>41</v>
      </c>
      <c r="AF1954">
        <f>IF(AE1954="website",1,0)</f>
        <v>1</v>
      </c>
    </row>
    <row r="1955" spans="1:32">
      <c r="A1955" t="s">
        <v>2608</v>
      </c>
      <c r="B1955" t="s">
        <v>33</v>
      </c>
      <c r="C1955" s="3">
        <f t="shared" si="570"/>
        <v>0</v>
      </c>
      <c r="D1955">
        <f t="shared" si="571"/>
        <v>1</v>
      </c>
      <c r="E1955" t="s">
        <v>782</v>
      </c>
      <c r="F1955" t="s">
        <v>653</v>
      </c>
      <c r="G1955" s="1">
        <v>24353</v>
      </c>
      <c r="H1955" s="2">
        <f t="shared" ca="1" si="572"/>
        <v>60</v>
      </c>
      <c r="I1955" s="2">
        <f t="shared" ca="1" si="573"/>
        <v>0.5</v>
      </c>
      <c r="J1955" t="s">
        <v>36</v>
      </c>
      <c r="K1955" t="s">
        <v>819</v>
      </c>
      <c r="L1955">
        <f t="shared" si="574"/>
        <v>0</v>
      </c>
      <c r="M1955">
        <f t="shared" si="575"/>
        <v>0</v>
      </c>
      <c r="N1955">
        <f t="shared" si="576"/>
        <v>0</v>
      </c>
      <c r="O1955" t="s">
        <v>1562</v>
      </c>
      <c r="P1955">
        <f t="shared" si="577"/>
        <v>0</v>
      </c>
      <c r="Q1955">
        <f t="shared" si="578"/>
        <v>0</v>
      </c>
      <c r="R1955">
        <f t="shared" si="579"/>
        <v>0</v>
      </c>
      <c r="S1955">
        <f t="shared" si="580"/>
        <v>0</v>
      </c>
      <c r="T1955">
        <f t="shared" si="581"/>
        <v>0</v>
      </c>
      <c r="U1955">
        <f t="shared" si="582"/>
        <v>0</v>
      </c>
      <c r="V1955">
        <f t="shared" si="583"/>
        <v>0</v>
      </c>
      <c r="W1955" t="s">
        <v>58</v>
      </c>
      <c r="X1955">
        <f t="shared" si="584"/>
        <v>0</v>
      </c>
      <c r="Y1955">
        <f t="shared" si="585"/>
        <v>1</v>
      </c>
      <c r="Z1955">
        <v>3</v>
      </c>
      <c r="AA1955">
        <f t="shared" si="586"/>
        <v>0.5</v>
      </c>
      <c r="AB1955" t="s">
        <v>46</v>
      </c>
      <c r="AC1955">
        <f t="shared" si="587"/>
        <v>0</v>
      </c>
      <c r="AD1955">
        <f t="shared" si="588"/>
        <v>0</v>
      </c>
      <c r="AE1955" t="s">
        <v>41</v>
      </c>
      <c r="AF1955">
        <f>IF(AE1955="website",1,0)</f>
        <v>1</v>
      </c>
    </row>
    <row r="1956" spans="1:32">
      <c r="A1956" t="s">
        <v>2609</v>
      </c>
      <c r="B1956" t="s">
        <v>33</v>
      </c>
      <c r="C1956" s="3">
        <f t="shared" si="570"/>
        <v>0</v>
      </c>
      <c r="D1956">
        <f t="shared" si="571"/>
        <v>1</v>
      </c>
      <c r="E1956" t="s">
        <v>1140</v>
      </c>
      <c r="F1956" t="s">
        <v>61</v>
      </c>
      <c r="G1956" s="1">
        <v>35935</v>
      </c>
      <c r="H1956" s="2">
        <f t="shared" ca="1" si="572"/>
        <v>28</v>
      </c>
      <c r="I1956" s="2">
        <f t="shared" ca="1" si="573"/>
        <v>4.2857142857142858E-2</v>
      </c>
      <c r="J1956" t="s">
        <v>45</v>
      </c>
      <c r="K1956" t="s">
        <v>65</v>
      </c>
      <c r="L1956">
        <f t="shared" si="574"/>
        <v>0</v>
      </c>
      <c r="M1956">
        <f t="shared" si="575"/>
        <v>1</v>
      </c>
      <c r="N1956">
        <f t="shared" si="576"/>
        <v>0</v>
      </c>
      <c r="O1956" t="s">
        <v>66</v>
      </c>
      <c r="P1956">
        <f t="shared" si="577"/>
        <v>0</v>
      </c>
      <c r="Q1956">
        <f t="shared" si="578"/>
        <v>0</v>
      </c>
      <c r="R1956">
        <f t="shared" si="579"/>
        <v>1</v>
      </c>
      <c r="S1956">
        <f t="shared" si="580"/>
        <v>0</v>
      </c>
      <c r="T1956">
        <f t="shared" si="581"/>
        <v>0</v>
      </c>
      <c r="U1956">
        <f t="shared" si="582"/>
        <v>0</v>
      </c>
      <c r="V1956">
        <f t="shared" si="583"/>
        <v>0</v>
      </c>
      <c r="W1956" t="s">
        <v>39</v>
      </c>
      <c r="X1956">
        <f t="shared" si="584"/>
        <v>1</v>
      </c>
      <c r="Y1956">
        <f t="shared" si="585"/>
        <v>0</v>
      </c>
      <c r="Z1956">
        <v>1</v>
      </c>
      <c r="AA1956">
        <f t="shared" si="586"/>
        <v>0</v>
      </c>
      <c r="AB1956" t="s">
        <v>46</v>
      </c>
      <c r="AC1956">
        <f t="shared" si="587"/>
        <v>0</v>
      </c>
      <c r="AD1956">
        <f t="shared" si="588"/>
        <v>0</v>
      </c>
      <c r="AE1956" t="s">
        <v>41</v>
      </c>
      <c r="AF1956">
        <f>IF(AE1956="website",1,0)</f>
        <v>1</v>
      </c>
    </row>
    <row r="1957" spans="1:32">
      <c r="A1957" t="s">
        <v>2610</v>
      </c>
      <c r="B1957" t="s">
        <v>33</v>
      </c>
      <c r="C1957" s="3">
        <f t="shared" si="570"/>
        <v>0</v>
      </c>
      <c r="D1957">
        <f t="shared" si="571"/>
        <v>1</v>
      </c>
      <c r="E1957" t="s">
        <v>564</v>
      </c>
      <c r="F1957" t="s">
        <v>552</v>
      </c>
      <c r="G1957" s="1">
        <v>24705</v>
      </c>
      <c r="H1957" s="2">
        <f t="shared" ca="1" si="572"/>
        <v>59</v>
      </c>
      <c r="I1957" s="2">
        <f t="shared" ca="1" si="573"/>
        <v>0.48571428571428571</v>
      </c>
      <c r="J1957" t="s">
        <v>36</v>
      </c>
      <c r="K1957" t="s">
        <v>37</v>
      </c>
      <c r="L1957">
        <f t="shared" si="574"/>
        <v>1</v>
      </c>
      <c r="M1957">
        <f t="shared" si="575"/>
        <v>0</v>
      </c>
      <c r="N1957">
        <f t="shared" si="576"/>
        <v>0</v>
      </c>
      <c r="O1957" t="s">
        <v>76</v>
      </c>
      <c r="P1957">
        <f t="shared" si="577"/>
        <v>0</v>
      </c>
      <c r="Q1957">
        <f t="shared" si="578"/>
        <v>1</v>
      </c>
      <c r="R1957">
        <f t="shared" si="579"/>
        <v>0</v>
      </c>
      <c r="S1957">
        <f t="shared" si="580"/>
        <v>0</v>
      </c>
      <c r="T1957">
        <f t="shared" si="581"/>
        <v>0</v>
      </c>
      <c r="U1957">
        <f t="shared" si="582"/>
        <v>0</v>
      </c>
      <c r="V1957">
        <f t="shared" si="583"/>
        <v>0</v>
      </c>
      <c r="W1957" t="s">
        <v>39</v>
      </c>
      <c r="X1957">
        <f t="shared" si="584"/>
        <v>1</v>
      </c>
      <c r="Y1957">
        <f t="shared" si="585"/>
        <v>0</v>
      </c>
      <c r="Z1957">
        <v>2</v>
      </c>
      <c r="AA1957">
        <f t="shared" si="586"/>
        <v>0.25</v>
      </c>
      <c r="AB1957" t="s">
        <v>46</v>
      </c>
      <c r="AC1957">
        <f t="shared" si="587"/>
        <v>1</v>
      </c>
      <c r="AD1957">
        <f t="shared" si="588"/>
        <v>0</v>
      </c>
      <c r="AE1957" t="s">
        <v>50</v>
      </c>
      <c r="AF1957">
        <f>IF(AE1957="website",1,0)</f>
        <v>0</v>
      </c>
    </row>
    <row r="1958" spans="1:32">
      <c r="A1958" t="s">
        <v>2611</v>
      </c>
      <c r="B1958" t="s">
        <v>33</v>
      </c>
      <c r="C1958" s="3">
        <f t="shared" si="570"/>
        <v>0</v>
      </c>
      <c r="D1958">
        <f t="shared" si="571"/>
        <v>1</v>
      </c>
      <c r="E1958" t="s">
        <v>1070</v>
      </c>
      <c r="F1958" t="s">
        <v>339</v>
      </c>
      <c r="G1958" s="1">
        <v>22913</v>
      </c>
      <c r="H1958" s="2">
        <f t="shared" ca="1" si="572"/>
        <v>64</v>
      </c>
      <c r="I1958" s="2">
        <f t="shared" ca="1" si="573"/>
        <v>0.55714285714285716</v>
      </c>
      <c r="J1958" t="s">
        <v>45</v>
      </c>
      <c r="K1958" t="s">
        <v>37</v>
      </c>
      <c r="L1958">
        <f t="shared" si="574"/>
        <v>1</v>
      </c>
      <c r="M1958">
        <f t="shared" si="575"/>
        <v>0</v>
      </c>
      <c r="N1958">
        <f t="shared" si="576"/>
        <v>0</v>
      </c>
      <c r="O1958" t="s">
        <v>38</v>
      </c>
      <c r="P1958">
        <f t="shared" si="577"/>
        <v>1</v>
      </c>
      <c r="Q1958">
        <f t="shared" si="578"/>
        <v>0</v>
      </c>
      <c r="R1958">
        <f t="shared" si="579"/>
        <v>0</v>
      </c>
      <c r="S1958">
        <f t="shared" si="580"/>
        <v>0</v>
      </c>
      <c r="T1958">
        <f t="shared" si="581"/>
        <v>0</v>
      </c>
      <c r="U1958">
        <f t="shared" si="582"/>
        <v>0</v>
      </c>
      <c r="V1958">
        <f t="shared" si="583"/>
        <v>0</v>
      </c>
      <c r="W1958" t="s">
        <v>39</v>
      </c>
      <c r="X1958">
        <f t="shared" si="584"/>
        <v>1</v>
      </c>
      <c r="Y1958">
        <f t="shared" si="585"/>
        <v>0</v>
      </c>
      <c r="Z1958">
        <v>4</v>
      </c>
      <c r="AA1958">
        <f t="shared" si="586"/>
        <v>0.75</v>
      </c>
      <c r="AB1958" t="s">
        <v>40</v>
      </c>
      <c r="AC1958">
        <f t="shared" si="587"/>
        <v>0</v>
      </c>
      <c r="AD1958">
        <f t="shared" si="588"/>
        <v>0</v>
      </c>
      <c r="AE1958" t="s">
        <v>41</v>
      </c>
      <c r="AF1958">
        <f>IF(AE1958="website",1,0)</f>
        <v>1</v>
      </c>
    </row>
    <row r="1959" spans="1:32">
      <c r="A1959" t="s">
        <v>2612</v>
      </c>
      <c r="B1959" t="s">
        <v>33</v>
      </c>
      <c r="C1959" s="3">
        <f t="shared" si="570"/>
        <v>0</v>
      </c>
      <c r="D1959">
        <f t="shared" si="571"/>
        <v>1</v>
      </c>
      <c r="E1959" t="s">
        <v>811</v>
      </c>
      <c r="F1959" t="s">
        <v>674</v>
      </c>
      <c r="G1959" s="1">
        <v>25850</v>
      </c>
      <c r="H1959" s="2">
        <f t="shared" ca="1" si="572"/>
        <v>55</v>
      </c>
      <c r="I1959" s="2">
        <f t="shared" ca="1" si="573"/>
        <v>0.42857142857142855</v>
      </c>
      <c r="J1959" t="s">
        <v>36</v>
      </c>
      <c r="K1959" t="s">
        <v>37</v>
      </c>
      <c r="L1959">
        <f t="shared" si="574"/>
        <v>1</v>
      </c>
      <c r="M1959">
        <f t="shared" si="575"/>
        <v>0</v>
      </c>
      <c r="N1959">
        <f t="shared" si="576"/>
        <v>0</v>
      </c>
      <c r="O1959" t="s">
        <v>38</v>
      </c>
      <c r="P1959">
        <f t="shared" si="577"/>
        <v>1</v>
      </c>
      <c r="Q1959">
        <f t="shared" si="578"/>
        <v>0</v>
      </c>
      <c r="R1959">
        <f t="shared" si="579"/>
        <v>0</v>
      </c>
      <c r="S1959">
        <f t="shared" si="580"/>
        <v>0</v>
      </c>
      <c r="T1959">
        <f t="shared" si="581"/>
        <v>0</v>
      </c>
      <c r="U1959">
        <f t="shared" si="582"/>
        <v>0</v>
      </c>
      <c r="V1959">
        <f t="shared" si="583"/>
        <v>0</v>
      </c>
      <c r="W1959" t="s">
        <v>39</v>
      </c>
      <c r="X1959">
        <f t="shared" si="584"/>
        <v>1</v>
      </c>
      <c r="Y1959">
        <f t="shared" si="585"/>
        <v>0</v>
      </c>
      <c r="Z1959">
        <v>3</v>
      </c>
      <c r="AA1959">
        <f t="shared" si="586"/>
        <v>0.5</v>
      </c>
      <c r="AB1959" t="s">
        <v>46</v>
      </c>
      <c r="AC1959">
        <f t="shared" si="587"/>
        <v>0</v>
      </c>
      <c r="AD1959">
        <f t="shared" si="588"/>
        <v>0</v>
      </c>
      <c r="AE1959" t="s">
        <v>41</v>
      </c>
      <c r="AF1959">
        <f>IF(AE1959="website",1,0)</f>
        <v>1</v>
      </c>
    </row>
    <row r="1960" spans="1:32">
      <c r="A1960" t="s">
        <v>2613</v>
      </c>
      <c r="B1960" t="s">
        <v>33</v>
      </c>
      <c r="C1960" s="3">
        <f t="shared" si="570"/>
        <v>0</v>
      </c>
      <c r="D1960">
        <f t="shared" si="571"/>
        <v>1</v>
      </c>
      <c r="E1960" t="s">
        <v>782</v>
      </c>
      <c r="F1960" t="s">
        <v>730</v>
      </c>
      <c r="G1960" s="1">
        <v>15392</v>
      </c>
      <c r="H1960" s="2">
        <f t="shared" ca="1" si="572"/>
        <v>84</v>
      </c>
      <c r="I1960" s="2">
        <f t="shared" ca="1" si="573"/>
        <v>0.84285714285714286</v>
      </c>
      <c r="J1960" t="s">
        <v>36</v>
      </c>
      <c r="K1960" t="s">
        <v>37</v>
      </c>
      <c r="L1960">
        <f t="shared" si="574"/>
        <v>1</v>
      </c>
      <c r="M1960">
        <f t="shared" si="575"/>
        <v>0</v>
      </c>
      <c r="N1960">
        <f t="shared" si="576"/>
        <v>0</v>
      </c>
      <c r="O1960" t="s">
        <v>592</v>
      </c>
      <c r="P1960">
        <f t="shared" si="577"/>
        <v>0</v>
      </c>
      <c r="Q1960">
        <f t="shared" si="578"/>
        <v>0</v>
      </c>
      <c r="R1960">
        <f t="shared" si="579"/>
        <v>0</v>
      </c>
      <c r="S1960">
        <f t="shared" si="580"/>
        <v>0</v>
      </c>
      <c r="T1960">
        <f t="shared" si="581"/>
        <v>0</v>
      </c>
      <c r="U1960">
        <f t="shared" si="582"/>
        <v>0</v>
      </c>
      <c r="V1960">
        <f t="shared" si="583"/>
        <v>0</v>
      </c>
      <c r="W1960" t="s">
        <v>39</v>
      </c>
      <c r="X1960">
        <f t="shared" si="584"/>
        <v>1</v>
      </c>
      <c r="Y1960">
        <f t="shared" si="585"/>
        <v>0</v>
      </c>
      <c r="Z1960">
        <v>1</v>
      </c>
      <c r="AA1960">
        <f t="shared" si="586"/>
        <v>0</v>
      </c>
      <c r="AB1960" t="s">
        <v>46</v>
      </c>
      <c r="AC1960">
        <f t="shared" si="587"/>
        <v>0</v>
      </c>
      <c r="AD1960">
        <f t="shared" si="588"/>
        <v>0</v>
      </c>
      <c r="AE1960" t="s">
        <v>41</v>
      </c>
      <c r="AF1960">
        <f>IF(AE1960="website",1,0)</f>
        <v>1</v>
      </c>
    </row>
    <row r="1961" spans="1:32">
      <c r="A1961" t="s">
        <v>2614</v>
      </c>
      <c r="B1961" t="s">
        <v>33</v>
      </c>
      <c r="C1961" s="3">
        <f t="shared" si="570"/>
        <v>0</v>
      </c>
      <c r="D1961">
        <f t="shared" si="571"/>
        <v>1</v>
      </c>
      <c r="E1961" t="s">
        <v>1210</v>
      </c>
      <c r="F1961" t="s">
        <v>247</v>
      </c>
      <c r="G1961" s="1">
        <v>31991</v>
      </c>
      <c r="H1961" s="2">
        <f t="shared" ca="1" si="572"/>
        <v>39</v>
      </c>
      <c r="I1961" s="2">
        <f t="shared" ca="1" si="573"/>
        <v>0.2</v>
      </c>
      <c r="J1961" t="s">
        <v>36</v>
      </c>
      <c r="K1961" t="s">
        <v>37</v>
      </c>
      <c r="L1961">
        <f t="shared" si="574"/>
        <v>1</v>
      </c>
      <c r="M1961">
        <f t="shared" si="575"/>
        <v>0</v>
      </c>
      <c r="N1961">
        <f t="shared" si="576"/>
        <v>0</v>
      </c>
      <c r="O1961" t="s">
        <v>137</v>
      </c>
      <c r="P1961">
        <f t="shared" si="577"/>
        <v>0</v>
      </c>
      <c r="Q1961">
        <f t="shared" si="578"/>
        <v>0</v>
      </c>
      <c r="R1961">
        <f t="shared" si="579"/>
        <v>0</v>
      </c>
      <c r="S1961">
        <f t="shared" si="580"/>
        <v>0</v>
      </c>
      <c r="T1961">
        <f t="shared" si="581"/>
        <v>0</v>
      </c>
      <c r="U1961">
        <f t="shared" si="582"/>
        <v>0</v>
      </c>
      <c r="V1961">
        <f t="shared" si="583"/>
        <v>0</v>
      </c>
      <c r="W1961" t="s">
        <v>39</v>
      </c>
      <c r="X1961">
        <f t="shared" si="584"/>
        <v>1</v>
      </c>
      <c r="Y1961">
        <f t="shared" si="585"/>
        <v>0</v>
      </c>
      <c r="Z1961">
        <v>2</v>
      </c>
      <c r="AA1961">
        <f t="shared" si="586"/>
        <v>0.25</v>
      </c>
      <c r="AB1961" t="s">
        <v>40</v>
      </c>
      <c r="AC1961">
        <f t="shared" si="587"/>
        <v>0</v>
      </c>
      <c r="AD1961">
        <f t="shared" si="588"/>
        <v>0</v>
      </c>
      <c r="AE1961" t="s">
        <v>41</v>
      </c>
      <c r="AF1961">
        <f>IF(AE1961="website",1,0)</f>
        <v>1</v>
      </c>
    </row>
    <row r="1962" spans="1:32">
      <c r="A1962" t="s">
        <v>2615</v>
      </c>
      <c r="B1962" t="s">
        <v>33</v>
      </c>
      <c r="C1962" s="3">
        <f t="shared" si="570"/>
        <v>0</v>
      </c>
      <c r="D1962">
        <f t="shared" si="571"/>
        <v>1</v>
      </c>
      <c r="E1962" t="s">
        <v>683</v>
      </c>
      <c r="F1962" t="s">
        <v>623</v>
      </c>
      <c r="G1962" s="1">
        <v>34603</v>
      </c>
      <c r="H1962" s="2">
        <f t="shared" ca="1" si="572"/>
        <v>32</v>
      </c>
      <c r="I1962" s="2">
        <f t="shared" ca="1" si="573"/>
        <v>0.1</v>
      </c>
      <c r="J1962" t="s">
        <v>45</v>
      </c>
      <c r="K1962" t="s">
        <v>37</v>
      </c>
      <c r="L1962">
        <f t="shared" si="574"/>
        <v>1</v>
      </c>
      <c r="M1962">
        <f t="shared" si="575"/>
        <v>0</v>
      </c>
      <c r="N1962">
        <f t="shared" si="576"/>
        <v>0</v>
      </c>
      <c r="O1962" t="s">
        <v>38</v>
      </c>
      <c r="P1962">
        <f t="shared" si="577"/>
        <v>1</v>
      </c>
      <c r="Q1962">
        <f t="shared" si="578"/>
        <v>0</v>
      </c>
      <c r="R1962">
        <f t="shared" si="579"/>
        <v>0</v>
      </c>
      <c r="S1962">
        <f t="shared" si="580"/>
        <v>0</v>
      </c>
      <c r="T1962">
        <f t="shared" si="581"/>
        <v>0</v>
      </c>
      <c r="U1962">
        <f t="shared" si="582"/>
        <v>0</v>
      </c>
      <c r="V1962">
        <f t="shared" si="583"/>
        <v>0</v>
      </c>
      <c r="W1962" t="s">
        <v>39</v>
      </c>
      <c r="X1962">
        <f t="shared" si="584"/>
        <v>1</v>
      </c>
      <c r="Y1962">
        <f t="shared" si="585"/>
        <v>0</v>
      </c>
      <c r="Z1962">
        <v>5</v>
      </c>
      <c r="AA1962">
        <f t="shared" si="586"/>
        <v>1</v>
      </c>
      <c r="AB1962" t="s">
        <v>46</v>
      </c>
      <c r="AC1962">
        <f t="shared" si="587"/>
        <v>1</v>
      </c>
      <c r="AD1962">
        <f t="shared" si="588"/>
        <v>0</v>
      </c>
      <c r="AE1962" t="s">
        <v>50</v>
      </c>
      <c r="AF1962">
        <f>IF(AE1962="website",1,0)</f>
        <v>0</v>
      </c>
    </row>
    <row r="1963" spans="1:32">
      <c r="A1963" t="s">
        <v>2616</v>
      </c>
      <c r="B1963" t="s">
        <v>33</v>
      </c>
      <c r="C1963" s="3">
        <f t="shared" si="570"/>
        <v>0</v>
      </c>
      <c r="D1963">
        <f t="shared" si="571"/>
        <v>1</v>
      </c>
      <c r="E1963" t="s">
        <v>924</v>
      </c>
      <c r="F1963" t="s">
        <v>573</v>
      </c>
      <c r="G1963" s="1">
        <v>34912</v>
      </c>
      <c r="H1963" s="2">
        <f t="shared" ca="1" si="572"/>
        <v>31</v>
      </c>
      <c r="I1963" s="2">
        <f t="shared" ca="1" si="573"/>
        <v>8.5714285714285715E-2</v>
      </c>
      <c r="J1963" t="s">
        <v>36</v>
      </c>
      <c r="K1963" t="s">
        <v>158</v>
      </c>
      <c r="L1963">
        <f t="shared" si="574"/>
        <v>0</v>
      </c>
      <c r="M1963">
        <f t="shared" si="575"/>
        <v>0</v>
      </c>
      <c r="N1963">
        <f t="shared" si="576"/>
        <v>0</v>
      </c>
      <c r="O1963" t="s">
        <v>650</v>
      </c>
      <c r="P1963">
        <f t="shared" si="577"/>
        <v>0</v>
      </c>
      <c r="Q1963">
        <f t="shared" si="578"/>
        <v>0</v>
      </c>
      <c r="R1963">
        <f t="shared" si="579"/>
        <v>0</v>
      </c>
      <c r="S1963">
        <f t="shared" si="580"/>
        <v>0</v>
      </c>
      <c r="T1963">
        <f t="shared" si="581"/>
        <v>0</v>
      </c>
      <c r="U1963">
        <f t="shared" si="582"/>
        <v>0</v>
      </c>
      <c r="V1963">
        <f t="shared" si="583"/>
        <v>0</v>
      </c>
      <c r="W1963" t="s">
        <v>39</v>
      </c>
      <c r="X1963">
        <f t="shared" si="584"/>
        <v>1</v>
      </c>
      <c r="Y1963">
        <f t="shared" si="585"/>
        <v>0</v>
      </c>
      <c r="Z1963">
        <v>5</v>
      </c>
      <c r="AA1963">
        <f t="shared" si="586"/>
        <v>1</v>
      </c>
      <c r="AB1963" t="s">
        <v>46</v>
      </c>
      <c r="AC1963">
        <f t="shared" si="587"/>
        <v>1</v>
      </c>
      <c r="AD1963">
        <f t="shared" si="588"/>
        <v>0</v>
      </c>
      <c r="AE1963" t="s">
        <v>50</v>
      </c>
      <c r="AF1963">
        <f>IF(AE1963="website",1,0)</f>
        <v>0</v>
      </c>
    </row>
    <row r="1964" spans="1:32">
      <c r="A1964" t="s">
        <v>2617</v>
      </c>
      <c r="B1964" t="s">
        <v>55</v>
      </c>
      <c r="C1964" s="3">
        <f t="shared" si="570"/>
        <v>1</v>
      </c>
      <c r="D1964">
        <f t="shared" si="571"/>
        <v>0</v>
      </c>
      <c r="E1964" t="s">
        <v>2070</v>
      </c>
      <c r="F1964" t="s">
        <v>57</v>
      </c>
      <c r="G1964" s="1">
        <v>24898</v>
      </c>
      <c r="H1964" s="2">
        <f t="shared" ca="1" si="572"/>
        <v>58</v>
      </c>
      <c r="I1964" s="2">
        <f t="shared" ca="1" si="573"/>
        <v>0.47142857142857142</v>
      </c>
      <c r="J1964" t="s">
        <v>45</v>
      </c>
      <c r="K1964" t="s">
        <v>37</v>
      </c>
      <c r="L1964">
        <f t="shared" si="574"/>
        <v>1</v>
      </c>
      <c r="M1964">
        <f t="shared" si="575"/>
        <v>0</v>
      </c>
      <c r="N1964">
        <f t="shared" si="576"/>
        <v>0</v>
      </c>
      <c r="O1964" t="s">
        <v>592</v>
      </c>
      <c r="P1964">
        <f t="shared" si="577"/>
        <v>0</v>
      </c>
      <c r="Q1964">
        <f t="shared" si="578"/>
        <v>0</v>
      </c>
      <c r="R1964">
        <f t="shared" si="579"/>
        <v>0</v>
      </c>
      <c r="S1964">
        <f t="shared" si="580"/>
        <v>0</v>
      </c>
      <c r="T1964">
        <f t="shared" si="581"/>
        <v>0</v>
      </c>
      <c r="U1964">
        <f t="shared" si="582"/>
        <v>0</v>
      </c>
      <c r="V1964">
        <f t="shared" si="583"/>
        <v>0</v>
      </c>
      <c r="W1964" t="s">
        <v>39</v>
      </c>
      <c r="X1964">
        <f t="shared" si="584"/>
        <v>1</v>
      </c>
      <c r="Y1964">
        <f t="shared" si="585"/>
        <v>0</v>
      </c>
      <c r="Z1964">
        <v>5</v>
      </c>
      <c r="AA1964">
        <f t="shared" si="586"/>
        <v>1</v>
      </c>
      <c r="AB1964" t="s">
        <v>46</v>
      </c>
      <c r="AC1964">
        <f t="shared" si="587"/>
        <v>0</v>
      </c>
      <c r="AD1964">
        <f t="shared" si="588"/>
        <v>0</v>
      </c>
      <c r="AE1964" t="s">
        <v>41</v>
      </c>
      <c r="AF1964">
        <f>IF(AE1964="website",1,0)</f>
        <v>1</v>
      </c>
    </row>
    <row r="1965" spans="1:32">
      <c r="A1965" t="s">
        <v>2618</v>
      </c>
      <c r="B1965" t="s">
        <v>33</v>
      </c>
      <c r="C1965" s="3">
        <f t="shared" si="570"/>
        <v>0</v>
      </c>
      <c r="D1965">
        <f t="shared" si="571"/>
        <v>1</v>
      </c>
      <c r="E1965" t="s">
        <v>191</v>
      </c>
      <c r="F1965" t="s">
        <v>610</v>
      </c>
      <c r="G1965" s="1">
        <v>26467</v>
      </c>
      <c r="H1965" s="2">
        <f t="shared" ca="1" si="572"/>
        <v>54</v>
      </c>
      <c r="I1965" s="2">
        <f t="shared" ca="1" si="573"/>
        <v>0.41428571428571431</v>
      </c>
      <c r="J1965" t="s">
        <v>45</v>
      </c>
      <c r="K1965" t="s">
        <v>37</v>
      </c>
      <c r="L1965">
        <f t="shared" si="574"/>
        <v>1</v>
      </c>
      <c r="M1965">
        <f t="shared" si="575"/>
        <v>0</v>
      </c>
      <c r="N1965">
        <f t="shared" si="576"/>
        <v>0</v>
      </c>
      <c r="O1965" t="s">
        <v>305</v>
      </c>
      <c r="P1965">
        <f t="shared" si="577"/>
        <v>0</v>
      </c>
      <c r="Q1965">
        <f t="shared" si="578"/>
        <v>0</v>
      </c>
      <c r="R1965">
        <f t="shared" si="579"/>
        <v>0</v>
      </c>
      <c r="S1965">
        <f t="shared" si="580"/>
        <v>0</v>
      </c>
      <c r="T1965">
        <f t="shared" si="581"/>
        <v>0</v>
      </c>
      <c r="U1965">
        <f t="shared" si="582"/>
        <v>0</v>
      </c>
      <c r="V1965">
        <f t="shared" si="583"/>
        <v>0</v>
      </c>
      <c r="W1965" t="s">
        <v>39</v>
      </c>
      <c r="X1965">
        <f t="shared" si="584"/>
        <v>1</v>
      </c>
      <c r="Y1965">
        <f t="shared" si="585"/>
        <v>0</v>
      </c>
      <c r="Z1965">
        <v>5</v>
      </c>
      <c r="AA1965">
        <f t="shared" si="586"/>
        <v>1</v>
      </c>
      <c r="AB1965" t="s">
        <v>46</v>
      </c>
      <c r="AC1965">
        <f t="shared" si="587"/>
        <v>1</v>
      </c>
      <c r="AD1965">
        <f t="shared" si="588"/>
        <v>0</v>
      </c>
      <c r="AE1965" t="s">
        <v>50</v>
      </c>
      <c r="AF1965">
        <f>IF(AE1965="website",1,0)</f>
        <v>0</v>
      </c>
    </row>
    <row r="1966" spans="1:32">
      <c r="A1966" t="s">
        <v>2619</v>
      </c>
      <c r="B1966" t="s">
        <v>33</v>
      </c>
      <c r="C1966" s="3">
        <f t="shared" si="570"/>
        <v>0</v>
      </c>
      <c r="D1966">
        <f t="shared" si="571"/>
        <v>1</v>
      </c>
      <c r="E1966" t="s">
        <v>629</v>
      </c>
      <c r="F1966" t="s">
        <v>61</v>
      </c>
      <c r="G1966" s="1">
        <v>35439</v>
      </c>
      <c r="H1966" s="2">
        <f t="shared" ca="1" si="572"/>
        <v>29</v>
      </c>
      <c r="I1966" s="2">
        <f t="shared" ca="1" si="573"/>
        <v>5.7142857142857141E-2</v>
      </c>
      <c r="J1966" t="s">
        <v>45</v>
      </c>
      <c r="K1966" t="s">
        <v>37</v>
      </c>
      <c r="L1966">
        <f t="shared" si="574"/>
        <v>1</v>
      </c>
      <c r="M1966">
        <f t="shared" si="575"/>
        <v>0</v>
      </c>
      <c r="N1966">
        <f t="shared" si="576"/>
        <v>0</v>
      </c>
      <c r="O1966" t="s">
        <v>38</v>
      </c>
      <c r="P1966">
        <f t="shared" si="577"/>
        <v>1</v>
      </c>
      <c r="Q1966">
        <f t="shared" si="578"/>
        <v>0</v>
      </c>
      <c r="R1966">
        <f t="shared" si="579"/>
        <v>0</v>
      </c>
      <c r="S1966">
        <f t="shared" si="580"/>
        <v>0</v>
      </c>
      <c r="T1966">
        <f t="shared" si="581"/>
        <v>0</v>
      </c>
      <c r="U1966">
        <f t="shared" si="582"/>
        <v>0</v>
      </c>
      <c r="V1966">
        <f t="shared" si="583"/>
        <v>0</v>
      </c>
      <c r="W1966" t="s">
        <v>39</v>
      </c>
      <c r="X1966">
        <f t="shared" si="584"/>
        <v>1</v>
      </c>
      <c r="Y1966">
        <f t="shared" si="585"/>
        <v>0</v>
      </c>
      <c r="Z1966">
        <v>4</v>
      </c>
      <c r="AA1966">
        <f t="shared" si="586"/>
        <v>0.75</v>
      </c>
      <c r="AB1966" t="s">
        <v>46</v>
      </c>
      <c r="AC1966">
        <f t="shared" si="587"/>
        <v>1</v>
      </c>
      <c r="AD1966">
        <f t="shared" si="588"/>
        <v>0</v>
      </c>
      <c r="AE1966" t="s">
        <v>50</v>
      </c>
      <c r="AF1966">
        <f>IF(AE1966="website",1,0)</f>
        <v>0</v>
      </c>
    </row>
    <row r="1967" spans="1:32">
      <c r="A1967" t="s">
        <v>2620</v>
      </c>
      <c r="B1967" t="s">
        <v>33</v>
      </c>
      <c r="C1967" s="3">
        <f t="shared" si="570"/>
        <v>0</v>
      </c>
      <c r="D1967">
        <f t="shared" si="571"/>
        <v>1</v>
      </c>
      <c r="E1967" t="s">
        <v>708</v>
      </c>
      <c r="F1967" t="s">
        <v>339</v>
      </c>
      <c r="G1967" s="1">
        <v>23417</v>
      </c>
      <c r="H1967" s="2">
        <f t="shared" ca="1" si="572"/>
        <v>62</v>
      </c>
      <c r="I1967" s="2">
        <f t="shared" ca="1" si="573"/>
        <v>0.52857142857142858</v>
      </c>
      <c r="J1967" t="s">
        <v>45</v>
      </c>
      <c r="K1967" t="s">
        <v>65</v>
      </c>
      <c r="L1967">
        <f t="shared" si="574"/>
        <v>0</v>
      </c>
      <c r="M1967">
        <f t="shared" si="575"/>
        <v>1</v>
      </c>
      <c r="N1967">
        <f t="shared" si="576"/>
        <v>0</v>
      </c>
      <c r="O1967" t="s">
        <v>642</v>
      </c>
      <c r="P1967">
        <f t="shared" si="577"/>
        <v>0</v>
      </c>
      <c r="Q1967">
        <f t="shared" si="578"/>
        <v>0</v>
      </c>
      <c r="R1967">
        <f t="shared" si="579"/>
        <v>0</v>
      </c>
      <c r="S1967">
        <f t="shared" si="580"/>
        <v>0</v>
      </c>
      <c r="T1967">
        <f t="shared" si="581"/>
        <v>0</v>
      </c>
      <c r="U1967">
        <f t="shared" si="582"/>
        <v>0</v>
      </c>
      <c r="V1967">
        <f t="shared" si="583"/>
        <v>0</v>
      </c>
      <c r="W1967" t="s">
        <v>39</v>
      </c>
      <c r="X1967">
        <f t="shared" si="584"/>
        <v>1</v>
      </c>
      <c r="Y1967">
        <f t="shared" si="585"/>
        <v>0</v>
      </c>
      <c r="Z1967">
        <v>1</v>
      </c>
      <c r="AA1967">
        <f t="shared" si="586"/>
        <v>0</v>
      </c>
      <c r="AB1967" t="s">
        <v>46</v>
      </c>
      <c r="AC1967">
        <f t="shared" si="587"/>
        <v>1</v>
      </c>
      <c r="AD1967">
        <f t="shared" si="588"/>
        <v>0</v>
      </c>
      <c r="AE1967" t="s">
        <v>50</v>
      </c>
      <c r="AF1967">
        <f>IF(AE1967="website",1,0)</f>
        <v>0</v>
      </c>
    </row>
    <row r="1968" spans="1:32">
      <c r="A1968" t="s">
        <v>2621</v>
      </c>
      <c r="B1968" t="s">
        <v>33</v>
      </c>
      <c r="C1968" s="3">
        <f t="shared" si="570"/>
        <v>0</v>
      </c>
      <c r="D1968">
        <f t="shared" si="571"/>
        <v>1</v>
      </c>
      <c r="E1968" t="s">
        <v>832</v>
      </c>
      <c r="F1968" t="s">
        <v>773</v>
      </c>
      <c r="G1968" s="1">
        <v>21102</v>
      </c>
      <c r="H1968" s="2">
        <f t="shared" ca="1" si="572"/>
        <v>68</v>
      </c>
      <c r="I1968" s="2">
        <f t="shared" ca="1" si="573"/>
        <v>0.61428571428571432</v>
      </c>
      <c r="J1968" t="s">
        <v>45</v>
      </c>
      <c r="K1968" t="s">
        <v>37</v>
      </c>
      <c r="L1968">
        <f t="shared" si="574"/>
        <v>1</v>
      </c>
      <c r="M1968">
        <f t="shared" si="575"/>
        <v>0</v>
      </c>
      <c r="N1968">
        <f t="shared" si="576"/>
        <v>0</v>
      </c>
      <c r="O1968" t="s">
        <v>76</v>
      </c>
      <c r="P1968">
        <f t="shared" si="577"/>
        <v>0</v>
      </c>
      <c r="Q1968">
        <f t="shared" si="578"/>
        <v>1</v>
      </c>
      <c r="R1968">
        <f t="shared" si="579"/>
        <v>0</v>
      </c>
      <c r="S1968">
        <f t="shared" si="580"/>
        <v>0</v>
      </c>
      <c r="T1968">
        <f t="shared" si="581"/>
        <v>0</v>
      </c>
      <c r="U1968">
        <f t="shared" si="582"/>
        <v>0</v>
      </c>
      <c r="V1968">
        <f t="shared" si="583"/>
        <v>0</v>
      </c>
      <c r="W1968" t="s">
        <v>58</v>
      </c>
      <c r="X1968">
        <f t="shared" si="584"/>
        <v>0</v>
      </c>
      <c r="Y1968">
        <f t="shared" si="585"/>
        <v>1</v>
      </c>
      <c r="Z1968">
        <v>4</v>
      </c>
      <c r="AA1968">
        <f t="shared" si="586"/>
        <v>0.75</v>
      </c>
      <c r="AB1968" t="s">
        <v>46</v>
      </c>
      <c r="AC1968">
        <f t="shared" si="587"/>
        <v>1</v>
      </c>
      <c r="AD1968">
        <f t="shared" si="588"/>
        <v>0</v>
      </c>
      <c r="AE1968" t="s">
        <v>50</v>
      </c>
      <c r="AF1968">
        <f>IF(AE1968="website",1,0)</f>
        <v>0</v>
      </c>
    </row>
    <row r="1969" spans="1:32">
      <c r="A1969" t="s">
        <v>2622</v>
      </c>
      <c r="B1969" t="s">
        <v>33</v>
      </c>
      <c r="C1969" s="3">
        <f t="shared" si="570"/>
        <v>0</v>
      </c>
      <c r="D1969">
        <f t="shared" si="571"/>
        <v>1</v>
      </c>
      <c r="E1969" t="s">
        <v>782</v>
      </c>
      <c r="F1969" t="s">
        <v>928</v>
      </c>
      <c r="G1969" s="1">
        <v>21491</v>
      </c>
      <c r="H1969" s="2">
        <f t="shared" ca="1" si="572"/>
        <v>67</v>
      </c>
      <c r="I1969" s="2">
        <f t="shared" ca="1" si="573"/>
        <v>0.6</v>
      </c>
      <c r="J1969" t="s">
        <v>36</v>
      </c>
      <c r="K1969" t="s">
        <v>37</v>
      </c>
      <c r="L1969">
        <f t="shared" si="574"/>
        <v>1</v>
      </c>
      <c r="M1969">
        <f t="shared" si="575"/>
        <v>0</v>
      </c>
      <c r="N1969">
        <f t="shared" si="576"/>
        <v>0</v>
      </c>
      <c r="O1969" t="s">
        <v>38</v>
      </c>
      <c r="P1969">
        <f t="shared" si="577"/>
        <v>1</v>
      </c>
      <c r="Q1969">
        <f t="shared" si="578"/>
        <v>0</v>
      </c>
      <c r="R1969">
        <f t="shared" si="579"/>
        <v>0</v>
      </c>
      <c r="S1969">
        <f t="shared" si="580"/>
        <v>0</v>
      </c>
      <c r="T1969">
        <f t="shared" si="581"/>
        <v>0</v>
      </c>
      <c r="U1969">
        <f t="shared" si="582"/>
        <v>0</v>
      </c>
      <c r="V1969">
        <f t="shared" si="583"/>
        <v>0</v>
      </c>
      <c r="W1969" t="s">
        <v>58</v>
      </c>
      <c r="X1969">
        <f t="shared" si="584"/>
        <v>0</v>
      </c>
      <c r="Y1969">
        <f t="shared" si="585"/>
        <v>1</v>
      </c>
      <c r="Z1969">
        <v>3</v>
      </c>
      <c r="AA1969">
        <f t="shared" si="586"/>
        <v>0.5</v>
      </c>
      <c r="AB1969" t="s">
        <v>40</v>
      </c>
      <c r="AC1969">
        <f t="shared" si="587"/>
        <v>0</v>
      </c>
      <c r="AD1969">
        <f t="shared" si="588"/>
        <v>1</v>
      </c>
      <c r="AE1969" t="s">
        <v>90</v>
      </c>
      <c r="AF1969">
        <f>IF(AE1969="website",1,0)</f>
        <v>0</v>
      </c>
    </row>
    <row r="1970" spans="1:32">
      <c r="A1970" t="s">
        <v>2623</v>
      </c>
      <c r="B1970" t="s">
        <v>33</v>
      </c>
      <c r="C1970" s="3">
        <f t="shared" si="570"/>
        <v>0</v>
      </c>
      <c r="D1970">
        <f t="shared" si="571"/>
        <v>1</v>
      </c>
      <c r="E1970" t="s">
        <v>875</v>
      </c>
      <c r="F1970" t="s">
        <v>659</v>
      </c>
      <c r="G1970" s="1">
        <v>34134</v>
      </c>
      <c r="H1970" s="2">
        <f t="shared" ca="1" si="572"/>
        <v>33</v>
      </c>
      <c r="I1970" s="2">
        <f t="shared" ca="1" si="573"/>
        <v>0.11428571428571428</v>
      </c>
      <c r="J1970" t="s">
        <v>45</v>
      </c>
      <c r="K1970" t="s">
        <v>37</v>
      </c>
      <c r="L1970">
        <f t="shared" si="574"/>
        <v>1</v>
      </c>
      <c r="M1970">
        <f t="shared" si="575"/>
        <v>0</v>
      </c>
      <c r="N1970">
        <f t="shared" si="576"/>
        <v>0</v>
      </c>
      <c r="O1970" t="s">
        <v>137</v>
      </c>
      <c r="P1970">
        <f t="shared" si="577"/>
        <v>0</v>
      </c>
      <c r="Q1970">
        <f t="shared" si="578"/>
        <v>0</v>
      </c>
      <c r="R1970">
        <f t="shared" si="579"/>
        <v>0</v>
      </c>
      <c r="S1970">
        <f t="shared" si="580"/>
        <v>0</v>
      </c>
      <c r="T1970">
        <f t="shared" si="581"/>
        <v>0</v>
      </c>
      <c r="U1970">
        <f t="shared" si="582"/>
        <v>0</v>
      </c>
      <c r="V1970">
        <f t="shared" si="583"/>
        <v>0</v>
      </c>
      <c r="W1970" t="s">
        <v>58</v>
      </c>
      <c r="X1970">
        <f t="shared" si="584"/>
        <v>0</v>
      </c>
      <c r="Y1970">
        <f t="shared" si="585"/>
        <v>1</v>
      </c>
      <c r="Z1970">
        <v>2</v>
      </c>
      <c r="AA1970">
        <f t="shared" si="586"/>
        <v>0.25</v>
      </c>
      <c r="AB1970" t="s">
        <v>40</v>
      </c>
      <c r="AC1970">
        <f t="shared" si="587"/>
        <v>1</v>
      </c>
      <c r="AD1970">
        <f t="shared" si="588"/>
        <v>0</v>
      </c>
      <c r="AE1970" t="s">
        <v>50</v>
      </c>
      <c r="AF1970">
        <f>IF(AE1970="website",1,0)</f>
        <v>0</v>
      </c>
    </row>
    <row r="1971" spans="1:32">
      <c r="A1971" t="s">
        <v>2624</v>
      </c>
      <c r="B1971" t="s">
        <v>33</v>
      </c>
      <c r="C1971" s="3">
        <f t="shared" si="570"/>
        <v>0</v>
      </c>
      <c r="D1971">
        <f t="shared" si="571"/>
        <v>1</v>
      </c>
      <c r="E1971" t="s">
        <v>795</v>
      </c>
      <c r="F1971" t="s">
        <v>339</v>
      </c>
      <c r="G1971" s="1">
        <v>28546</v>
      </c>
      <c r="H1971" s="2">
        <f t="shared" ca="1" si="572"/>
        <v>48</v>
      </c>
      <c r="I1971" s="2">
        <f t="shared" ca="1" si="573"/>
        <v>0.32857142857142857</v>
      </c>
      <c r="J1971" t="s">
        <v>45</v>
      </c>
      <c r="K1971" t="s">
        <v>37</v>
      </c>
      <c r="L1971">
        <f t="shared" si="574"/>
        <v>1</v>
      </c>
      <c r="M1971">
        <f t="shared" si="575"/>
        <v>0</v>
      </c>
      <c r="N1971">
        <f t="shared" si="576"/>
        <v>0</v>
      </c>
      <c r="O1971" t="s">
        <v>97</v>
      </c>
      <c r="P1971">
        <f t="shared" si="577"/>
        <v>0</v>
      </c>
      <c r="Q1971">
        <f t="shared" si="578"/>
        <v>0</v>
      </c>
      <c r="R1971">
        <f t="shared" si="579"/>
        <v>0</v>
      </c>
      <c r="S1971">
        <f t="shared" si="580"/>
        <v>0</v>
      </c>
      <c r="T1971">
        <f t="shared" si="581"/>
        <v>1</v>
      </c>
      <c r="U1971">
        <f t="shared" si="582"/>
        <v>0</v>
      </c>
      <c r="V1971">
        <f t="shared" si="583"/>
        <v>0</v>
      </c>
      <c r="W1971" t="s">
        <v>58</v>
      </c>
      <c r="X1971">
        <f t="shared" si="584"/>
        <v>0</v>
      </c>
      <c r="Y1971">
        <f t="shared" si="585"/>
        <v>1</v>
      </c>
      <c r="Z1971">
        <v>4</v>
      </c>
      <c r="AA1971">
        <f t="shared" si="586"/>
        <v>0.75</v>
      </c>
      <c r="AB1971" t="s">
        <v>40</v>
      </c>
      <c r="AC1971">
        <f t="shared" si="587"/>
        <v>0</v>
      </c>
      <c r="AD1971">
        <f t="shared" si="588"/>
        <v>0</v>
      </c>
      <c r="AE1971" t="s">
        <v>41</v>
      </c>
      <c r="AF1971">
        <f>IF(AE1971="website",1,0)</f>
        <v>1</v>
      </c>
    </row>
    <row r="1972" spans="1:32">
      <c r="A1972" t="s">
        <v>2625</v>
      </c>
      <c r="B1972" t="s">
        <v>33</v>
      </c>
      <c r="C1972" s="3">
        <f t="shared" si="570"/>
        <v>0</v>
      </c>
      <c r="D1972">
        <f t="shared" si="571"/>
        <v>1</v>
      </c>
      <c r="E1972" t="s">
        <v>766</v>
      </c>
      <c r="F1972" t="s">
        <v>700</v>
      </c>
      <c r="G1972" s="1">
        <v>27959</v>
      </c>
      <c r="H1972" s="2">
        <f t="shared" ca="1" si="572"/>
        <v>50</v>
      </c>
      <c r="I1972" s="2">
        <f t="shared" ca="1" si="573"/>
        <v>0.35714285714285715</v>
      </c>
      <c r="J1972" t="s">
        <v>36</v>
      </c>
      <c r="K1972" t="s">
        <v>37</v>
      </c>
      <c r="L1972">
        <f t="shared" si="574"/>
        <v>1</v>
      </c>
      <c r="M1972">
        <f t="shared" si="575"/>
        <v>0</v>
      </c>
      <c r="N1972">
        <f t="shared" si="576"/>
        <v>0</v>
      </c>
      <c r="O1972" t="s">
        <v>305</v>
      </c>
      <c r="P1972">
        <f t="shared" si="577"/>
        <v>0</v>
      </c>
      <c r="Q1972">
        <f t="shared" si="578"/>
        <v>0</v>
      </c>
      <c r="R1972">
        <f t="shared" si="579"/>
        <v>0</v>
      </c>
      <c r="S1972">
        <f t="shared" si="580"/>
        <v>0</v>
      </c>
      <c r="T1972">
        <f t="shared" si="581"/>
        <v>0</v>
      </c>
      <c r="U1972">
        <f t="shared" si="582"/>
        <v>0</v>
      </c>
      <c r="V1972">
        <f t="shared" si="583"/>
        <v>0</v>
      </c>
      <c r="W1972" t="s">
        <v>39</v>
      </c>
      <c r="X1972">
        <f t="shared" si="584"/>
        <v>1</v>
      </c>
      <c r="Y1972">
        <f t="shared" si="585"/>
        <v>0</v>
      </c>
      <c r="Z1972">
        <v>5</v>
      </c>
      <c r="AA1972">
        <f t="shared" si="586"/>
        <v>1</v>
      </c>
      <c r="AB1972" t="s">
        <v>46</v>
      </c>
      <c r="AC1972">
        <f t="shared" si="587"/>
        <v>0</v>
      </c>
      <c r="AD1972">
        <f t="shared" si="588"/>
        <v>0</v>
      </c>
      <c r="AE1972" t="s">
        <v>41</v>
      </c>
      <c r="AF1972">
        <f>IF(AE1972="website",1,0)</f>
        <v>1</v>
      </c>
    </row>
    <row r="1973" spans="1:32">
      <c r="A1973" t="s">
        <v>2626</v>
      </c>
      <c r="B1973" t="s">
        <v>33</v>
      </c>
      <c r="C1973" s="3">
        <f t="shared" si="570"/>
        <v>0</v>
      </c>
      <c r="D1973">
        <f t="shared" si="571"/>
        <v>1</v>
      </c>
      <c r="E1973" t="s">
        <v>604</v>
      </c>
      <c r="F1973" t="s">
        <v>571</v>
      </c>
      <c r="G1973" s="1">
        <v>26303</v>
      </c>
      <c r="H1973" s="2">
        <f t="shared" ca="1" si="572"/>
        <v>54</v>
      </c>
      <c r="I1973" s="2">
        <f t="shared" ca="1" si="573"/>
        <v>0.41428571428571431</v>
      </c>
      <c r="J1973" t="s">
        <v>36</v>
      </c>
      <c r="K1973" t="s">
        <v>37</v>
      </c>
      <c r="L1973">
        <f t="shared" si="574"/>
        <v>1</v>
      </c>
      <c r="M1973">
        <f t="shared" si="575"/>
        <v>0</v>
      </c>
      <c r="N1973">
        <f t="shared" si="576"/>
        <v>0</v>
      </c>
      <c r="O1973" t="s">
        <v>38</v>
      </c>
      <c r="P1973">
        <f t="shared" si="577"/>
        <v>1</v>
      </c>
      <c r="Q1973">
        <f t="shared" si="578"/>
        <v>0</v>
      </c>
      <c r="R1973">
        <f t="shared" si="579"/>
        <v>0</v>
      </c>
      <c r="S1973">
        <f t="shared" si="580"/>
        <v>0</v>
      </c>
      <c r="T1973">
        <f t="shared" si="581"/>
        <v>0</v>
      </c>
      <c r="U1973">
        <f t="shared" si="582"/>
        <v>0</v>
      </c>
      <c r="V1973">
        <f t="shared" si="583"/>
        <v>0</v>
      </c>
      <c r="W1973" t="s">
        <v>39</v>
      </c>
      <c r="X1973">
        <f t="shared" si="584"/>
        <v>1</v>
      </c>
      <c r="Y1973">
        <f t="shared" si="585"/>
        <v>0</v>
      </c>
      <c r="Z1973">
        <v>4</v>
      </c>
      <c r="AA1973">
        <f t="shared" si="586"/>
        <v>0.75</v>
      </c>
      <c r="AB1973" t="s">
        <v>40</v>
      </c>
      <c r="AC1973">
        <f t="shared" si="587"/>
        <v>0</v>
      </c>
      <c r="AD1973">
        <f t="shared" si="588"/>
        <v>0</v>
      </c>
      <c r="AE1973" t="s">
        <v>41</v>
      </c>
      <c r="AF1973">
        <f>IF(AE1973="website",1,0)</f>
        <v>1</v>
      </c>
    </row>
    <row r="1974" spans="1:32">
      <c r="A1974" t="s">
        <v>2627</v>
      </c>
      <c r="B1974" t="s">
        <v>55</v>
      </c>
      <c r="C1974" s="3">
        <f t="shared" si="570"/>
        <v>1</v>
      </c>
      <c r="D1974">
        <f t="shared" si="571"/>
        <v>0</v>
      </c>
      <c r="E1974" t="s">
        <v>2587</v>
      </c>
      <c r="F1974" t="s">
        <v>57</v>
      </c>
      <c r="G1974" s="1">
        <v>34225</v>
      </c>
      <c r="H1974" s="2">
        <f t="shared" ca="1" si="572"/>
        <v>33</v>
      </c>
      <c r="I1974" s="2">
        <f t="shared" ca="1" si="573"/>
        <v>0.11428571428571428</v>
      </c>
      <c r="J1974" t="s">
        <v>45</v>
      </c>
      <c r="K1974" t="s">
        <v>37</v>
      </c>
      <c r="L1974">
        <f t="shared" si="574"/>
        <v>1</v>
      </c>
      <c r="M1974">
        <f t="shared" si="575"/>
        <v>0</v>
      </c>
      <c r="N1974">
        <f t="shared" si="576"/>
        <v>0</v>
      </c>
      <c r="O1974" t="s">
        <v>565</v>
      </c>
      <c r="P1974">
        <f t="shared" si="577"/>
        <v>0</v>
      </c>
      <c r="Q1974">
        <f t="shared" si="578"/>
        <v>0</v>
      </c>
      <c r="R1974">
        <f t="shared" si="579"/>
        <v>0</v>
      </c>
      <c r="S1974">
        <f t="shared" si="580"/>
        <v>0</v>
      </c>
      <c r="T1974">
        <f t="shared" si="581"/>
        <v>0</v>
      </c>
      <c r="U1974">
        <f t="shared" si="582"/>
        <v>0</v>
      </c>
      <c r="V1974">
        <f t="shared" si="583"/>
        <v>0</v>
      </c>
      <c r="W1974" t="s">
        <v>39</v>
      </c>
      <c r="X1974">
        <f t="shared" si="584"/>
        <v>1</v>
      </c>
      <c r="Y1974">
        <f t="shared" si="585"/>
        <v>0</v>
      </c>
      <c r="Z1974">
        <v>4</v>
      </c>
      <c r="AA1974">
        <f t="shared" si="586"/>
        <v>0.75</v>
      </c>
      <c r="AB1974" t="s">
        <v>40</v>
      </c>
      <c r="AC1974">
        <f t="shared" si="587"/>
        <v>1</v>
      </c>
      <c r="AD1974">
        <f t="shared" si="588"/>
        <v>0</v>
      </c>
      <c r="AE1974" t="s">
        <v>50</v>
      </c>
      <c r="AF1974">
        <f>IF(AE1974="website",1,0)</f>
        <v>0</v>
      </c>
    </row>
    <row r="1975" spans="1:32">
      <c r="A1975" t="s">
        <v>2628</v>
      </c>
      <c r="B1975" t="s">
        <v>33</v>
      </c>
      <c r="C1975" s="3">
        <f t="shared" si="570"/>
        <v>0</v>
      </c>
      <c r="D1975">
        <f t="shared" si="571"/>
        <v>1</v>
      </c>
      <c r="E1975" t="s">
        <v>903</v>
      </c>
      <c r="F1975" t="s">
        <v>591</v>
      </c>
      <c r="G1975" s="1">
        <v>18362</v>
      </c>
      <c r="H1975" s="2">
        <f t="shared" ca="1" si="572"/>
        <v>76</v>
      </c>
      <c r="I1975" s="2">
        <f t="shared" ca="1" si="573"/>
        <v>0.72857142857142854</v>
      </c>
      <c r="J1975" t="s">
        <v>45</v>
      </c>
      <c r="K1975" t="s">
        <v>37</v>
      </c>
      <c r="L1975">
        <f t="shared" si="574"/>
        <v>1</v>
      </c>
      <c r="M1975">
        <f t="shared" si="575"/>
        <v>0</v>
      </c>
      <c r="N1975">
        <f t="shared" si="576"/>
        <v>0</v>
      </c>
      <c r="O1975" t="s">
        <v>124</v>
      </c>
      <c r="P1975">
        <f t="shared" si="577"/>
        <v>0</v>
      </c>
      <c r="Q1975">
        <f t="shared" si="578"/>
        <v>0</v>
      </c>
      <c r="R1975">
        <f t="shared" si="579"/>
        <v>0</v>
      </c>
      <c r="S1975">
        <f t="shared" si="580"/>
        <v>0</v>
      </c>
      <c r="T1975">
        <f t="shared" si="581"/>
        <v>0</v>
      </c>
      <c r="U1975">
        <f t="shared" si="582"/>
        <v>1</v>
      </c>
      <c r="V1975">
        <f t="shared" si="583"/>
        <v>0</v>
      </c>
      <c r="W1975" t="s">
        <v>39</v>
      </c>
      <c r="X1975">
        <f t="shared" si="584"/>
        <v>1</v>
      </c>
      <c r="Y1975">
        <f t="shared" si="585"/>
        <v>0</v>
      </c>
      <c r="Z1975">
        <v>5</v>
      </c>
      <c r="AA1975">
        <f t="shared" si="586"/>
        <v>1</v>
      </c>
      <c r="AB1975" t="s">
        <v>40</v>
      </c>
      <c r="AC1975">
        <f t="shared" si="587"/>
        <v>1</v>
      </c>
      <c r="AD1975">
        <f t="shared" si="588"/>
        <v>0</v>
      </c>
      <c r="AE1975" t="s">
        <v>50</v>
      </c>
      <c r="AF1975">
        <f>IF(AE1975="website",1,0)</f>
        <v>0</v>
      </c>
    </row>
    <row r="1976" spans="1:32">
      <c r="A1976" t="s">
        <v>2629</v>
      </c>
      <c r="B1976" t="s">
        <v>33</v>
      </c>
      <c r="C1976" s="3">
        <f t="shared" si="570"/>
        <v>0</v>
      </c>
      <c r="D1976">
        <f t="shared" si="571"/>
        <v>1</v>
      </c>
      <c r="E1976" t="s">
        <v>1210</v>
      </c>
      <c r="F1976" t="s">
        <v>623</v>
      </c>
      <c r="G1976" s="1">
        <v>27611</v>
      </c>
      <c r="H1976" s="2">
        <f t="shared" ca="1" si="572"/>
        <v>51</v>
      </c>
      <c r="I1976" s="2">
        <f t="shared" ca="1" si="573"/>
        <v>0.37142857142857144</v>
      </c>
      <c r="J1976" t="s">
        <v>36</v>
      </c>
      <c r="K1976" t="s">
        <v>153</v>
      </c>
      <c r="L1976">
        <f t="shared" si="574"/>
        <v>0</v>
      </c>
      <c r="M1976">
        <f t="shared" si="575"/>
        <v>0</v>
      </c>
      <c r="N1976">
        <f t="shared" si="576"/>
        <v>0</v>
      </c>
      <c r="O1976" t="s">
        <v>945</v>
      </c>
      <c r="P1976">
        <f t="shared" si="577"/>
        <v>0</v>
      </c>
      <c r="Q1976">
        <f t="shared" si="578"/>
        <v>0</v>
      </c>
      <c r="R1976">
        <f t="shared" si="579"/>
        <v>0</v>
      </c>
      <c r="S1976">
        <f t="shared" si="580"/>
        <v>0</v>
      </c>
      <c r="T1976">
        <f t="shared" si="581"/>
        <v>0</v>
      </c>
      <c r="U1976">
        <f t="shared" si="582"/>
        <v>0</v>
      </c>
      <c r="V1976">
        <f t="shared" si="583"/>
        <v>0</v>
      </c>
      <c r="W1976" t="s">
        <v>39</v>
      </c>
      <c r="X1976">
        <f t="shared" si="584"/>
        <v>1</v>
      </c>
      <c r="Y1976">
        <f t="shared" si="585"/>
        <v>0</v>
      </c>
      <c r="Z1976">
        <v>4</v>
      </c>
      <c r="AA1976">
        <f t="shared" si="586"/>
        <v>0.75</v>
      </c>
      <c r="AB1976" t="s">
        <v>46</v>
      </c>
      <c r="AC1976">
        <f t="shared" si="587"/>
        <v>1</v>
      </c>
      <c r="AD1976">
        <f t="shared" si="588"/>
        <v>0</v>
      </c>
      <c r="AE1976" t="s">
        <v>50</v>
      </c>
      <c r="AF1976">
        <f>IF(AE1976="website",1,0)</f>
        <v>0</v>
      </c>
    </row>
    <row r="1977" spans="1:32">
      <c r="A1977" t="s">
        <v>2630</v>
      </c>
      <c r="B1977" t="s">
        <v>33</v>
      </c>
      <c r="C1977" s="3">
        <f t="shared" si="570"/>
        <v>0</v>
      </c>
      <c r="D1977">
        <f t="shared" si="571"/>
        <v>1</v>
      </c>
      <c r="E1977" t="s">
        <v>677</v>
      </c>
      <c r="F1977" t="s">
        <v>571</v>
      </c>
      <c r="G1977" s="1">
        <v>34822</v>
      </c>
      <c r="H1977" s="2">
        <f t="shared" ca="1" si="572"/>
        <v>31</v>
      </c>
      <c r="I1977" s="2">
        <f t="shared" ca="1" si="573"/>
        <v>8.5714285714285715E-2</v>
      </c>
      <c r="J1977" t="s">
        <v>45</v>
      </c>
      <c r="K1977" t="s">
        <v>37</v>
      </c>
      <c r="L1977">
        <f t="shared" si="574"/>
        <v>1</v>
      </c>
      <c r="M1977">
        <f t="shared" si="575"/>
        <v>0</v>
      </c>
      <c r="N1977">
        <f t="shared" si="576"/>
        <v>0</v>
      </c>
      <c r="O1977" t="s">
        <v>600</v>
      </c>
      <c r="P1977">
        <f t="shared" si="577"/>
        <v>0</v>
      </c>
      <c r="Q1977">
        <f t="shared" si="578"/>
        <v>0</v>
      </c>
      <c r="R1977">
        <f t="shared" si="579"/>
        <v>0</v>
      </c>
      <c r="S1977">
        <f t="shared" si="580"/>
        <v>0</v>
      </c>
      <c r="T1977">
        <f t="shared" si="581"/>
        <v>0</v>
      </c>
      <c r="U1977">
        <f t="shared" si="582"/>
        <v>0</v>
      </c>
      <c r="V1977">
        <f t="shared" si="583"/>
        <v>0</v>
      </c>
      <c r="W1977" t="s">
        <v>39</v>
      </c>
      <c r="X1977">
        <f t="shared" si="584"/>
        <v>1</v>
      </c>
      <c r="Y1977">
        <f t="shared" si="585"/>
        <v>0</v>
      </c>
      <c r="Z1977">
        <v>5</v>
      </c>
      <c r="AA1977">
        <f t="shared" si="586"/>
        <v>1</v>
      </c>
      <c r="AB1977" t="s">
        <v>46</v>
      </c>
      <c r="AC1977">
        <f t="shared" si="587"/>
        <v>0</v>
      </c>
      <c r="AD1977">
        <f t="shared" si="588"/>
        <v>1</v>
      </c>
      <c r="AE1977" t="s">
        <v>90</v>
      </c>
      <c r="AF1977">
        <f>IF(AE1977="website",1,0)</f>
        <v>0</v>
      </c>
    </row>
    <row r="1978" spans="1:32">
      <c r="A1978" t="s">
        <v>2631</v>
      </c>
      <c r="B1978" t="s">
        <v>33</v>
      </c>
      <c r="C1978" s="3">
        <f t="shared" si="570"/>
        <v>0</v>
      </c>
      <c r="D1978">
        <f t="shared" si="571"/>
        <v>1</v>
      </c>
      <c r="E1978" t="s">
        <v>671</v>
      </c>
      <c r="F1978" t="s">
        <v>378</v>
      </c>
      <c r="G1978" s="1">
        <v>34431</v>
      </c>
      <c r="H1978" s="2">
        <f t="shared" ca="1" si="572"/>
        <v>32</v>
      </c>
      <c r="I1978" s="2">
        <f t="shared" ca="1" si="573"/>
        <v>0.1</v>
      </c>
      <c r="J1978" t="s">
        <v>45</v>
      </c>
      <c r="K1978" t="s">
        <v>37</v>
      </c>
      <c r="L1978">
        <f t="shared" si="574"/>
        <v>1</v>
      </c>
      <c r="M1978">
        <f t="shared" si="575"/>
        <v>0</v>
      </c>
      <c r="N1978">
        <f t="shared" si="576"/>
        <v>0</v>
      </c>
      <c r="O1978" t="s">
        <v>305</v>
      </c>
      <c r="P1978">
        <f t="shared" si="577"/>
        <v>0</v>
      </c>
      <c r="Q1978">
        <f t="shared" si="578"/>
        <v>0</v>
      </c>
      <c r="R1978">
        <f t="shared" si="579"/>
        <v>0</v>
      </c>
      <c r="S1978">
        <f t="shared" si="580"/>
        <v>0</v>
      </c>
      <c r="T1978">
        <f t="shared" si="581"/>
        <v>0</v>
      </c>
      <c r="U1978">
        <f t="shared" si="582"/>
        <v>0</v>
      </c>
      <c r="V1978">
        <f t="shared" si="583"/>
        <v>0</v>
      </c>
      <c r="W1978" t="s">
        <v>39</v>
      </c>
      <c r="X1978">
        <f t="shared" si="584"/>
        <v>1</v>
      </c>
      <c r="Y1978">
        <f t="shared" si="585"/>
        <v>0</v>
      </c>
      <c r="Z1978">
        <v>1</v>
      </c>
      <c r="AA1978">
        <f t="shared" si="586"/>
        <v>0</v>
      </c>
      <c r="AB1978" t="s">
        <v>46</v>
      </c>
      <c r="AC1978">
        <f t="shared" si="587"/>
        <v>0</v>
      </c>
      <c r="AD1978">
        <f t="shared" si="588"/>
        <v>0</v>
      </c>
      <c r="AE1978" t="s">
        <v>41</v>
      </c>
      <c r="AF1978">
        <f>IF(AE1978="website",1,0)</f>
        <v>1</v>
      </c>
    </row>
    <row r="1979" spans="1:32">
      <c r="A1979" t="s">
        <v>2632</v>
      </c>
      <c r="B1979" t="s">
        <v>55</v>
      </c>
      <c r="C1979" s="3">
        <f t="shared" si="570"/>
        <v>1</v>
      </c>
      <c r="D1979">
        <f t="shared" si="571"/>
        <v>0</v>
      </c>
      <c r="E1979" t="s">
        <v>1395</v>
      </c>
      <c r="F1979" t="s">
        <v>57</v>
      </c>
      <c r="G1979" s="1">
        <v>24509</v>
      </c>
      <c r="H1979" s="2">
        <f t="shared" ca="1" si="572"/>
        <v>59</v>
      </c>
      <c r="I1979" s="2">
        <f t="shared" ca="1" si="573"/>
        <v>0.48571428571428571</v>
      </c>
      <c r="J1979" t="s">
        <v>36</v>
      </c>
      <c r="K1979" t="s">
        <v>37</v>
      </c>
      <c r="L1979">
        <f t="shared" si="574"/>
        <v>1</v>
      </c>
      <c r="M1979">
        <f t="shared" si="575"/>
        <v>0</v>
      </c>
      <c r="N1979">
        <f t="shared" si="576"/>
        <v>0</v>
      </c>
      <c r="O1979" t="s">
        <v>38</v>
      </c>
      <c r="P1979">
        <f t="shared" si="577"/>
        <v>1</v>
      </c>
      <c r="Q1979">
        <f t="shared" si="578"/>
        <v>0</v>
      </c>
      <c r="R1979">
        <f t="shared" si="579"/>
        <v>0</v>
      </c>
      <c r="S1979">
        <f t="shared" si="580"/>
        <v>0</v>
      </c>
      <c r="T1979">
        <f t="shared" si="581"/>
        <v>0</v>
      </c>
      <c r="U1979">
        <f t="shared" si="582"/>
        <v>0</v>
      </c>
      <c r="V1979">
        <f t="shared" si="583"/>
        <v>0</v>
      </c>
      <c r="W1979" t="s">
        <v>58</v>
      </c>
      <c r="X1979">
        <f t="shared" si="584"/>
        <v>0</v>
      </c>
      <c r="Y1979">
        <f t="shared" si="585"/>
        <v>1</v>
      </c>
      <c r="Z1979">
        <v>5</v>
      </c>
      <c r="AA1979">
        <f t="shared" si="586"/>
        <v>1</v>
      </c>
      <c r="AB1979" t="s">
        <v>40</v>
      </c>
      <c r="AC1979">
        <f t="shared" si="587"/>
        <v>0</v>
      </c>
      <c r="AD1979">
        <f t="shared" si="588"/>
        <v>0</v>
      </c>
      <c r="AE1979" t="s">
        <v>41</v>
      </c>
      <c r="AF1979">
        <f>IF(AE1979="website",1,0)</f>
        <v>1</v>
      </c>
    </row>
    <row r="1980" spans="1:32">
      <c r="A1980" t="s">
        <v>2633</v>
      </c>
      <c r="B1980" t="s">
        <v>33</v>
      </c>
      <c r="C1980" s="3">
        <f t="shared" si="570"/>
        <v>0</v>
      </c>
      <c r="D1980">
        <f t="shared" si="571"/>
        <v>1</v>
      </c>
      <c r="E1980" t="s">
        <v>986</v>
      </c>
      <c r="F1980" t="s">
        <v>695</v>
      </c>
      <c r="G1980" s="1">
        <v>15486</v>
      </c>
      <c r="H1980" s="2">
        <f t="shared" ca="1" si="572"/>
        <v>84</v>
      </c>
      <c r="I1980" s="2">
        <f t="shared" ca="1" si="573"/>
        <v>0.84285714285714286</v>
      </c>
      <c r="J1980" t="s">
        <v>45</v>
      </c>
      <c r="K1980" t="s">
        <v>37</v>
      </c>
      <c r="L1980">
        <f t="shared" si="574"/>
        <v>1</v>
      </c>
      <c r="M1980">
        <f t="shared" si="575"/>
        <v>0</v>
      </c>
      <c r="N1980">
        <f t="shared" si="576"/>
        <v>0</v>
      </c>
      <c r="O1980" t="s">
        <v>137</v>
      </c>
      <c r="P1980">
        <f t="shared" si="577"/>
        <v>0</v>
      </c>
      <c r="Q1980">
        <f t="shared" si="578"/>
        <v>0</v>
      </c>
      <c r="R1980">
        <f t="shared" si="579"/>
        <v>0</v>
      </c>
      <c r="S1980">
        <f t="shared" si="580"/>
        <v>0</v>
      </c>
      <c r="T1980">
        <f t="shared" si="581"/>
        <v>0</v>
      </c>
      <c r="U1980">
        <f t="shared" si="582"/>
        <v>0</v>
      </c>
      <c r="V1980">
        <f t="shared" si="583"/>
        <v>0</v>
      </c>
      <c r="W1980" t="s">
        <v>39</v>
      </c>
      <c r="X1980">
        <f t="shared" si="584"/>
        <v>1</v>
      </c>
      <c r="Y1980">
        <f t="shared" si="585"/>
        <v>0</v>
      </c>
      <c r="Z1980">
        <v>3</v>
      </c>
      <c r="AA1980">
        <f t="shared" si="586"/>
        <v>0.5</v>
      </c>
      <c r="AB1980" t="s">
        <v>40</v>
      </c>
      <c r="AC1980">
        <f t="shared" si="587"/>
        <v>1</v>
      </c>
      <c r="AD1980">
        <f t="shared" si="588"/>
        <v>0</v>
      </c>
      <c r="AE1980" t="s">
        <v>50</v>
      </c>
      <c r="AF1980">
        <f>IF(AE1980="website",1,0)</f>
        <v>0</v>
      </c>
    </row>
    <row r="1981" spans="1:32">
      <c r="A1981" t="s">
        <v>2634</v>
      </c>
      <c r="B1981" t="s">
        <v>33</v>
      </c>
      <c r="C1981" s="3">
        <f t="shared" si="570"/>
        <v>0</v>
      </c>
      <c r="D1981">
        <f t="shared" si="571"/>
        <v>1</v>
      </c>
      <c r="E1981" t="s">
        <v>839</v>
      </c>
      <c r="F1981" t="s">
        <v>554</v>
      </c>
      <c r="G1981" s="1">
        <v>20584</v>
      </c>
      <c r="H1981" s="2">
        <f t="shared" ca="1" si="572"/>
        <v>70</v>
      </c>
      <c r="I1981" s="2">
        <f t="shared" ca="1" si="573"/>
        <v>0.6428571428571429</v>
      </c>
      <c r="J1981" t="s">
        <v>36</v>
      </c>
      <c r="K1981" t="s">
        <v>37</v>
      </c>
      <c r="L1981">
        <f t="shared" si="574"/>
        <v>1</v>
      </c>
      <c r="M1981">
        <f t="shared" si="575"/>
        <v>0</v>
      </c>
      <c r="N1981">
        <f t="shared" si="576"/>
        <v>0</v>
      </c>
      <c r="O1981" t="s">
        <v>592</v>
      </c>
      <c r="P1981">
        <f t="shared" si="577"/>
        <v>0</v>
      </c>
      <c r="Q1981">
        <f t="shared" si="578"/>
        <v>0</v>
      </c>
      <c r="R1981">
        <f t="shared" si="579"/>
        <v>0</v>
      </c>
      <c r="S1981">
        <f t="shared" si="580"/>
        <v>0</v>
      </c>
      <c r="T1981">
        <f t="shared" si="581"/>
        <v>0</v>
      </c>
      <c r="U1981">
        <f t="shared" si="582"/>
        <v>0</v>
      </c>
      <c r="V1981">
        <f t="shared" si="583"/>
        <v>0</v>
      </c>
      <c r="W1981" t="s">
        <v>58</v>
      </c>
      <c r="X1981">
        <f t="shared" si="584"/>
        <v>0</v>
      </c>
      <c r="Y1981">
        <f t="shared" si="585"/>
        <v>1</v>
      </c>
      <c r="Z1981">
        <v>4</v>
      </c>
      <c r="AA1981">
        <f t="shared" si="586"/>
        <v>0.75</v>
      </c>
      <c r="AB1981" t="s">
        <v>46</v>
      </c>
      <c r="AC1981">
        <f t="shared" si="587"/>
        <v>0</v>
      </c>
      <c r="AD1981">
        <f t="shared" si="588"/>
        <v>0</v>
      </c>
      <c r="AE1981" t="s">
        <v>41</v>
      </c>
      <c r="AF1981">
        <f>IF(AE1981="website",1,0)</f>
        <v>1</v>
      </c>
    </row>
    <row r="1982" spans="1:32">
      <c r="A1982" t="s">
        <v>2635</v>
      </c>
      <c r="B1982" t="s">
        <v>33</v>
      </c>
      <c r="C1982" s="3">
        <f t="shared" si="570"/>
        <v>0</v>
      </c>
      <c r="D1982">
        <f t="shared" si="571"/>
        <v>1</v>
      </c>
      <c r="E1982" t="s">
        <v>581</v>
      </c>
      <c r="F1982" t="s">
        <v>882</v>
      </c>
      <c r="G1982" s="1">
        <v>33947</v>
      </c>
      <c r="H1982" s="2">
        <f t="shared" ca="1" si="572"/>
        <v>33</v>
      </c>
      <c r="I1982" s="2">
        <f t="shared" ca="1" si="573"/>
        <v>0.11428571428571428</v>
      </c>
      <c r="J1982" t="s">
        <v>36</v>
      </c>
      <c r="K1982" t="s">
        <v>65</v>
      </c>
      <c r="L1982">
        <f t="shared" si="574"/>
        <v>0</v>
      </c>
      <c r="M1982">
        <f t="shared" si="575"/>
        <v>1</v>
      </c>
      <c r="N1982">
        <f t="shared" si="576"/>
        <v>0</v>
      </c>
      <c r="O1982" t="s">
        <v>66</v>
      </c>
      <c r="P1982">
        <f t="shared" si="577"/>
        <v>0</v>
      </c>
      <c r="Q1982">
        <f t="shared" si="578"/>
        <v>0</v>
      </c>
      <c r="R1982">
        <f t="shared" si="579"/>
        <v>1</v>
      </c>
      <c r="S1982">
        <f t="shared" si="580"/>
        <v>0</v>
      </c>
      <c r="T1982">
        <f t="shared" si="581"/>
        <v>0</v>
      </c>
      <c r="U1982">
        <f t="shared" si="582"/>
        <v>0</v>
      </c>
      <c r="V1982">
        <f t="shared" si="583"/>
        <v>0</v>
      </c>
      <c r="W1982" t="s">
        <v>39</v>
      </c>
      <c r="X1982">
        <f t="shared" si="584"/>
        <v>1</v>
      </c>
      <c r="Y1982">
        <f t="shared" si="585"/>
        <v>0</v>
      </c>
      <c r="Z1982">
        <v>5</v>
      </c>
      <c r="AA1982">
        <f t="shared" si="586"/>
        <v>1</v>
      </c>
      <c r="AB1982" t="s">
        <v>46</v>
      </c>
      <c r="AC1982">
        <f t="shared" si="587"/>
        <v>1</v>
      </c>
      <c r="AD1982">
        <f t="shared" si="588"/>
        <v>0</v>
      </c>
      <c r="AE1982" t="s">
        <v>50</v>
      </c>
      <c r="AF1982">
        <f>IF(AE1982="website",1,0)</f>
        <v>0</v>
      </c>
    </row>
    <row r="1983" spans="1:32">
      <c r="A1983" t="s">
        <v>2636</v>
      </c>
      <c r="B1983" t="s">
        <v>33</v>
      </c>
      <c r="C1983" s="3">
        <f t="shared" si="570"/>
        <v>0</v>
      </c>
      <c r="D1983">
        <f t="shared" si="571"/>
        <v>1</v>
      </c>
      <c r="E1983" t="s">
        <v>609</v>
      </c>
      <c r="F1983" t="s">
        <v>738</v>
      </c>
      <c r="G1983" s="1">
        <v>17415</v>
      </c>
      <c r="H1983" s="2">
        <f t="shared" ca="1" si="572"/>
        <v>79</v>
      </c>
      <c r="I1983" s="2">
        <f t="shared" ca="1" si="573"/>
        <v>0.77142857142857146</v>
      </c>
      <c r="J1983" t="s">
        <v>45</v>
      </c>
      <c r="K1983" t="s">
        <v>37</v>
      </c>
      <c r="L1983">
        <f t="shared" si="574"/>
        <v>1</v>
      </c>
      <c r="M1983">
        <f t="shared" si="575"/>
        <v>0</v>
      </c>
      <c r="N1983">
        <f t="shared" si="576"/>
        <v>0</v>
      </c>
      <c r="O1983" t="s">
        <v>38</v>
      </c>
      <c r="P1983">
        <f t="shared" si="577"/>
        <v>1</v>
      </c>
      <c r="Q1983">
        <f t="shared" si="578"/>
        <v>0</v>
      </c>
      <c r="R1983">
        <f t="shared" si="579"/>
        <v>0</v>
      </c>
      <c r="S1983">
        <f t="shared" si="580"/>
        <v>0</v>
      </c>
      <c r="T1983">
        <f t="shared" si="581"/>
        <v>0</v>
      </c>
      <c r="U1983">
        <f t="shared" si="582"/>
        <v>0</v>
      </c>
      <c r="V1983">
        <f t="shared" si="583"/>
        <v>0</v>
      </c>
      <c r="W1983" t="s">
        <v>39</v>
      </c>
      <c r="X1983">
        <f t="shared" si="584"/>
        <v>1</v>
      </c>
      <c r="Y1983">
        <f t="shared" si="585"/>
        <v>0</v>
      </c>
      <c r="Z1983">
        <v>4</v>
      </c>
      <c r="AA1983">
        <f t="shared" si="586"/>
        <v>0.75</v>
      </c>
      <c r="AB1983" t="s">
        <v>40</v>
      </c>
      <c r="AC1983">
        <f t="shared" si="587"/>
        <v>0</v>
      </c>
      <c r="AD1983">
        <f t="shared" si="588"/>
        <v>0</v>
      </c>
      <c r="AE1983" t="s">
        <v>41</v>
      </c>
      <c r="AF1983">
        <f>IF(AE1983="website",1,0)</f>
        <v>1</v>
      </c>
    </row>
    <row r="1984" spans="1:32">
      <c r="A1984" t="s">
        <v>2637</v>
      </c>
      <c r="B1984" t="s">
        <v>33</v>
      </c>
      <c r="C1984" s="3">
        <f t="shared" si="570"/>
        <v>0</v>
      </c>
      <c r="D1984">
        <f t="shared" si="571"/>
        <v>1</v>
      </c>
      <c r="E1984" t="s">
        <v>635</v>
      </c>
      <c r="F1984" t="s">
        <v>885</v>
      </c>
      <c r="G1984" s="1">
        <v>22353</v>
      </c>
      <c r="H1984" s="2">
        <f t="shared" ca="1" si="572"/>
        <v>65</v>
      </c>
      <c r="I1984" s="2">
        <f t="shared" ca="1" si="573"/>
        <v>0.5714285714285714</v>
      </c>
      <c r="J1984" t="s">
        <v>45</v>
      </c>
      <c r="K1984" t="s">
        <v>248</v>
      </c>
      <c r="L1984">
        <f t="shared" si="574"/>
        <v>0</v>
      </c>
      <c r="M1984">
        <f t="shared" si="575"/>
        <v>0</v>
      </c>
      <c r="N1984">
        <f t="shared" si="576"/>
        <v>0</v>
      </c>
      <c r="O1984" t="s">
        <v>249</v>
      </c>
      <c r="P1984">
        <f t="shared" si="577"/>
        <v>0</v>
      </c>
      <c r="Q1984">
        <f t="shared" si="578"/>
        <v>0</v>
      </c>
      <c r="R1984">
        <f t="shared" si="579"/>
        <v>0</v>
      </c>
      <c r="S1984">
        <f t="shared" si="580"/>
        <v>0</v>
      </c>
      <c r="T1984">
        <f t="shared" si="581"/>
        <v>0</v>
      </c>
      <c r="U1984">
        <f t="shared" si="582"/>
        <v>0</v>
      </c>
      <c r="V1984">
        <f t="shared" si="583"/>
        <v>0</v>
      </c>
      <c r="W1984" t="s">
        <v>39</v>
      </c>
      <c r="X1984">
        <f t="shared" si="584"/>
        <v>1</v>
      </c>
      <c r="Y1984">
        <f t="shared" si="585"/>
        <v>0</v>
      </c>
      <c r="Z1984">
        <v>3</v>
      </c>
      <c r="AA1984">
        <f t="shared" si="586"/>
        <v>0.5</v>
      </c>
      <c r="AB1984" t="s">
        <v>46</v>
      </c>
      <c r="AC1984">
        <f t="shared" si="587"/>
        <v>0</v>
      </c>
      <c r="AD1984">
        <f t="shared" si="588"/>
        <v>0</v>
      </c>
      <c r="AE1984" t="s">
        <v>41</v>
      </c>
      <c r="AF1984">
        <f>IF(AE1984="website",1,0)</f>
        <v>1</v>
      </c>
    </row>
    <row r="1985" spans="1:32">
      <c r="A1985" t="s">
        <v>2638</v>
      </c>
      <c r="B1985" t="s">
        <v>33</v>
      </c>
      <c r="C1985" s="3">
        <f t="shared" si="570"/>
        <v>0</v>
      </c>
      <c r="D1985">
        <f t="shared" si="571"/>
        <v>1</v>
      </c>
      <c r="E1985" t="s">
        <v>875</v>
      </c>
      <c r="F1985" t="s">
        <v>825</v>
      </c>
      <c r="G1985" s="1">
        <v>20746</v>
      </c>
      <c r="H1985" s="2">
        <f t="shared" ca="1" si="572"/>
        <v>69</v>
      </c>
      <c r="I1985" s="2">
        <f t="shared" ca="1" si="573"/>
        <v>0.62857142857142856</v>
      </c>
      <c r="J1985" t="s">
        <v>45</v>
      </c>
      <c r="K1985" t="s">
        <v>37</v>
      </c>
      <c r="L1985">
        <f t="shared" si="574"/>
        <v>1</v>
      </c>
      <c r="M1985">
        <f t="shared" si="575"/>
        <v>0</v>
      </c>
      <c r="N1985">
        <f t="shared" si="576"/>
        <v>0</v>
      </c>
      <c r="O1985" t="s">
        <v>38</v>
      </c>
      <c r="P1985">
        <f t="shared" si="577"/>
        <v>1</v>
      </c>
      <c r="Q1985">
        <f t="shared" si="578"/>
        <v>0</v>
      </c>
      <c r="R1985">
        <f t="shared" si="579"/>
        <v>0</v>
      </c>
      <c r="S1985">
        <f t="shared" si="580"/>
        <v>0</v>
      </c>
      <c r="T1985">
        <f t="shared" si="581"/>
        <v>0</v>
      </c>
      <c r="U1985">
        <f t="shared" si="582"/>
        <v>0</v>
      </c>
      <c r="V1985">
        <f t="shared" si="583"/>
        <v>0</v>
      </c>
      <c r="W1985" t="s">
        <v>39</v>
      </c>
      <c r="X1985">
        <f t="shared" si="584"/>
        <v>1</v>
      </c>
      <c r="Y1985">
        <f t="shared" si="585"/>
        <v>0</v>
      </c>
      <c r="Z1985">
        <v>4</v>
      </c>
      <c r="AA1985">
        <f t="shared" si="586"/>
        <v>0.75</v>
      </c>
      <c r="AB1985" t="s">
        <v>46</v>
      </c>
      <c r="AC1985">
        <f t="shared" si="587"/>
        <v>0</v>
      </c>
      <c r="AD1985">
        <f t="shared" si="588"/>
        <v>0</v>
      </c>
      <c r="AE1985" t="s">
        <v>41</v>
      </c>
      <c r="AF1985">
        <f>IF(AE1985="website",1,0)</f>
        <v>1</v>
      </c>
    </row>
    <row r="1986" spans="1:32">
      <c r="A1986" t="s">
        <v>2639</v>
      </c>
      <c r="B1986" t="s">
        <v>33</v>
      </c>
      <c r="C1986" s="3">
        <f t="shared" ref="C1986:C2049" si="589">IF(B1986="company",1,0)</f>
        <v>0</v>
      </c>
      <c r="D1986">
        <f t="shared" ref="D1986:D2001" si="590">IF(B1986="individual",1,0)</f>
        <v>1</v>
      </c>
      <c r="E1986" t="s">
        <v>1032</v>
      </c>
      <c r="F1986" t="s">
        <v>818</v>
      </c>
      <c r="G1986" s="1">
        <v>23142</v>
      </c>
      <c r="H1986" s="2">
        <f t="shared" ref="H1986:H2049" ca="1" si="591">DATEDIF(G1986,TODAY(),"Y")</f>
        <v>63</v>
      </c>
      <c r="I1986" s="2">
        <f t="shared" ref="I1986:I2049" ca="1" si="592">(H1986-MIN(H:H))/(MAX(H:H)-MIN(H:H))</f>
        <v>0.54285714285714282</v>
      </c>
      <c r="J1986" t="s">
        <v>45</v>
      </c>
      <c r="K1986" t="s">
        <v>248</v>
      </c>
      <c r="L1986">
        <f t="shared" ref="L1986:L2049" si="593">IF(K1986="usa",1,0)</f>
        <v>0</v>
      </c>
      <c r="M1986">
        <f t="shared" ref="M1986:M2001" si="594">IF(K1986="canada",1,0)</f>
        <v>0</v>
      </c>
      <c r="N1986">
        <f t="shared" ref="N1986:N2001" si="595">IF(K1986="germany",1,0)</f>
        <v>0</v>
      </c>
      <c r="O1986" t="s">
        <v>411</v>
      </c>
      <c r="P1986">
        <f t="shared" ref="P1986:P2049" si="596">IF(O1986="california",1,0)</f>
        <v>0</v>
      </c>
      <c r="Q1986">
        <f t="shared" ref="Q1986:Q2001" si="597">IF(O1986="oregon",1,0)</f>
        <v>0</v>
      </c>
      <c r="R1986">
        <f t="shared" ref="R1986:R2001" si="598">IF(O1986="quebec",1,0)</f>
        <v>0</v>
      </c>
      <c r="S1986">
        <f t="shared" ref="S1986:S2001" si="599">IF(O1986="berlin",1,0)</f>
        <v>0</v>
      </c>
      <c r="T1986">
        <f t="shared" ref="T1986:T2001" si="600">IF(O1986="arizona",1,0)</f>
        <v>0</v>
      </c>
      <c r="U1986">
        <f t="shared" ref="U1986:U2001" si="601">IF(O1986="nevada",1,0)</f>
        <v>0</v>
      </c>
      <c r="V1986">
        <f t="shared" ref="V1986:V2001" si="602">IF(O1986="colardo",1,0)</f>
        <v>0</v>
      </c>
      <c r="W1986" t="s">
        <v>39</v>
      </c>
      <c r="X1986">
        <f t="shared" ref="X1986:X2049" si="603">IF(W1986="home",1,0)</f>
        <v>1</v>
      </c>
      <c r="Y1986">
        <f t="shared" ref="Y1986:Y2001" si="604">IF(W1986="investment",1,0)</f>
        <v>0</v>
      </c>
      <c r="Z1986">
        <v>1</v>
      </c>
      <c r="AA1986">
        <f t="shared" ref="AA1986:AA2049" si="605">(Z1986-1)/4</f>
        <v>0</v>
      </c>
      <c r="AB1986" t="s">
        <v>40</v>
      </c>
      <c r="AC1986">
        <f t="shared" ref="AC1986:AC2001" si="606">IF(AE1986="agency",1,0)</f>
        <v>1</v>
      </c>
      <c r="AD1986">
        <f t="shared" ref="AD1986:AD2001" si="607">IF(AE1986="client",1,0)</f>
        <v>0</v>
      </c>
      <c r="AE1986" t="s">
        <v>50</v>
      </c>
      <c r="AF1986">
        <f>IF(AE1986="website",1,0)</f>
        <v>0</v>
      </c>
    </row>
    <row r="1987" spans="1:32">
      <c r="A1987" t="s">
        <v>2640</v>
      </c>
      <c r="B1987" t="s">
        <v>33</v>
      </c>
      <c r="C1987" s="3">
        <f t="shared" si="589"/>
        <v>0</v>
      </c>
      <c r="D1987">
        <f t="shared" si="590"/>
        <v>1</v>
      </c>
      <c r="E1987" t="s">
        <v>1041</v>
      </c>
      <c r="F1987" t="s">
        <v>928</v>
      </c>
      <c r="G1987" s="1">
        <v>28238</v>
      </c>
      <c r="H1987" s="2">
        <f t="shared" ca="1" si="591"/>
        <v>49</v>
      </c>
      <c r="I1987" s="2">
        <f t="shared" ca="1" si="592"/>
        <v>0.34285714285714286</v>
      </c>
      <c r="J1987" t="s">
        <v>45</v>
      </c>
      <c r="K1987" t="s">
        <v>37</v>
      </c>
      <c r="L1987">
        <f t="shared" si="593"/>
        <v>1</v>
      </c>
      <c r="M1987">
        <f t="shared" si="594"/>
        <v>0</v>
      </c>
      <c r="N1987">
        <f t="shared" si="595"/>
        <v>0</v>
      </c>
      <c r="O1987" t="s">
        <v>717</v>
      </c>
      <c r="P1987">
        <f t="shared" si="596"/>
        <v>0</v>
      </c>
      <c r="Q1987">
        <f t="shared" si="597"/>
        <v>0</v>
      </c>
      <c r="R1987">
        <f t="shared" si="598"/>
        <v>0</v>
      </c>
      <c r="S1987">
        <f t="shared" si="599"/>
        <v>0</v>
      </c>
      <c r="T1987">
        <f t="shared" si="600"/>
        <v>0</v>
      </c>
      <c r="U1987">
        <f t="shared" si="601"/>
        <v>0</v>
      </c>
      <c r="V1987">
        <f t="shared" si="602"/>
        <v>0</v>
      </c>
      <c r="W1987" t="s">
        <v>58</v>
      </c>
      <c r="X1987">
        <f t="shared" si="603"/>
        <v>0</v>
      </c>
      <c r="Y1987">
        <f t="shared" si="604"/>
        <v>1</v>
      </c>
      <c r="Z1987">
        <v>1</v>
      </c>
      <c r="AA1987">
        <f t="shared" si="605"/>
        <v>0</v>
      </c>
      <c r="AB1987" t="s">
        <v>46</v>
      </c>
      <c r="AC1987">
        <f t="shared" si="606"/>
        <v>0</v>
      </c>
      <c r="AD1987">
        <f t="shared" si="607"/>
        <v>0</v>
      </c>
      <c r="AE1987" t="s">
        <v>41</v>
      </c>
      <c r="AF1987">
        <f>IF(AE1987="website",1,0)</f>
        <v>1</v>
      </c>
    </row>
    <row r="1988" spans="1:32">
      <c r="A1988" t="s">
        <v>2641</v>
      </c>
      <c r="B1988" t="s">
        <v>33</v>
      </c>
      <c r="C1988" s="3">
        <f t="shared" si="589"/>
        <v>0</v>
      </c>
      <c r="D1988">
        <f t="shared" si="590"/>
        <v>1</v>
      </c>
      <c r="E1988" t="s">
        <v>965</v>
      </c>
      <c r="F1988" t="s">
        <v>840</v>
      </c>
      <c r="G1988" s="1">
        <v>31703</v>
      </c>
      <c r="H1988" s="2">
        <f t="shared" ca="1" si="591"/>
        <v>39</v>
      </c>
      <c r="I1988" s="2">
        <f t="shared" ca="1" si="592"/>
        <v>0.2</v>
      </c>
      <c r="J1988" t="s">
        <v>45</v>
      </c>
      <c r="K1988" t="s">
        <v>153</v>
      </c>
      <c r="L1988">
        <f t="shared" si="593"/>
        <v>0</v>
      </c>
      <c r="M1988">
        <f t="shared" si="594"/>
        <v>0</v>
      </c>
      <c r="N1988">
        <f t="shared" si="595"/>
        <v>0</v>
      </c>
      <c r="O1988" t="s">
        <v>945</v>
      </c>
      <c r="P1988">
        <f t="shared" si="596"/>
        <v>0</v>
      </c>
      <c r="Q1988">
        <f t="shared" si="597"/>
        <v>0</v>
      </c>
      <c r="R1988">
        <f t="shared" si="598"/>
        <v>0</v>
      </c>
      <c r="S1988">
        <f t="shared" si="599"/>
        <v>0</v>
      </c>
      <c r="T1988">
        <f t="shared" si="600"/>
        <v>0</v>
      </c>
      <c r="U1988">
        <f t="shared" si="601"/>
        <v>0</v>
      </c>
      <c r="V1988">
        <f t="shared" si="602"/>
        <v>0</v>
      </c>
      <c r="W1988" t="s">
        <v>58</v>
      </c>
      <c r="X1988">
        <f t="shared" si="603"/>
        <v>0</v>
      </c>
      <c r="Y1988">
        <f t="shared" si="604"/>
        <v>1</v>
      </c>
      <c r="Z1988">
        <v>5</v>
      </c>
      <c r="AA1988">
        <f t="shared" si="605"/>
        <v>1</v>
      </c>
      <c r="AB1988" t="s">
        <v>46</v>
      </c>
      <c r="AC1988">
        <f t="shared" si="606"/>
        <v>0</v>
      </c>
      <c r="AD1988">
        <f t="shared" si="607"/>
        <v>0</v>
      </c>
      <c r="AE1988" t="s">
        <v>41</v>
      </c>
      <c r="AF1988">
        <f>IF(AE1988="website",1,0)</f>
        <v>1</v>
      </c>
    </row>
    <row r="1989" spans="1:32">
      <c r="A1989" t="s">
        <v>2642</v>
      </c>
      <c r="B1989" t="s">
        <v>33</v>
      </c>
      <c r="C1989" s="3">
        <f t="shared" si="589"/>
        <v>0</v>
      </c>
      <c r="D1989">
        <f t="shared" si="590"/>
        <v>1</v>
      </c>
      <c r="E1989" t="s">
        <v>226</v>
      </c>
      <c r="F1989" t="s">
        <v>798</v>
      </c>
      <c r="G1989" s="1">
        <v>34596</v>
      </c>
      <c r="H1989" s="2">
        <f t="shared" ca="1" si="591"/>
        <v>32</v>
      </c>
      <c r="I1989" s="2">
        <f t="shared" ca="1" si="592"/>
        <v>0.1</v>
      </c>
      <c r="J1989" t="s">
        <v>45</v>
      </c>
      <c r="K1989" t="s">
        <v>37</v>
      </c>
      <c r="L1989">
        <f t="shared" si="593"/>
        <v>1</v>
      </c>
      <c r="M1989">
        <f t="shared" si="594"/>
        <v>0</v>
      </c>
      <c r="N1989">
        <f t="shared" si="595"/>
        <v>0</v>
      </c>
      <c r="O1989" t="s">
        <v>38</v>
      </c>
      <c r="P1989">
        <f t="shared" si="596"/>
        <v>1</v>
      </c>
      <c r="Q1989">
        <f t="shared" si="597"/>
        <v>0</v>
      </c>
      <c r="R1989">
        <f t="shared" si="598"/>
        <v>0</v>
      </c>
      <c r="S1989">
        <f t="shared" si="599"/>
        <v>0</v>
      </c>
      <c r="T1989">
        <f t="shared" si="600"/>
        <v>0</v>
      </c>
      <c r="U1989">
        <f t="shared" si="601"/>
        <v>0</v>
      </c>
      <c r="V1989">
        <f t="shared" si="602"/>
        <v>0</v>
      </c>
      <c r="W1989" t="s">
        <v>39</v>
      </c>
      <c r="X1989">
        <f t="shared" si="603"/>
        <v>1</v>
      </c>
      <c r="Y1989">
        <f t="shared" si="604"/>
        <v>0</v>
      </c>
      <c r="Z1989">
        <v>5</v>
      </c>
      <c r="AA1989">
        <f t="shared" si="605"/>
        <v>1</v>
      </c>
      <c r="AB1989" t="s">
        <v>40</v>
      </c>
      <c r="AC1989">
        <f t="shared" si="606"/>
        <v>0</v>
      </c>
      <c r="AD1989">
        <f t="shared" si="607"/>
        <v>0</v>
      </c>
      <c r="AE1989" t="s">
        <v>41</v>
      </c>
      <c r="AF1989">
        <f>IF(AE1989="website",1,0)</f>
        <v>1</v>
      </c>
    </row>
    <row r="1990" spans="1:32">
      <c r="A1990" t="s">
        <v>2643</v>
      </c>
      <c r="B1990" t="s">
        <v>33</v>
      </c>
      <c r="C1990" s="3">
        <f t="shared" si="589"/>
        <v>0</v>
      </c>
      <c r="D1990">
        <f t="shared" si="590"/>
        <v>1</v>
      </c>
      <c r="E1990" t="s">
        <v>683</v>
      </c>
      <c r="F1990" t="s">
        <v>748</v>
      </c>
      <c r="G1990" s="1">
        <v>21873</v>
      </c>
      <c r="H1990" s="2">
        <f t="shared" ca="1" si="591"/>
        <v>66</v>
      </c>
      <c r="I1990" s="2">
        <f t="shared" ca="1" si="592"/>
        <v>0.58571428571428574</v>
      </c>
      <c r="J1990" t="s">
        <v>45</v>
      </c>
      <c r="K1990" t="s">
        <v>37</v>
      </c>
      <c r="L1990">
        <f t="shared" si="593"/>
        <v>1</v>
      </c>
      <c r="M1990">
        <f t="shared" si="594"/>
        <v>0</v>
      </c>
      <c r="N1990">
        <f t="shared" si="595"/>
        <v>0</v>
      </c>
      <c r="O1990" t="s">
        <v>592</v>
      </c>
      <c r="P1990">
        <f t="shared" si="596"/>
        <v>0</v>
      </c>
      <c r="Q1990">
        <f t="shared" si="597"/>
        <v>0</v>
      </c>
      <c r="R1990">
        <f t="shared" si="598"/>
        <v>0</v>
      </c>
      <c r="S1990">
        <f t="shared" si="599"/>
        <v>0</v>
      </c>
      <c r="T1990">
        <f t="shared" si="600"/>
        <v>0</v>
      </c>
      <c r="U1990">
        <f t="shared" si="601"/>
        <v>0</v>
      </c>
      <c r="V1990">
        <f t="shared" si="602"/>
        <v>0</v>
      </c>
      <c r="W1990" t="s">
        <v>39</v>
      </c>
      <c r="X1990">
        <f t="shared" si="603"/>
        <v>1</v>
      </c>
      <c r="Y1990">
        <f t="shared" si="604"/>
        <v>0</v>
      </c>
      <c r="Z1990">
        <v>3</v>
      </c>
      <c r="AA1990">
        <f t="shared" si="605"/>
        <v>0.5</v>
      </c>
      <c r="AB1990" t="s">
        <v>46</v>
      </c>
      <c r="AC1990">
        <f t="shared" si="606"/>
        <v>1</v>
      </c>
      <c r="AD1990">
        <f t="shared" si="607"/>
        <v>0</v>
      </c>
      <c r="AE1990" t="s">
        <v>50</v>
      </c>
      <c r="AF1990">
        <f>IF(AE1990="website",1,0)</f>
        <v>0</v>
      </c>
    </row>
    <row r="1991" spans="1:32">
      <c r="A1991" t="s">
        <v>2644</v>
      </c>
      <c r="B1991" t="s">
        <v>33</v>
      </c>
      <c r="C1991" s="3">
        <f t="shared" si="589"/>
        <v>0</v>
      </c>
      <c r="D1991">
        <f t="shared" si="590"/>
        <v>1</v>
      </c>
      <c r="E1991" t="s">
        <v>941</v>
      </c>
      <c r="F1991" t="s">
        <v>339</v>
      </c>
      <c r="G1991" s="1">
        <v>28092</v>
      </c>
      <c r="H1991" s="2">
        <f t="shared" ca="1" si="591"/>
        <v>49</v>
      </c>
      <c r="I1991" s="2">
        <f t="shared" ca="1" si="592"/>
        <v>0.34285714285714286</v>
      </c>
      <c r="J1991" t="s">
        <v>45</v>
      </c>
      <c r="K1991" t="s">
        <v>37</v>
      </c>
      <c r="L1991">
        <f t="shared" si="593"/>
        <v>1</v>
      </c>
      <c r="M1991">
        <f t="shared" si="594"/>
        <v>0</v>
      </c>
      <c r="N1991">
        <f t="shared" si="595"/>
        <v>0</v>
      </c>
      <c r="O1991" t="s">
        <v>592</v>
      </c>
      <c r="P1991">
        <f t="shared" si="596"/>
        <v>0</v>
      </c>
      <c r="Q1991">
        <f t="shared" si="597"/>
        <v>0</v>
      </c>
      <c r="R1991">
        <f t="shared" si="598"/>
        <v>0</v>
      </c>
      <c r="S1991">
        <f t="shared" si="599"/>
        <v>0</v>
      </c>
      <c r="T1991">
        <f t="shared" si="600"/>
        <v>0</v>
      </c>
      <c r="U1991">
        <f t="shared" si="601"/>
        <v>0</v>
      </c>
      <c r="V1991">
        <f t="shared" si="602"/>
        <v>0</v>
      </c>
      <c r="W1991" t="s">
        <v>58</v>
      </c>
      <c r="X1991">
        <f t="shared" si="603"/>
        <v>0</v>
      </c>
      <c r="Y1991">
        <f t="shared" si="604"/>
        <v>1</v>
      </c>
      <c r="Z1991">
        <v>5</v>
      </c>
      <c r="AA1991">
        <f t="shared" si="605"/>
        <v>1</v>
      </c>
      <c r="AB1991" t="s">
        <v>46</v>
      </c>
      <c r="AC1991">
        <f t="shared" si="606"/>
        <v>1</v>
      </c>
      <c r="AD1991">
        <f t="shared" si="607"/>
        <v>0</v>
      </c>
      <c r="AE1991" t="s">
        <v>50</v>
      </c>
      <c r="AF1991">
        <f>IF(AE1991="website",1,0)</f>
        <v>0</v>
      </c>
    </row>
    <row r="1992" spans="1:32">
      <c r="A1992" t="s">
        <v>2645</v>
      </c>
      <c r="B1992" t="s">
        <v>33</v>
      </c>
      <c r="C1992" s="3">
        <f t="shared" si="589"/>
        <v>0</v>
      </c>
      <c r="D1992">
        <f t="shared" si="590"/>
        <v>1</v>
      </c>
      <c r="E1992" t="s">
        <v>811</v>
      </c>
      <c r="F1992" t="s">
        <v>885</v>
      </c>
      <c r="G1992" s="1">
        <v>18453</v>
      </c>
      <c r="H1992" s="2">
        <f t="shared" ca="1" si="591"/>
        <v>76</v>
      </c>
      <c r="I1992" s="2">
        <f t="shared" ca="1" si="592"/>
        <v>0.72857142857142854</v>
      </c>
      <c r="J1992" t="s">
        <v>36</v>
      </c>
      <c r="K1992" t="s">
        <v>37</v>
      </c>
      <c r="L1992">
        <f t="shared" si="593"/>
        <v>1</v>
      </c>
      <c r="M1992">
        <f t="shared" si="594"/>
        <v>0</v>
      </c>
      <c r="N1992">
        <f t="shared" si="595"/>
        <v>0</v>
      </c>
      <c r="O1992" t="s">
        <v>38</v>
      </c>
      <c r="P1992">
        <f t="shared" si="596"/>
        <v>1</v>
      </c>
      <c r="Q1992">
        <f t="shared" si="597"/>
        <v>0</v>
      </c>
      <c r="R1992">
        <f t="shared" si="598"/>
        <v>0</v>
      </c>
      <c r="S1992">
        <f t="shared" si="599"/>
        <v>0</v>
      </c>
      <c r="T1992">
        <f t="shared" si="600"/>
        <v>0</v>
      </c>
      <c r="U1992">
        <f t="shared" si="601"/>
        <v>0</v>
      </c>
      <c r="V1992">
        <f t="shared" si="602"/>
        <v>0</v>
      </c>
      <c r="W1992" t="s">
        <v>39</v>
      </c>
      <c r="X1992">
        <f t="shared" si="603"/>
        <v>1</v>
      </c>
      <c r="Y1992">
        <f t="shared" si="604"/>
        <v>0</v>
      </c>
      <c r="Z1992">
        <v>3</v>
      </c>
      <c r="AA1992">
        <f t="shared" si="605"/>
        <v>0.5</v>
      </c>
      <c r="AB1992" t="s">
        <v>46</v>
      </c>
      <c r="AC1992">
        <f t="shared" si="606"/>
        <v>0</v>
      </c>
      <c r="AD1992">
        <f t="shared" si="607"/>
        <v>0</v>
      </c>
      <c r="AE1992" t="s">
        <v>41</v>
      </c>
      <c r="AF1992">
        <f>IF(AE1992="website",1,0)</f>
        <v>1</v>
      </c>
    </row>
    <row r="1993" spans="1:32">
      <c r="A1993" t="s">
        <v>2646</v>
      </c>
      <c r="B1993" t="s">
        <v>33</v>
      </c>
      <c r="C1993" s="3">
        <f t="shared" si="589"/>
        <v>0</v>
      </c>
      <c r="D1993">
        <f t="shared" si="590"/>
        <v>1</v>
      </c>
      <c r="E1993" t="s">
        <v>476</v>
      </c>
      <c r="F1993" t="s">
        <v>513</v>
      </c>
      <c r="G1993" s="1">
        <v>15725</v>
      </c>
      <c r="H1993" s="2">
        <f t="shared" ca="1" si="591"/>
        <v>83</v>
      </c>
      <c r="I1993" s="2">
        <f t="shared" ca="1" si="592"/>
        <v>0.82857142857142863</v>
      </c>
      <c r="J1993" t="s">
        <v>36</v>
      </c>
      <c r="K1993" t="s">
        <v>37</v>
      </c>
      <c r="L1993">
        <f t="shared" si="593"/>
        <v>1</v>
      </c>
      <c r="M1993">
        <f t="shared" si="594"/>
        <v>0</v>
      </c>
      <c r="N1993">
        <f t="shared" si="595"/>
        <v>0</v>
      </c>
      <c r="O1993" t="s">
        <v>592</v>
      </c>
      <c r="P1993">
        <f t="shared" si="596"/>
        <v>0</v>
      </c>
      <c r="Q1993">
        <f t="shared" si="597"/>
        <v>0</v>
      </c>
      <c r="R1993">
        <f t="shared" si="598"/>
        <v>0</v>
      </c>
      <c r="S1993">
        <f t="shared" si="599"/>
        <v>0</v>
      </c>
      <c r="T1993">
        <f t="shared" si="600"/>
        <v>0</v>
      </c>
      <c r="U1993">
        <f t="shared" si="601"/>
        <v>0</v>
      </c>
      <c r="V1993">
        <f t="shared" si="602"/>
        <v>0</v>
      </c>
      <c r="W1993" t="s">
        <v>39</v>
      </c>
      <c r="X1993">
        <f t="shared" si="603"/>
        <v>1</v>
      </c>
      <c r="Y1993">
        <f t="shared" si="604"/>
        <v>0</v>
      </c>
      <c r="Z1993">
        <v>3</v>
      </c>
      <c r="AA1993">
        <f t="shared" si="605"/>
        <v>0.5</v>
      </c>
      <c r="AB1993" t="s">
        <v>40</v>
      </c>
      <c r="AC1993">
        <f t="shared" si="606"/>
        <v>0</v>
      </c>
      <c r="AD1993">
        <f t="shared" si="607"/>
        <v>0</v>
      </c>
      <c r="AE1993" t="s">
        <v>41</v>
      </c>
      <c r="AF1993">
        <f>IF(AE1993="website",1,0)</f>
        <v>1</v>
      </c>
    </row>
    <row r="1994" spans="1:32">
      <c r="A1994" t="s">
        <v>2647</v>
      </c>
      <c r="B1994" t="s">
        <v>33</v>
      </c>
      <c r="C1994" s="3">
        <f t="shared" si="589"/>
        <v>0</v>
      </c>
      <c r="D1994">
        <f t="shared" si="590"/>
        <v>1</v>
      </c>
      <c r="E1994" t="s">
        <v>965</v>
      </c>
      <c r="F1994" t="s">
        <v>798</v>
      </c>
      <c r="G1994" s="1">
        <v>31207</v>
      </c>
      <c r="H1994" s="2">
        <f t="shared" ca="1" si="591"/>
        <v>41</v>
      </c>
      <c r="I1994" s="2">
        <f t="shared" ca="1" si="592"/>
        <v>0.22857142857142856</v>
      </c>
      <c r="J1994" t="s">
        <v>45</v>
      </c>
      <c r="K1994" t="s">
        <v>37</v>
      </c>
      <c r="L1994">
        <f t="shared" si="593"/>
        <v>1</v>
      </c>
      <c r="M1994">
        <f t="shared" si="594"/>
        <v>0</v>
      </c>
      <c r="N1994">
        <f t="shared" si="595"/>
        <v>0</v>
      </c>
      <c r="O1994" t="s">
        <v>717</v>
      </c>
      <c r="P1994">
        <f t="shared" si="596"/>
        <v>0</v>
      </c>
      <c r="Q1994">
        <f t="shared" si="597"/>
        <v>0</v>
      </c>
      <c r="R1994">
        <f t="shared" si="598"/>
        <v>0</v>
      </c>
      <c r="S1994">
        <f t="shared" si="599"/>
        <v>0</v>
      </c>
      <c r="T1994">
        <f t="shared" si="600"/>
        <v>0</v>
      </c>
      <c r="U1994">
        <f t="shared" si="601"/>
        <v>0</v>
      </c>
      <c r="V1994">
        <f t="shared" si="602"/>
        <v>0</v>
      </c>
      <c r="W1994" t="s">
        <v>39</v>
      </c>
      <c r="X1994">
        <f t="shared" si="603"/>
        <v>1</v>
      </c>
      <c r="Y1994">
        <f t="shared" si="604"/>
        <v>0</v>
      </c>
      <c r="Z1994">
        <v>2</v>
      </c>
      <c r="AA1994">
        <f t="shared" si="605"/>
        <v>0.25</v>
      </c>
      <c r="AB1994" t="s">
        <v>46</v>
      </c>
      <c r="AC1994">
        <f t="shared" si="606"/>
        <v>0</v>
      </c>
      <c r="AD1994">
        <f t="shared" si="607"/>
        <v>0</v>
      </c>
      <c r="AE1994" t="s">
        <v>41</v>
      </c>
      <c r="AF1994">
        <f>IF(AE1994="website",1,0)</f>
        <v>1</v>
      </c>
    </row>
    <row r="1995" spans="1:32">
      <c r="A1995" t="s">
        <v>2648</v>
      </c>
      <c r="B1995" t="s">
        <v>33</v>
      </c>
      <c r="C1995" s="3">
        <f t="shared" si="589"/>
        <v>0</v>
      </c>
      <c r="D1995">
        <f t="shared" si="590"/>
        <v>1</v>
      </c>
      <c r="E1995" t="s">
        <v>976</v>
      </c>
      <c r="F1995" t="s">
        <v>364</v>
      </c>
      <c r="G1995" s="1">
        <v>34536</v>
      </c>
      <c r="H1995" s="2">
        <f t="shared" ca="1" si="591"/>
        <v>32</v>
      </c>
      <c r="I1995" s="2">
        <f t="shared" ca="1" si="592"/>
        <v>0.1</v>
      </c>
      <c r="J1995" t="s">
        <v>36</v>
      </c>
      <c r="K1995" t="s">
        <v>37</v>
      </c>
      <c r="L1995">
        <f t="shared" si="593"/>
        <v>1</v>
      </c>
      <c r="M1995">
        <f t="shared" si="594"/>
        <v>0</v>
      </c>
      <c r="N1995">
        <f t="shared" si="595"/>
        <v>0</v>
      </c>
      <c r="O1995" t="s">
        <v>76</v>
      </c>
      <c r="P1995">
        <f t="shared" si="596"/>
        <v>0</v>
      </c>
      <c r="Q1995">
        <f t="shared" si="597"/>
        <v>1</v>
      </c>
      <c r="R1995">
        <f t="shared" si="598"/>
        <v>0</v>
      </c>
      <c r="S1995">
        <f t="shared" si="599"/>
        <v>0</v>
      </c>
      <c r="T1995">
        <f t="shared" si="600"/>
        <v>0</v>
      </c>
      <c r="U1995">
        <f t="shared" si="601"/>
        <v>0</v>
      </c>
      <c r="V1995">
        <f t="shared" si="602"/>
        <v>0</v>
      </c>
      <c r="W1995" t="s">
        <v>58</v>
      </c>
      <c r="X1995">
        <f t="shared" si="603"/>
        <v>0</v>
      </c>
      <c r="Y1995">
        <f t="shared" si="604"/>
        <v>1</v>
      </c>
      <c r="Z1995">
        <v>3</v>
      </c>
      <c r="AA1995">
        <f t="shared" si="605"/>
        <v>0.5</v>
      </c>
      <c r="AB1995" t="s">
        <v>40</v>
      </c>
      <c r="AC1995">
        <f t="shared" si="606"/>
        <v>0</v>
      </c>
      <c r="AD1995">
        <f t="shared" si="607"/>
        <v>0</v>
      </c>
      <c r="AE1995" t="s">
        <v>41</v>
      </c>
      <c r="AF1995">
        <f>IF(AE1995="website",1,0)</f>
        <v>1</v>
      </c>
    </row>
    <row r="1996" spans="1:32">
      <c r="A1996" t="s">
        <v>2649</v>
      </c>
      <c r="B1996" t="s">
        <v>33</v>
      </c>
      <c r="C1996" s="3">
        <f t="shared" si="589"/>
        <v>0</v>
      </c>
      <c r="D1996">
        <f t="shared" si="590"/>
        <v>1</v>
      </c>
      <c r="E1996" t="s">
        <v>482</v>
      </c>
      <c r="F1996" t="s">
        <v>941</v>
      </c>
      <c r="G1996" s="1">
        <v>34033</v>
      </c>
      <c r="H1996" s="2">
        <f t="shared" ca="1" si="591"/>
        <v>33</v>
      </c>
      <c r="I1996" s="2">
        <f t="shared" ca="1" si="592"/>
        <v>0.11428571428571428</v>
      </c>
      <c r="J1996" t="s">
        <v>36</v>
      </c>
      <c r="K1996" t="s">
        <v>37</v>
      </c>
      <c r="L1996">
        <f t="shared" si="593"/>
        <v>1</v>
      </c>
      <c r="M1996">
        <f t="shared" si="594"/>
        <v>0</v>
      </c>
      <c r="N1996">
        <f t="shared" si="595"/>
        <v>0</v>
      </c>
      <c r="O1996" t="s">
        <v>38</v>
      </c>
      <c r="P1996">
        <f t="shared" si="596"/>
        <v>1</v>
      </c>
      <c r="Q1996">
        <f t="shared" si="597"/>
        <v>0</v>
      </c>
      <c r="R1996">
        <f t="shared" si="598"/>
        <v>0</v>
      </c>
      <c r="S1996">
        <f t="shared" si="599"/>
        <v>0</v>
      </c>
      <c r="T1996">
        <f t="shared" si="600"/>
        <v>0</v>
      </c>
      <c r="U1996">
        <f t="shared" si="601"/>
        <v>0</v>
      </c>
      <c r="V1996">
        <f t="shared" si="602"/>
        <v>0</v>
      </c>
      <c r="W1996" t="s">
        <v>58</v>
      </c>
      <c r="X1996">
        <f t="shared" si="603"/>
        <v>0</v>
      </c>
      <c r="Y1996">
        <f t="shared" si="604"/>
        <v>1</v>
      </c>
      <c r="Z1996">
        <v>4</v>
      </c>
      <c r="AA1996">
        <f t="shared" si="605"/>
        <v>0.75</v>
      </c>
      <c r="AB1996" t="s">
        <v>46</v>
      </c>
      <c r="AC1996">
        <f t="shared" si="606"/>
        <v>1</v>
      </c>
      <c r="AD1996">
        <f t="shared" si="607"/>
        <v>0</v>
      </c>
      <c r="AE1996" t="s">
        <v>50</v>
      </c>
      <c r="AF1996">
        <f>IF(AE1996="website",1,0)</f>
        <v>0</v>
      </c>
    </row>
    <row r="1997" spans="1:32">
      <c r="A1997" t="s">
        <v>2650</v>
      </c>
      <c r="B1997" t="s">
        <v>33</v>
      </c>
      <c r="C1997" s="3">
        <f t="shared" si="589"/>
        <v>0</v>
      </c>
      <c r="D1997">
        <f t="shared" si="590"/>
        <v>1</v>
      </c>
      <c r="E1997" t="s">
        <v>879</v>
      </c>
      <c r="F1997" t="s">
        <v>645</v>
      </c>
      <c r="G1997" s="1">
        <v>33775</v>
      </c>
      <c r="H1997" s="2">
        <f t="shared" ca="1" si="591"/>
        <v>34</v>
      </c>
      <c r="I1997" s="2">
        <f t="shared" ca="1" si="592"/>
        <v>0.12857142857142856</v>
      </c>
      <c r="J1997" t="s">
        <v>36</v>
      </c>
      <c r="K1997" t="s">
        <v>37</v>
      </c>
      <c r="L1997">
        <f t="shared" si="593"/>
        <v>1</v>
      </c>
      <c r="M1997">
        <f t="shared" si="594"/>
        <v>0</v>
      </c>
      <c r="N1997">
        <f t="shared" si="595"/>
        <v>0</v>
      </c>
      <c r="O1997" t="s">
        <v>124</v>
      </c>
      <c r="P1997">
        <f t="shared" si="596"/>
        <v>0</v>
      </c>
      <c r="Q1997">
        <f t="shared" si="597"/>
        <v>0</v>
      </c>
      <c r="R1997">
        <f t="shared" si="598"/>
        <v>0</v>
      </c>
      <c r="S1997">
        <f t="shared" si="599"/>
        <v>0</v>
      </c>
      <c r="T1997">
        <f t="shared" si="600"/>
        <v>0</v>
      </c>
      <c r="U1997">
        <f t="shared" si="601"/>
        <v>1</v>
      </c>
      <c r="V1997">
        <f t="shared" si="602"/>
        <v>0</v>
      </c>
      <c r="W1997" t="s">
        <v>39</v>
      </c>
      <c r="X1997">
        <f t="shared" si="603"/>
        <v>1</v>
      </c>
      <c r="Y1997">
        <f t="shared" si="604"/>
        <v>0</v>
      </c>
      <c r="Z1997">
        <v>1</v>
      </c>
      <c r="AA1997">
        <f t="shared" si="605"/>
        <v>0</v>
      </c>
      <c r="AB1997" t="s">
        <v>40</v>
      </c>
      <c r="AC1997">
        <f t="shared" si="606"/>
        <v>0</v>
      </c>
      <c r="AD1997">
        <f t="shared" si="607"/>
        <v>0</v>
      </c>
      <c r="AE1997" t="s">
        <v>41</v>
      </c>
      <c r="AF1997">
        <f>IF(AE1997="website",1,0)</f>
        <v>1</v>
      </c>
    </row>
    <row r="1998" spans="1:32">
      <c r="A1998" t="s">
        <v>2651</v>
      </c>
      <c r="B1998" t="s">
        <v>33</v>
      </c>
      <c r="C1998" s="3">
        <f t="shared" si="589"/>
        <v>0</v>
      </c>
      <c r="D1998">
        <f t="shared" si="590"/>
        <v>1</v>
      </c>
      <c r="E1998" t="s">
        <v>546</v>
      </c>
      <c r="F1998" t="s">
        <v>856</v>
      </c>
      <c r="G1998" s="1">
        <v>15611</v>
      </c>
      <c r="H1998" s="2">
        <f t="shared" ca="1" si="591"/>
        <v>84</v>
      </c>
      <c r="I1998" s="2">
        <f t="shared" ca="1" si="592"/>
        <v>0.84285714285714286</v>
      </c>
      <c r="J1998" t="s">
        <v>45</v>
      </c>
      <c r="K1998" t="s">
        <v>37</v>
      </c>
      <c r="L1998">
        <f t="shared" si="593"/>
        <v>1</v>
      </c>
      <c r="M1998">
        <f t="shared" si="594"/>
        <v>0</v>
      </c>
      <c r="N1998">
        <f t="shared" si="595"/>
        <v>0</v>
      </c>
      <c r="O1998" t="s">
        <v>97</v>
      </c>
      <c r="P1998">
        <f t="shared" si="596"/>
        <v>0</v>
      </c>
      <c r="Q1998">
        <f t="shared" si="597"/>
        <v>0</v>
      </c>
      <c r="R1998">
        <f t="shared" si="598"/>
        <v>0</v>
      </c>
      <c r="S1998">
        <f t="shared" si="599"/>
        <v>0</v>
      </c>
      <c r="T1998">
        <f t="shared" si="600"/>
        <v>1</v>
      </c>
      <c r="U1998">
        <f t="shared" si="601"/>
        <v>0</v>
      </c>
      <c r="V1998">
        <f t="shared" si="602"/>
        <v>0</v>
      </c>
      <c r="W1998" t="s">
        <v>39</v>
      </c>
      <c r="X1998">
        <f t="shared" si="603"/>
        <v>1</v>
      </c>
      <c r="Y1998">
        <f t="shared" si="604"/>
        <v>0</v>
      </c>
      <c r="Z1998">
        <v>4</v>
      </c>
      <c r="AA1998">
        <f t="shared" si="605"/>
        <v>0.75</v>
      </c>
      <c r="AB1998" t="s">
        <v>40</v>
      </c>
      <c r="AC1998">
        <f t="shared" si="606"/>
        <v>0</v>
      </c>
      <c r="AD1998">
        <f t="shared" si="607"/>
        <v>0</v>
      </c>
      <c r="AE1998" t="s">
        <v>41</v>
      </c>
      <c r="AF1998">
        <f>IF(AE1998="website",1,0)</f>
        <v>1</v>
      </c>
    </row>
    <row r="1999" spans="1:32">
      <c r="A1999" t="s">
        <v>2652</v>
      </c>
      <c r="B1999" t="s">
        <v>33</v>
      </c>
      <c r="C1999" s="3">
        <f t="shared" si="589"/>
        <v>0</v>
      </c>
      <c r="D1999">
        <f t="shared" si="590"/>
        <v>1</v>
      </c>
      <c r="E1999" t="s">
        <v>658</v>
      </c>
      <c r="F1999" t="s">
        <v>726</v>
      </c>
      <c r="G1999" s="1">
        <v>23267</v>
      </c>
      <c r="H1999" s="2">
        <f t="shared" ca="1" si="591"/>
        <v>63</v>
      </c>
      <c r="I1999" s="2">
        <f t="shared" ca="1" si="592"/>
        <v>0.54285714285714282</v>
      </c>
      <c r="J1999" t="s">
        <v>45</v>
      </c>
      <c r="K1999" t="s">
        <v>37</v>
      </c>
      <c r="L1999">
        <f t="shared" si="593"/>
        <v>1</v>
      </c>
      <c r="M1999">
        <f t="shared" si="594"/>
        <v>0</v>
      </c>
      <c r="N1999">
        <f t="shared" si="595"/>
        <v>0</v>
      </c>
      <c r="O1999" t="s">
        <v>305</v>
      </c>
      <c r="P1999">
        <f t="shared" si="596"/>
        <v>0</v>
      </c>
      <c r="Q1999">
        <f t="shared" si="597"/>
        <v>0</v>
      </c>
      <c r="R1999">
        <f t="shared" si="598"/>
        <v>0</v>
      </c>
      <c r="S1999">
        <f t="shared" si="599"/>
        <v>0</v>
      </c>
      <c r="T1999">
        <f t="shared" si="600"/>
        <v>0</v>
      </c>
      <c r="U1999">
        <f t="shared" si="601"/>
        <v>0</v>
      </c>
      <c r="V1999">
        <f t="shared" si="602"/>
        <v>0</v>
      </c>
      <c r="W1999" t="s">
        <v>39</v>
      </c>
      <c r="X1999">
        <f t="shared" si="603"/>
        <v>1</v>
      </c>
      <c r="Y1999">
        <f t="shared" si="604"/>
        <v>0</v>
      </c>
      <c r="Z1999">
        <v>5</v>
      </c>
      <c r="AA1999">
        <f t="shared" si="605"/>
        <v>1</v>
      </c>
      <c r="AB1999" t="s">
        <v>40</v>
      </c>
      <c r="AC1999">
        <f t="shared" si="606"/>
        <v>0</v>
      </c>
      <c r="AD1999">
        <f t="shared" si="607"/>
        <v>0</v>
      </c>
      <c r="AE1999" t="s">
        <v>41</v>
      </c>
      <c r="AF1999">
        <f>IF(AE1999="website",1,0)</f>
        <v>1</v>
      </c>
    </row>
    <row r="2000" spans="1:32">
      <c r="A2000" t="s">
        <v>2653</v>
      </c>
      <c r="B2000" t="s">
        <v>33</v>
      </c>
      <c r="C2000" s="3">
        <f t="shared" si="589"/>
        <v>0</v>
      </c>
      <c r="D2000">
        <f t="shared" si="590"/>
        <v>1</v>
      </c>
      <c r="E2000" t="s">
        <v>590</v>
      </c>
      <c r="F2000" t="s">
        <v>748</v>
      </c>
      <c r="G2000" s="1">
        <v>16238</v>
      </c>
      <c r="H2000" s="2">
        <f t="shared" ca="1" si="591"/>
        <v>82</v>
      </c>
      <c r="I2000" s="2">
        <f t="shared" ca="1" si="592"/>
        <v>0.81428571428571428</v>
      </c>
      <c r="J2000" t="s">
        <v>45</v>
      </c>
      <c r="K2000" t="s">
        <v>37</v>
      </c>
      <c r="L2000">
        <f t="shared" si="593"/>
        <v>1</v>
      </c>
      <c r="M2000">
        <f t="shared" si="594"/>
        <v>0</v>
      </c>
      <c r="N2000">
        <f t="shared" si="595"/>
        <v>0</v>
      </c>
      <c r="O2000" t="s">
        <v>559</v>
      </c>
      <c r="P2000">
        <f t="shared" si="596"/>
        <v>0</v>
      </c>
      <c r="Q2000">
        <f t="shared" si="597"/>
        <v>0</v>
      </c>
      <c r="R2000">
        <f t="shared" si="598"/>
        <v>0</v>
      </c>
      <c r="S2000">
        <f t="shared" si="599"/>
        <v>0</v>
      </c>
      <c r="T2000">
        <f t="shared" si="600"/>
        <v>0</v>
      </c>
      <c r="U2000">
        <f t="shared" si="601"/>
        <v>0</v>
      </c>
      <c r="V2000">
        <f t="shared" si="602"/>
        <v>0</v>
      </c>
      <c r="W2000" t="s">
        <v>39</v>
      </c>
      <c r="X2000">
        <f t="shared" si="603"/>
        <v>1</v>
      </c>
      <c r="Y2000">
        <f t="shared" si="604"/>
        <v>0</v>
      </c>
      <c r="Z2000">
        <v>4</v>
      </c>
      <c r="AA2000">
        <f t="shared" si="605"/>
        <v>0.75</v>
      </c>
      <c r="AB2000" t="s">
        <v>40</v>
      </c>
      <c r="AC2000">
        <f t="shared" si="606"/>
        <v>0</v>
      </c>
      <c r="AD2000">
        <f t="shared" si="607"/>
        <v>1</v>
      </c>
      <c r="AE2000" t="s">
        <v>90</v>
      </c>
      <c r="AF2000">
        <f>IF(AE2000="website",1,0)</f>
        <v>0</v>
      </c>
    </row>
    <row r="2001" spans="1:32">
      <c r="A2001" t="s">
        <v>2654</v>
      </c>
      <c r="B2001" t="s">
        <v>33</v>
      </c>
      <c r="C2001" s="3">
        <f t="shared" si="589"/>
        <v>0</v>
      </c>
      <c r="D2001">
        <f t="shared" si="590"/>
        <v>1</v>
      </c>
      <c r="E2001" t="s">
        <v>404</v>
      </c>
      <c r="F2001" t="s">
        <v>659</v>
      </c>
      <c r="G2001" s="1">
        <v>35148</v>
      </c>
      <c r="H2001" s="2">
        <f t="shared" ca="1" si="591"/>
        <v>30</v>
      </c>
      <c r="I2001" s="2">
        <f t="shared" ca="1" si="592"/>
        <v>7.1428571428571425E-2</v>
      </c>
      <c r="J2001" t="s">
        <v>36</v>
      </c>
      <c r="K2001" t="s">
        <v>37</v>
      </c>
      <c r="L2001">
        <f t="shared" si="593"/>
        <v>1</v>
      </c>
      <c r="M2001">
        <f t="shared" si="594"/>
        <v>0</v>
      </c>
      <c r="N2001">
        <f t="shared" si="595"/>
        <v>0</v>
      </c>
      <c r="O2001" t="s">
        <v>785</v>
      </c>
      <c r="P2001">
        <f t="shared" si="596"/>
        <v>0</v>
      </c>
      <c r="Q2001">
        <f t="shared" si="597"/>
        <v>0</v>
      </c>
      <c r="R2001">
        <f t="shared" si="598"/>
        <v>0</v>
      </c>
      <c r="S2001">
        <f t="shared" si="599"/>
        <v>0</v>
      </c>
      <c r="T2001">
        <f t="shared" si="600"/>
        <v>0</v>
      </c>
      <c r="U2001">
        <f t="shared" si="601"/>
        <v>0</v>
      </c>
      <c r="V2001">
        <f t="shared" si="602"/>
        <v>0</v>
      </c>
      <c r="W2001" t="s">
        <v>39</v>
      </c>
      <c r="X2001">
        <f t="shared" si="603"/>
        <v>1</v>
      </c>
      <c r="Y2001">
        <f t="shared" si="604"/>
        <v>0</v>
      </c>
      <c r="Z2001">
        <v>1</v>
      </c>
      <c r="AA2001">
        <f t="shared" si="605"/>
        <v>0</v>
      </c>
      <c r="AB2001" t="s">
        <v>40</v>
      </c>
      <c r="AC2001">
        <f t="shared" si="606"/>
        <v>1</v>
      </c>
      <c r="AD2001">
        <f t="shared" si="607"/>
        <v>0</v>
      </c>
      <c r="AE2001" t="s">
        <v>50</v>
      </c>
      <c r="AF2001">
        <f>IF(AE2001="website",1,0)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2026-10-05T07:15:29Z</dcterms:created>
  <dcterms:modified xsi:type="dcterms:W3CDTF">2026-10-05T11:02:43Z</dcterms:modified>
  <cp:category/>
  <cp:contentStatus/>
</cp:coreProperties>
</file>